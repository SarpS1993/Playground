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66925"/>
  <mc:AlternateContent xmlns:mc="http://schemas.openxmlformats.org/markup-compatibility/2006">
    <mc:Choice Requires="x15">
      <x15ac:absPath xmlns:x15ac="http://schemas.microsoft.com/office/spreadsheetml/2010/11/ac" url="https://ing.sharepoint.com/sites/EffectivenessInsights/Gedeelde documenten/General/3. Insights/3. NPS/NPS - PI/2026 NPS/3. March/Investment/"/>
    </mc:Choice>
  </mc:AlternateContent>
  <xr:revisionPtr revIDLastSave="1" documentId="8_{477D5838-1B12-4C5F-B7DD-8A27F870246C}" xr6:coauthVersionLast="47" xr6:coauthVersionMax="47" xr10:uidLastSave="{BC438CF6-B674-40B5-941C-D4F66AE67F82}"/>
  <workbookProtection workbookAlgorithmName="SHA-512" workbookHashValue="RQFHgQyfki3CbnByZgREypX24b9US1HXzJxK7LTh3t7XXYMurn9hJqTVqQFM2Mu16qgjhcAH1L4JyuZJX/1KQw==" workbookSaltValue="C4qwu3iXDJgjbnDd+sB2yA==" workbookSpinCount="100000" lockStructure="1"/>
  <bookViews>
    <workbookView xWindow="-120" yWindow="-16320" windowWidth="29040" windowHeight="15720" tabRatio="827" firstSheet="2" activeTab="2" xr2:uid="{5890BE7C-7893-4201-926F-631B3B00C9E4}"/>
  </bookViews>
  <sheets>
    <sheet name="Reading guide, SIGN of NPS" sheetId="57" r:id="rId1"/>
    <sheet name="Quarterly overview new" sheetId="21" state="hidden" r:id="rId2"/>
    <sheet name="Countries overview (monthly)" sheetId="59" r:id="rId3"/>
    <sheet name="Australia (quarter)" sheetId="19" state="hidden" r:id="rId4"/>
    <sheet name="Australia (Month)" sheetId="18" r:id="rId5"/>
    <sheet name="Australia Crunch  Output" sheetId="66" state="hidden" r:id="rId6"/>
    <sheet name="Belgium (quarter)" sheetId="42" state="hidden" r:id="rId7"/>
    <sheet name="Belgium (Month)" sheetId="32" r:id="rId8"/>
    <sheet name="Belgium Crunch Output" sheetId="67" state="hidden" r:id="rId9"/>
    <sheet name="Germany (quarter)" sheetId="43" state="hidden" r:id="rId10"/>
    <sheet name="Germany (Month)" sheetId="62" r:id="rId11"/>
    <sheet name="Germany Crunch Output" sheetId="75" state="hidden" r:id="rId12"/>
    <sheet name="Italy (quarter)" sheetId="54" state="hidden" r:id="rId13"/>
    <sheet name="Italy (Month)" sheetId="55" r:id="rId14"/>
    <sheet name="Italy Crunch Outputs" sheetId="69" state="hidden" r:id="rId15"/>
    <sheet name="Netherlands (quarter)" sheetId="46" state="hidden" r:id="rId16"/>
    <sheet name="Netherlands (Month)" sheetId="36" r:id="rId17"/>
    <sheet name="Netherlands Crunch Outputs" sheetId="70" state="hidden" r:id="rId18"/>
    <sheet name="Poland (quarter)" sheetId="47" state="hidden" r:id="rId19"/>
    <sheet name="Poland (Month)" sheetId="41" r:id="rId20"/>
    <sheet name="Poland Crunch Output" sheetId="71" state="hidden" r:id="rId21"/>
    <sheet name="Romania (quarter)" sheetId="48" state="hidden" r:id="rId22"/>
    <sheet name="Romania (month)" sheetId="40" r:id="rId23"/>
    <sheet name="Romania Crunch Output" sheetId="72" state="hidden" r:id="rId24"/>
    <sheet name="Spain (quarter)" sheetId="49" state="hidden" r:id="rId25"/>
    <sheet name="Spain (month)" sheetId="39" r:id="rId26"/>
    <sheet name="Spain Crunch Output" sheetId="73" state="hidden" r:id="rId27"/>
    <sheet name="Turkey (quarter)" sheetId="53" state="hidden" r:id="rId28"/>
    <sheet name="Turkey (month)" sheetId="38" r:id="rId29"/>
    <sheet name="Turkey Crunch Output" sheetId="74" state="hidden" r:id="rId30"/>
  </sheets>
  <externalReferences>
    <externalReference r:id="rId31"/>
  </externalReferences>
  <definedNames>
    <definedName name="_xlnm._FilterDatabase" localSheetId="2" hidden="1">'Countries overview (monthly)'!$B$60:$K$60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59" l="1"/>
  <c r="K172" i="59"/>
  <c r="I172" i="59"/>
  <c r="K171" i="59"/>
  <c r="I171" i="59"/>
  <c r="K170" i="59"/>
  <c r="I170" i="59"/>
  <c r="K169" i="59"/>
  <c r="I169" i="59"/>
  <c r="K168" i="59"/>
  <c r="I168" i="59"/>
  <c r="K167" i="59"/>
  <c r="I167" i="59"/>
  <c r="K166" i="59"/>
  <c r="I166" i="59"/>
  <c r="K165" i="59"/>
  <c r="I165" i="59"/>
  <c r="K163" i="59"/>
  <c r="I163" i="59"/>
  <c r="K164" i="59"/>
  <c r="I164" i="59"/>
  <c r="K162" i="59"/>
  <c r="I162" i="59"/>
  <c r="K160" i="59"/>
  <c r="I160" i="59"/>
  <c r="K157" i="59"/>
  <c r="I157" i="59"/>
  <c r="K161" i="59"/>
  <c r="I161" i="59"/>
  <c r="K158" i="59"/>
  <c r="I158" i="59"/>
  <c r="K159" i="59"/>
  <c r="I159" i="59"/>
  <c r="I154" i="59"/>
  <c r="I153" i="59"/>
  <c r="I152" i="59"/>
  <c r="K151" i="59"/>
  <c r="I151" i="59"/>
  <c r="I150" i="59"/>
  <c r="I149" i="59"/>
  <c r="I148" i="59"/>
  <c r="K147" i="59"/>
  <c r="K146" i="59"/>
  <c r="K143" i="59"/>
  <c r="K142" i="59"/>
  <c r="K138" i="59"/>
  <c r="K134" i="59"/>
  <c r="I134" i="59"/>
  <c r="I133" i="59"/>
  <c r="I132" i="59"/>
  <c r="I131" i="59"/>
  <c r="K130" i="59"/>
  <c r="I130" i="59"/>
  <c r="I129" i="59"/>
  <c r="K126" i="59"/>
  <c r="I126" i="59"/>
  <c r="K121" i="59"/>
  <c r="I121" i="59"/>
  <c r="K116" i="59"/>
  <c r="I116" i="59"/>
  <c r="K115" i="59"/>
  <c r="I115" i="59"/>
  <c r="K114" i="59"/>
  <c r="I114" i="59"/>
  <c r="K113" i="59"/>
  <c r="I113" i="59"/>
  <c r="K112" i="59"/>
  <c r="I112" i="59"/>
  <c r="K111" i="59"/>
  <c r="I111" i="59"/>
  <c r="K110" i="59"/>
  <c r="I110" i="59"/>
  <c r="K109" i="59"/>
  <c r="I109" i="59"/>
  <c r="K108" i="59"/>
  <c r="I108" i="59"/>
  <c r="K107" i="59"/>
  <c r="I107" i="59"/>
  <c r="K106" i="59"/>
  <c r="I106" i="59"/>
  <c r="K103" i="59"/>
  <c r="I103" i="59"/>
  <c r="K105" i="59"/>
  <c r="I105" i="59"/>
  <c r="K104" i="59"/>
  <c r="I104" i="59"/>
  <c r="K102" i="59"/>
  <c r="I102" i="59"/>
  <c r="K101" i="59"/>
  <c r="I101" i="59"/>
  <c r="K96" i="59"/>
  <c r="I96" i="59"/>
  <c r="K95" i="59"/>
  <c r="I95" i="59"/>
  <c r="K94" i="59"/>
  <c r="I94" i="59"/>
  <c r="K93" i="59"/>
  <c r="I93" i="59"/>
  <c r="K92" i="59"/>
  <c r="I92" i="59"/>
  <c r="K91" i="59"/>
  <c r="I91" i="59"/>
  <c r="K90" i="59"/>
  <c r="I90" i="59"/>
  <c r="K88" i="59"/>
  <c r="I88" i="59"/>
  <c r="K89" i="59"/>
  <c r="I89" i="59"/>
  <c r="K87" i="59"/>
  <c r="I87" i="59"/>
  <c r="K86" i="59"/>
  <c r="I86" i="59"/>
  <c r="K85" i="59"/>
  <c r="I85" i="59"/>
  <c r="K84" i="59"/>
  <c r="I84" i="59"/>
  <c r="K80" i="59"/>
  <c r="I80" i="59"/>
  <c r="K79" i="59"/>
  <c r="I79" i="59"/>
  <c r="K78" i="59"/>
  <c r="I78" i="59"/>
  <c r="K77" i="59"/>
  <c r="I77" i="59"/>
  <c r="K76" i="59"/>
  <c r="I76" i="59"/>
  <c r="K75" i="59"/>
  <c r="I75" i="59"/>
  <c r="K74" i="59"/>
  <c r="I74" i="59"/>
  <c r="K73" i="59"/>
  <c r="I73" i="59"/>
  <c r="K72" i="59"/>
  <c r="I72" i="59"/>
  <c r="K71" i="59"/>
  <c r="I71" i="59"/>
  <c r="K70" i="59"/>
  <c r="I70" i="59"/>
  <c r="K68" i="59"/>
  <c r="I68" i="59"/>
  <c r="K69" i="59"/>
  <c r="I69" i="59"/>
  <c r="K67" i="59"/>
  <c r="I67" i="59"/>
  <c r="K66" i="59"/>
  <c r="I66" i="59"/>
  <c r="K64" i="59"/>
  <c r="I64" i="59"/>
  <c r="K65" i="59"/>
  <c r="I65" i="59"/>
  <c r="K63" i="59"/>
  <c r="I63" i="59"/>
  <c r="K62" i="59"/>
  <c r="I62" i="59"/>
  <c r="K61" i="59"/>
  <c r="I61" i="59"/>
  <c r="K57" i="59"/>
  <c r="I57" i="59"/>
  <c r="K56" i="59"/>
  <c r="I56" i="59"/>
  <c r="K55" i="59"/>
  <c r="I55" i="59"/>
  <c r="K54" i="59"/>
  <c r="I54" i="59"/>
  <c r="K53" i="59"/>
  <c r="I53" i="59"/>
  <c r="K47" i="59"/>
  <c r="I47" i="59"/>
  <c r="K52" i="59"/>
  <c r="I52" i="59"/>
  <c r="K51" i="59"/>
  <c r="I51" i="59"/>
  <c r="K50" i="59"/>
  <c r="I50" i="59"/>
  <c r="K49" i="59"/>
  <c r="I49" i="59"/>
  <c r="K48" i="59"/>
  <c r="I48" i="59"/>
  <c r="J48" i="59" s="1"/>
  <c r="K46" i="59"/>
  <c r="I46" i="59"/>
  <c r="K45" i="59"/>
  <c r="I45" i="59"/>
  <c r="K44" i="59"/>
  <c r="I44" i="59"/>
  <c r="K43" i="59"/>
  <c r="I43" i="59"/>
  <c r="K40" i="59"/>
  <c r="I40" i="59"/>
  <c r="K39" i="59"/>
  <c r="I39" i="59"/>
  <c r="K38" i="59"/>
  <c r="I38" i="59"/>
  <c r="K37" i="59"/>
  <c r="I37" i="59"/>
  <c r="K35" i="59"/>
  <c r="I35" i="59"/>
  <c r="K36" i="59"/>
  <c r="I36" i="59"/>
  <c r="K34" i="59"/>
  <c r="I34" i="59"/>
  <c r="K33" i="59"/>
  <c r="I33" i="59"/>
  <c r="J33" i="59" s="1"/>
  <c r="K31" i="59"/>
  <c r="I31" i="59"/>
  <c r="K28" i="59"/>
  <c r="I28" i="59"/>
  <c r="K32" i="59"/>
  <c r="I32" i="59"/>
  <c r="K27" i="59"/>
  <c r="I27" i="59"/>
  <c r="K30" i="59"/>
  <c r="I30" i="59"/>
  <c r="K29" i="59"/>
  <c r="I29" i="59"/>
  <c r="K26" i="59"/>
  <c r="I26" i="59"/>
  <c r="K25" i="59"/>
  <c r="I25" i="59"/>
  <c r="J25" i="59" s="1"/>
  <c r="K22" i="59"/>
  <c r="I22" i="59"/>
  <c r="K21" i="59"/>
  <c r="I21" i="59"/>
  <c r="K20" i="59"/>
  <c r="I20" i="59"/>
  <c r="K19" i="59"/>
  <c r="I19" i="59"/>
  <c r="K18" i="59"/>
  <c r="I18" i="59"/>
  <c r="K17" i="59"/>
  <c r="I17" i="59"/>
  <c r="K16" i="59"/>
  <c r="I16" i="59"/>
  <c r="K15" i="59"/>
  <c r="I15" i="59"/>
  <c r="K14" i="59"/>
  <c r="I14" i="59"/>
  <c r="K13" i="59"/>
  <c r="I13" i="59"/>
  <c r="K12" i="59"/>
  <c r="I12" i="59"/>
  <c r="K11" i="59"/>
  <c r="I11" i="59"/>
  <c r="K10" i="59"/>
  <c r="I10" i="59"/>
  <c r="K9" i="59"/>
  <c r="I9" i="59"/>
  <c r="K8" i="59"/>
  <c r="I8" i="59"/>
  <c r="K6" i="59"/>
  <c r="K5" i="59"/>
  <c r="I5" i="59"/>
  <c r="K7" i="59"/>
  <c r="I7" i="59"/>
  <c r="E291" i="38"/>
  <c r="E273" i="38"/>
  <c r="E255" i="38"/>
  <c r="E237" i="38"/>
  <c r="E236" i="38"/>
  <c r="E235" i="38"/>
  <c r="E234" i="38"/>
  <c r="E233" i="38"/>
  <c r="E232" i="38"/>
  <c r="E231" i="38"/>
  <c r="E230" i="38"/>
  <c r="E229" i="38"/>
  <c r="E228" i="38"/>
  <c r="E227" i="38"/>
  <c r="E226" i="38"/>
  <c r="E225" i="38"/>
  <c r="E224" i="38"/>
  <c r="E223" i="38"/>
  <c r="E222" i="38"/>
  <c r="E219" i="38"/>
  <c r="E218" i="38"/>
  <c r="E217" i="38"/>
  <c r="E216" i="38"/>
  <c r="E215" i="38"/>
  <c r="E214" i="38"/>
  <c r="E213" i="38"/>
  <c r="E212" i="38"/>
  <c r="E211" i="38"/>
  <c r="E210" i="38"/>
  <c r="E209" i="38"/>
  <c r="E208" i="38"/>
  <c r="E207" i="38"/>
  <c r="E206" i="38"/>
  <c r="E205" i="38"/>
  <c r="E204" i="38"/>
  <c r="E201" i="38"/>
  <c r="E200" i="38"/>
  <c r="E199" i="38"/>
  <c r="E198" i="38"/>
  <c r="E197" i="38"/>
  <c r="E196" i="38"/>
  <c r="E195" i="38"/>
  <c r="E194" i="38"/>
  <c r="E193" i="38"/>
  <c r="E192" i="38"/>
  <c r="E191" i="38"/>
  <c r="E190" i="38"/>
  <c r="E189" i="38"/>
  <c r="E188" i="38"/>
  <c r="E187" i="38"/>
  <c r="E186" i="38"/>
  <c r="E183" i="38"/>
  <c r="E165" i="38"/>
  <c r="E147" i="38"/>
  <c r="E146" i="38"/>
  <c r="E145" i="38"/>
  <c r="E144" i="38"/>
  <c r="E143" i="38"/>
  <c r="E142" i="38"/>
  <c r="E141" i="38"/>
  <c r="E140" i="38"/>
  <c r="E139" i="38"/>
  <c r="E138" i="38"/>
  <c r="E137" i="38"/>
  <c r="E136" i="38"/>
  <c r="E135" i="38"/>
  <c r="E134" i="38"/>
  <c r="E133" i="38"/>
  <c r="E132" i="38"/>
  <c r="E129" i="38"/>
  <c r="E128" i="38"/>
  <c r="E127" i="38"/>
  <c r="E126" i="38"/>
  <c r="E125" i="38"/>
  <c r="E124" i="38"/>
  <c r="E123" i="38"/>
  <c r="E122" i="38"/>
  <c r="E121" i="38"/>
  <c r="E120" i="38"/>
  <c r="E119" i="38"/>
  <c r="E118" i="38"/>
  <c r="E117" i="38"/>
  <c r="E116" i="38"/>
  <c r="E115" i="38"/>
  <c r="E114" i="38"/>
  <c r="E111" i="38"/>
  <c r="E110" i="38"/>
  <c r="E109" i="38"/>
  <c r="E108" i="38"/>
  <c r="E107" i="38"/>
  <c r="E106" i="38"/>
  <c r="E105" i="38"/>
  <c r="E104" i="38"/>
  <c r="E103" i="38"/>
  <c r="E102" i="38"/>
  <c r="E101" i="38"/>
  <c r="E100" i="38"/>
  <c r="E99" i="38"/>
  <c r="E98" i="38"/>
  <c r="E97" i="38"/>
  <c r="E96" i="38"/>
  <c r="E93" i="38"/>
  <c r="E92" i="38"/>
  <c r="E91" i="38"/>
  <c r="E90" i="38"/>
  <c r="E89" i="38"/>
  <c r="E88" i="38"/>
  <c r="E87" i="38"/>
  <c r="E86" i="38"/>
  <c r="E85" i="38"/>
  <c r="E84" i="38"/>
  <c r="E83" i="38"/>
  <c r="E82" i="38"/>
  <c r="E81" i="38"/>
  <c r="E80" i="38"/>
  <c r="E79" i="38"/>
  <c r="E78" i="38"/>
  <c r="E75" i="38"/>
  <c r="E74" i="38"/>
  <c r="E73" i="38"/>
  <c r="E72" i="38"/>
  <c r="E71" i="38"/>
  <c r="E70" i="38"/>
  <c r="E69" i="38"/>
  <c r="E68" i="38"/>
  <c r="E67" i="38"/>
  <c r="E66" i="38"/>
  <c r="E65" i="38"/>
  <c r="E64" i="38"/>
  <c r="E63" i="38"/>
  <c r="E62" i="38"/>
  <c r="E61" i="38"/>
  <c r="E60" i="38"/>
  <c r="E57" i="38"/>
  <c r="E56" i="38"/>
  <c r="E55" i="38"/>
  <c r="E54" i="38"/>
  <c r="E53" i="38"/>
  <c r="E52" i="38"/>
  <c r="E51" i="38"/>
  <c r="E50" i="38"/>
  <c r="E49" i="38"/>
  <c r="E48" i="38"/>
  <c r="E47" i="38"/>
  <c r="E46" i="38"/>
  <c r="E45" i="38"/>
  <c r="E44" i="38"/>
  <c r="E43" i="38"/>
  <c r="E42" i="38"/>
  <c r="E39" i="38"/>
  <c r="E38" i="38"/>
  <c r="E37" i="38"/>
  <c r="E36" i="38"/>
  <c r="E35" i="38"/>
  <c r="E34" i="38"/>
  <c r="E33" i="38"/>
  <c r="E32" i="38"/>
  <c r="E31" i="38"/>
  <c r="E30" i="38"/>
  <c r="E29" i="38"/>
  <c r="E28" i="38"/>
  <c r="E27" i="38"/>
  <c r="E26" i="38"/>
  <c r="E25" i="38"/>
  <c r="E24" i="38"/>
  <c r="E21" i="38"/>
  <c r="E20" i="38"/>
  <c r="E19" i="38"/>
  <c r="E18" i="38"/>
  <c r="E17" i="38"/>
  <c r="E16" i="38"/>
  <c r="E15" i="38"/>
  <c r="E14" i="38"/>
  <c r="E13" i="38"/>
  <c r="E12" i="38"/>
  <c r="E11" i="38"/>
  <c r="E10" i="38"/>
  <c r="E9" i="38"/>
  <c r="E8" i="38"/>
  <c r="E7" i="38"/>
  <c r="E6" i="38"/>
  <c r="E327" i="39"/>
  <c r="E326" i="39"/>
  <c r="E325" i="39"/>
  <c r="E324" i="39"/>
  <c r="E323" i="39"/>
  <c r="E322" i="39"/>
  <c r="E321" i="39"/>
  <c r="E320" i="39"/>
  <c r="E319" i="39"/>
  <c r="E318" i="39"/>
  <c r="E317" i="39"/>
  <c r="E316" i="39"/>
  <c r="E315" i="39"/>
  <c r="E314" i="39"/>
  <c r="E313" i="39"/>
  <c r="E312" i="39"/>
  <c r="I147" i="59" s="1"/>
  <c r="E309" i="39"/>
  <c r="E308" i="39"/>
  <c r="E307" i="39"/>
  <c r="E306" i="39"/>
  <c r="E305" i="39"/>
  <c r="E304" i="39"/>
  <c r="E303" i="39"/>
  <c r="E302" i="39"/>
  <c r="E301" i="39"/>
  <c r="E300" i="39"/>
  <c r="E299" i="39"/>
  <c r="E298" i="39"/>
  <c r="E297" i="39"/>
  <c r="E296" i="39"/>
  <c r="E295" i="39"/>
  <c r="E294" i="39"/>
  <c r="I142" i="59" s="1"/>
  <c r="E291" i="39"/>
  <c r="E290" i="39"/>
  <c r="E289" i="39"/>
  <c r="E288" i="39"/>
  <c r="E287" i="39"/>
  <c r="E286" i="39"/>
  <c r="E285" i="39"/>
  <c r="E284" i="39"/>
  <c r="E283" i="39"/>
  <c r="E282" i="39"/>
  <c r="E281" i="39"/>
  <c r="E280" i="39"/>
  <c r="E279" i="39"/>
  <c r="E278" i="39"/>
  <c r="E277" i="39"/>
  <c r="E276" i="39"/>
  <c r="I146" i="59" s="1"/>
  <c r="E273" i="39"/>
  <c r="K145" i="59" s="1"/>
  <c r="E272" i="39"/>
  <c r="E271" i="39"/>
  <c r="E270" i="39"/>
  <c r="E269" i="39"/>
  <c r="E268" i="39"/>
  <c r="E267" i="39"/>
  <c r="E266" i="39"/>
  <c r="E265" i="39"/>
  <c r="E264" i="39"/>
  <c r="E263" i="39"/>
  <c r="E262" i="39"/>
  <c r="E261" i="39"/>
  <c r="E260" i="39"/>
  <c r="E259" i="39"/>
  <c r="E258" i="39"/>
  <c r="I145" i="59" s="1"/>
  <c r="E255" i="39"/>
  <c r="E254" i="39"/>
  <c r="E253" i="39"/>
  <c r="E252" i="39"/>
  <c r="E251" i="39"/>
  <c r="E250" i="39"/>
  <c r="E249" i="39"/>
  <c r="E248" i="39"/>
  <c r="E247" i="39"/>
  <c r="E246" i="39"/>
  <c r="E245" i="39"/>
  <c r="E244" i="39"/>
  <c r="E243" i="39"/>
  <c r="E242" i="39"/>
  <c r="E241" i="39"/>
  <c r="E240" i="39"/>
  <c r="I138" i="59" s="1"/>
  <c r="E237" i="39"/>
  <c r="K154" i="59" s="1"/>
  <c r="E219" i="39"/>
  <c r="K153" i="59" s="1"/>
  <c r="E201" i="39"/>
  <c r="K152" i="59" s="1"/>
  <c r="E183" i="39"/>
  <c r="K137" i="59" s="1"/>
  <c r="E182" i="39"/>
  <c r="E181" i="39"/>
  <c r="E180" i="39"/>
  <c r="E179" i="39"/>
  <c r="E178" i="39"/>
  <c r="E177" i="39"/>
  <c r="E176" i="39"/>
  <c r="E175" i="39"/>
  <c r="E174" i="39"/>
  <c r="E173" i="39"/>
  <c r="E172" i="39"/>
  <c r="E171" i="39"/>
  <c r="E170" i="39"/>
  <c r="E169" i="39"/>
  <c r="E168" i="39"/>
  <c r="I137" i="59" s="1"/>
  <c r="E165" i="39"/>
  <c r="E147" i="39"/>
  <c r="K150" i="59" s="1"/>
  <c r="E129" i="39"/>
  <c r="K149" i="59" s="1"/>
  <c r="E111" i="39"/>
  <c r="K140" i="59" s="1"/>
  <c r="E110" i="39"/>
  <c r="E109" i="39"/>
  <c r="E108" i="39"/>
  <c r="E107" i="39"/>
  <c r="E106" i="39"/>
  <c r="E105" i="39"/>
  <c r="E104" i="39"/>
  <c r="E103" i="39"/>
  <c r="E102" i="39"/>
  <c r="E101" i="39"/>
  <c r="E100" i="39"/>
  <c r="E99" i="39"/>
  <c r="E98" i="39"/>
  <c r="E97" i="39"/>
  <c r="E96" i="39"/>
  <c r="I140" i="59" s="1"/>
  <c r="E93" i="39"/>
  <c r="K148" i="59" s="1"/>
  <c r="E75" i="39"/>
  <c r="E74" i="39"/>
  <c r="E73" i="39"/>
  <c r="E72" i="39"/>
  <c r="E71" i="39"/>
  <c r="E70" i="39"/>
  <c r="E69" i="39"/>
  <c r="E68" i="39"/>
  <c r="E67" i="39"/>
  <c r="E66" i="39"/>
  <c r="E65" i="39"/>
  <c r="E64" i="39"/>
  <c r="E63" i="39"/>
  <c r="E62" i="39"/>
  <c r="E61" i="39"/>
  <c r="E60" i="39"/>
  <c r="I143" i="59" s="1"/>
  <c r="E57" i="39"/>
  <c r="K141" i="59" s="1"/>
  <c r="E56" i="39"/>
  <c r="E55" i="39"/>
  <c r="E54" i="39"/>
  <c r="E53" i="39"/>
  <c r="E52" i="39"/>
  <c r="E51" i="39"/>
  <c r="E50" i="39"/>
  <c r="E49" i="39"/>
  <c r="E48" i="39"/>
  <c r="E47" i="39"/>
  <c r="E46" i="39"/>
  <c r="E45" i="39"/>
  <c r="E44" i="39"/>
  <c r="E43" i="39"/>
  <c r="E42" i="39"/>
  <c r="I141" i="59" s="1"/>
  <c r="E39" i="39"/>
  <c r="K144" i="59" s="1"/>
  <c r="E38" i="39"/>
  <c r="E37" i="39"/>
  <c r="E36" i="39"/>
  <c r="E35" i="39"/>
  <c r="E34" i="39"/>
  <c r="E33" i="39"/>
  <c r="E32" i="39"/>
  <c r="E31" i="39"/>
  <c r="E30" i="39"/>
  <c r="E29" i="39"/>
  <c r="E28" i="39"/>
  <c r="E27" i="39"/>
  <c r="E26" i="39"/>
  <c r="E25" i="39"/>
  <c r="E24" i="39"/>
  <c r="I144" i="59" s="1"/>
  <c r="E21" i="39"/>
  <c r="K139" i="59" s="1"/>
  <c r="E20" i="39"/>
  <c r="E19" i="39"/>
  <c r="E18" i="39"/>
  <c r="E17" i="39"/>
  <c r="E16" i="39"/>
  <c r="E15" i="39"/>
  <c r="E14" i="39"/>
  <c r="E13" i="39"/>
  <c r="E12" i="39"/>
  <c r="E11" i="39"/>
  <c r="E10" i="39"/>
  <c r="E9" i="39"/>
  <c r="E8" i="39"/>
  <c r="E7" i="39"/>
  <c r="E6" i="39"/>
  <c r="I139" i="59" s="1"/>
  <c r="E291" i="40"/>
  <c r="K128" i="59" s="1"/>
  <c r="E290" i="40"/>
  <c r="E289" i="40"/>
  <c r="E288" i="40"/>
  <c r="E287" i="40"/>
  <c r="E286" i="40"/>
  <c r="E285" i="40"/>
  <c r="E284" i="40"/>
  <c r="E283" i="40"/>
  <c r="E282" i="40"/>
  <c r="E281" i="40"/>
  <c r="E280" i="40"/>
  <c r="E279" i="40"/>
  <c r="E278" i="40"/>
  <c r="E277" i="40"/>
  <c r="E276" i="40"/>
  <c r="I128" i="59" s="1"/>
  <c r="E273" i="40"/>
  <c r="K127" i="59" s="1"/>
  <c r="E272" i="40"/>
  <c r="E271" i="40"/>
  <c r="E270" i="40"/>
  <c r="E269" i="40"/>
  <c r="E268" i="40"/>
  <c r="E267" i="40"/>
  <c r="E266" i="40"/>
  <c r="E265" i="40"/>
  <c r="E264" i="40"/>
  <c r="E263" i="40"/>
  <c r="E262" i="40"/>
  <c r="E261" i="40"/>
  <c r="E260" i="40"/>
  <c r="E259" i="40"/>
  <c r="E258" i="40"/>
  <c r="I127" i="59" s="1"/>
  <c r="E255" i="40"/>
  <c r="E254" i="40"/>
  <c r="E253" i="40"/>
  <c r="E252" i="40"/>
  <c r="E251" i="40"/>
  <c r="E250" i="40"/>
  <c r="E249" i="40"/>
  <c r="E248" i="40"/>
  <c r="E247" i="40"/>
  <c r="E246" i="40"/>
  <c r="E245" i="40"/>
  <c r="E244" i="40"/>
  <c r="E243" i="40"/>
  <c r="E242" i="40"/>
  <c r="E241" i="40"/>
  <c r="E240" i="40"/>
  <c r="E237" i="40"/>
  <c r="K124" i="59" s="1"/>
  <c r="E236" i="40"/>
  <c r="E235" i="40"/>
  <c r="E234" i="40"/>
  <c r="E233" i="40"/>
  <c r="E232" i="40"/>
  <c r="E231" i="40"/>
  <c r="E230" i="40"/>
  <c r="E229" i="40"/>
  <c r="E228" i="40"/>
  <c r="E227" i="40"/>
  <c r="E226" i="40"/>
  <c r="E225" i="40"/>
  <c r="E224" i="40"/>
  <c r="E223" i="40"/>
  <c r="E222" i="40"/>
  <c r="I124" i="59" s="1"/>
  <c r="E219" i="40"/>
  <c r="E201" i="40"/>
  <c r="K133" i="59" s="1"/>
  <c r="E183" i="40"/>
  <c r="K119" i="59" s="1"/>
  <c r="E182" i="40"/>
  <c r="E181" i="40"/>
  <c r="E180" i="40"/>
  <c r="E179" i="40"/>
  <c r="E178" i="40"/>
  <c r="E177" i="40"/>
  <c r="E176" i="40"/>
  <c r="E175" i="40"/>
  <c r="E174" i="40"/>
  <c r="E173" i="40"/>
  <c r="E172" i="40"/>
  <c r="E171" i="40"/>
  <c r="E170" i="40"/>
  <c r="E169" i="40"/>
  <c r="E168" i="40"/>
  <c r="I119" i="59" s="1"/>
  <c r="E165" i="40"/>
  <c r="K132" i="59" s="1"/>
  <c r="E147" i="40"/>
  <c r="K131" i="59" s="1"/>
  <c r="E129" i="40"/>
  <c r="E111" i="40"/>
  <c r="K129" i="59" s="1"/>
  <c r="E93" i="40"/>
  <c r="K122" i="59" s="1"/>
  <c r="E92" i="40"/>
  <c r="E91" i="40"/>
  <c r="E90" i="40"/>
  <c r="E89" i="40"/>
  <c r="E88" i="40"/>
  <c r="E87" i="40"/>
  <c r="E86" i="40"/>
  <c r="E85" i="40"/>
  <c r="E84" i="40"/>
  <c r="E83" i="40"/>
  <c r="E82" i="40"/>
  <c r="E81" i="40"/>
  <c r="E80" i="40"/>
  <c r="E79" i="40"/>
  <c r="E78" i="40"/>
  <c r="I122" i="59" s="1"/>
  <c r="E75" i="40"/>
  <c r="E74" i="40"/>
  <c r="E73" i="40"/>
  <c r="E72" i="40"/>
  <c r="E71" i="40"/>
  <c r="E70" i="40"/>
  <c r="E69" i="40"/>
  <c r="E68" i="40"/>
  <c r="E67" i="40"/>
  <c r="E66" i="40"/>
  <c r="E65" i="40"/>
  <c r="E64" i="40"/>
  <c r="E63" i="40"/>
  <c r="E62" i="40"/>
  <c r="E61" i="40"/>
  <c r="E60" i="40"/>
  <c r="E57" i="40"/>
  <c r="K125" i="59" s="1"/>
  <c r="E56" i="40"/>
  <c r="E55" i="40"/>
  <c r="E54" i="40"/>
  <c r="E53" i="40"/>
  <c r="E52" i="40"/>
  <c r="E51" i="40"/>
  <c r="E50" i="40"/>
  <c r="E49" i="40"/>
  <c r="E48" i="40"/>
  <c r="E47" i="40"/>
  <c r="E46" i="40"/>
  <c r="E45" i="40"/>
  <c r="E44" i="40"/>
  <c r="E43" i="40"/>
  <c r="E42" i="40"/>
  <c r="I125" i="59" s="1"/>
  <c r="E39" i="40"/>
  <c r="K120" i="59" s="1"/>
  <c r="E38" i="40"/>
  <c r="E37" i="40"/>
  <c r="E36" i="40"/>
  <c r="E35" i="40"/>
  <c r="E34" i="40"/>
  <c r="E33" i="40"/>
  <c r="E32" i="40"/>
  <c r="E31" i="40"/>
  <c r="E30" i="40"/>
  <c r="E29" i="40"/>
  <c r="E28" i="40"/>
  <c r="E27" i="40"/>
  <c r="E26" i="40"/>
  <c r="E25" i="40"/>
  <c r="E24" i="40"/>
  <c r="I120" i="59" s="1"/>
  <c r="E21" i="40"/>
  <c r="K123" i="59" s="1"/>
  <c r="E20" i="40"/>
  <c r="E19" i="40"/>
  <c r="E18" i="40"/>
  <c r="E17" i="40"/>
  <c r="E16" i="40"/>
  <c r="E15" i="40"/>
  <c r="E14" i="40"/>
  <c r="E13" i="40"/>
  <c r="E12" i="40"/>
  <c r="E11" i="40"/>
  <c r="E10" i="40"/>
  <c r="E9" i="40"/>
  <c r="E8" i="40"/>
  <c r="E7" i="40"/>
  <c r="E6" i="40"/>
  <c r="I123" i="59" s="1"/>
  <c r="E291" i="41"/>
  <c r="E273" i="41"/>
  <c r="E272" i="41"/>
  <c r="E271" i="41"/>
  <c r="E270" i="41"/>
  <c r="E269" i="41"/>
  <c r="E268" i="41"/>
  <c r="E267" i="41"/>
  <c r="E266" i="41"/>
  <c r="E265" i="41"/>
  <c r="E264" i="41"/>
  <c r="E263" i="41"/>
  <c r="E262" i="41"/>
  <c r="E261" i="41"/>
  <c r="E260" i="41"/>
  <c r="E259" i="41"/>
  <c r="E258" i="41"/>
  <c r="E255" i="41"/>
  <c r="E237" i="41"/>
  <c r="E219" i="41"/>
  <c r="E201" i="41"/>
  <c r="E183" i="41"/>
  <c r="E165" i="41"/>
  <c r="E147" i="41"/>
  <c r="E129" i="41"/>
  <c r="E111" i="41"/>
  <c r="E93" i="41"/>
  <c r="E92" i="41"/>
  <c r="E91" i="41"/>
  <c r="E90" i="41"/>
  <c r="E89" i="41"/>
  <c r="E88" i="41"/>
  <c r="E87" i="41"/>
  <c r="E86" i="41"/>
  <c r="E85" i="41"/>
  <c r="E84" i="41"/>
  <c r="E83" i="41"/>
  <c r="E82" i="41"/>
  <c r="E81" i="41"/>
  <c r="E80" i="41"/>
  <c r="E79" i="41"/>
  <c r="E78" i="41"/>
  <c r="E75" i="41"/>
  <c r="E74" i="41"/>
  <c r="E73" i="41"/>
  <c r="E72" i="41"/>
  <c r="E71" i="41"/>
  <c r="E70" i="41"/>
  <c r="E69" i="41"/>
  <c r="E68" i="41"/>
  <c r="E67" i="41"/>
  <c r="E66" i="41"/>
  <c r="E65" i="41"/>
  <c r="E64" i="41"/>
  <c r="E63" i="41"/>
  <c r="E62" i="41"/>
  <c r="E61" i="41"/>
  <c r="E60" i="41"/>
  <c r="E57" i="41"/>
  <c r="E56" i="41"/>
  <c r="E55" i="41"/>
  <c r="E54" i="41"/>
  <c r="E53" i="41"/>
  <c r="E52" i="41"/>
  <c r="E51" i="41"/>
  <c r="E50" i="41"/>
  <c r="E49" i="41"/>
  <c r="E48" i="41"/>
  <c r="E47" i="41"/>
  <c r="E46" i="41"/>
  <c r="E45" i="41"/>
  <c r="E44" i="41"/>
  <c r="E43" i="41"/>
  <c r="E42" i="41"/>
  <c r="E39" i="41"/>
  <c r="E21" i="41"/>
  <c r="E20" i="41"/>
  <c r="E19" i="41"/>
  <c r="E18" i="41"/>
  <c r="E17" i="41"/>
  <c r="E16" i="41"/>
  <c r="E15" i="41"/>
  <c r="E14" i="41"/>
  <c r="E13" i="41"/>
  <c r="E12" i="41"/>
  <c r="E11" i="41"/>
  <c r="E10" i="41"/>
  <c r="E9" i="41"/>
  <c r="E8" i="41"/>
  <c r="E7" i="41"/>
  <c r="E6" i="41"/>
  <c r="E273" i="36"/>
  <c r="E272" i="36"/>
  <c r="E271" i="36"/>
  <c r="E270" i="36"/>
  <c r="E269" i="36"/>
  <c r="E268" i="36"/>
  <c r="E267" i="36"/>
  <c r="E266" i="36"/>
  <c r="E265" i="36"/>
  <c r="E264" i="36"/>
  <c r="E263" i="36"/>
  <c r="E262" i="36"/>
  <c r="E261" i="36"/>
  <c r="E260" i="36"/>
  <c r="E259" i="36"/>
  <c r="E258" i="36"/>
  <c r="E255" i="36"/>
  <c r="E254" i="36"/>
  <c r="E253" i="36"/>
  <c r="E252" i="36"/>
  <c r="E251" i="36"/>
  <c r="E250" i="36"/>
  <c r="E249" i="36"/>
  <c r="E248" i="36"/>
  <c r="E247" i="36"/>
  <c r="E246" i="36"/>
  <c r="E245" i="36"/>
  <c r="E244" i="36"/>
  <c r="E243" i="36"/>
  <c r="E242" i="36"/>
  <c r="E241" i="36"/>
  <c r="E240" i="36"/>
  <c r="E237" i="36"/>
  <c r="E236" i="36"/>
  <c r="E235" i="36"/>
  <c r="E234" i="36"/>
  <c r="E233" i="36"/>
  <c r="E232" i="36"/>
  <c r="E231" i="36"/>
  <c r="E230" i="36"/>
  <c r="E229" i="36"/>
  <c r="E228" i="36"/>
  <c r="E227" i="36"/>
  <c r="E226" i="36"/>
  <c r="E225" i="36"/>
  <c r="E224" i="36"/>
  <c r="E223" i="36"/>
  <c r="E222" i="36"/>
  <c r="E219" i="36"/>
  <c r="E201" i="36"/>
  <c r="E200" i="36"/>
  <c r="E199" i="36"/>
  <c r="E198" i="36"/>
  <c r="E197" i="36"/>
  <c r="E196" i="36"/>
  <c r="E195" i="36"/>
  <c r="E194" i="36"/>
  <c r="E193" i="36"/>
  <c r="E192" i="36"/>
  <c r="E191" i="36"/>
  <c r="E190" i="36"/>
  <c r="E189" i="36"/>
  <c r="E188" i="36"/>
  <c r="E187" i="36"/>
  <c r="E186" i="36"/>
  <c r="E183" i="36"/>
  <c r="E147" i="36"/>
  <c r="E129" i="36"/>
  <c r="E128" i="36"/>
  <c r="E127" i="36"/>
  <c r="E126" i="36"/>
  <c r="E125" i="36"/>
  <c r="E124" i="36"/>
  <c r="E123" i="36"/>
  <c r="E122" i="36"/>
  <c r="E121" i="36"/>
  <c r="E120" i="36"/>
  <c r="E119" i="36"/>
  <c r="E118" i="36"/>
  <c r="E117" i="36"/>
  <c r="E116" i="36"/>
  <c r="E115" i="36"/>
  <c r="E114" i="36"/>
  <c r="E111" i="36"/>
  <c r="E75" i="36"/>
  <c r="E57" i="36"/>
  <c r="E56" i="36"/>
  <c r="E55" i="36"/>
  <c r="E54" i="36"/>
  <c r="E53" i="36"/>
  <c r="E52" i="36"/>
  <c r="E51" i="36"/>
  <c r="E50" i="36"/>
  <c r="E49" i="36"/>
  <c r="E48" i="36"/>
  <c r="E47" i="36"/>
  <c r="E46" i="36"/>
  <c r="E45" i="36"/>
  <c r="E44" i="36"/>
  <c r="E43" i="36"/>
  <c r="E42" i="36"/>
  <c r="E39" i="36"/>
  <c r="E38" i="36"/>
  <c r="E37" i="36"/>
  <c r="E36" i="36"/>
  <c r="E35" i="36"/>
  <c r="E34" i="36"/>
  <c r="E33" i="36"/>
  <c r="E32" i="36"/>
  <c r="E31" i="36"/>
  <c r="E30" i="36"/>
  <c r="E29" i="36"/>
  <c r="E28" i="36"/>
  <c r="E27" i="36"/>
  <c r="E26" i="36"/>
  <c r="E25" i="36"/>
  <c r="E24" i="36"/>
  <c r="E21" i="36"/>
  <c r="E20" i="36"/>
  <c r="E19" i="36"/>
  <c r="E18" i="36"/>
  <c r="E17" i="36"/>
  <c r="E16" i="36"/>
  <c r="E15" i="36"/>
  <c r="E14" i="36"/>
  <c r="E13" i="36"/>
  <c r="E12" i="36"/>
  <c r="E11" i="36"/>
  <c r="E10" i="36"/>
  <c r="E9" i="36"/>
  <c r="E8" i="36"/>
  <c r="E7" i="36"/>
  <c r="E6" i="36"/>
  <c r="E381" i="55"/>
  <c r="E380" i="55"/>
  <c r="E379" i="55"/>
  <c r="E378" i="55"/>
  <c r="E377" i="55"/>
  <c r="E376" i="55"/>
  <c r="E375" i="55"/>
  <c r="E374" i="55"/>
  <c r="E373" i="55"/>
  <c r="E372" i="55"/>
  <c r="E371" i="55"/>
  <c r="E370" i="55"/>
  <c r="E369" i="55"/>
  <c r="E368" i="55"/>
  <c r="E367" i="55"/>
  <c r="E366" i="55"/>
  <c r="E363" i="55"/>
  <c r="E362" i="55"/>
  <c r="E361" i="55"/>
  <c r="E360" i="55"/>
  <c r="E359" i="55"/>
  <c r="E358" i="55"/>
  <c r="E357" i="55"/>
  <c r="E356" i="55"/>
  <c r="E355" i="55"/>
  <c r="E354" i="55"/>
  <c r="E353" i="55"/>
  <c r="E352" i="55"/>
  <c r="E351" i="55"/>
  <c r="E350" i="55"/>
  <c r="E349" i="55"/>
  <c r="E348" i="55"/>
  <c r="E345" i="55"/>
  <c r="E344" i="55"/>
  <c r="E343" i="55"/>
  <c r="E342" i="55"/>
  <c r="E341" i="55"/>
  <c r="E340" i="55"/>
  <c r="E339" i="55"/>
  <c r="E338" i="55"/>
  <c r="E337" i="55"/>
  <c r="E336" i="55"/>
  <c r="E335" i="55"/>
  <c r="E334" i="55"/>
  <c r="E333" i="55"/>
  <c r="E332" i="55"/>
  <c r="E331" i="55"/>
  <c r="E330" i="55"/>
  <c r="E327" i="55"/>
  <c r="E326" i="55"/>
  <c r="E325" i="55"/>
  <c r="E324" i="55"/>
  <c r="E323" i="55"/>
  <c r="E322" i="55"/>
  <c r="E321" i="55"/>
  <c r="E320" i="55"/>
  <c r="E319" i="55"/>
  <c r="E318" i="55"/>
  <c r="E317" i="55"/>
  <c r="E316" i="55"/>
  <c r="E315" i="55"/>
  <c r="E314" i="55"/>
  <c r="E313" i="55"/>
  <c r="E312" i="55"/>
  <c r="E309" i="55"/>
  <c r="E291" i="55"/>
  <c r="E273" i="55"/>
  <c r="E255" i="55"/>
  <c r="E237" i="55"/>
  <c r="E219" i="55"/>
  <c r="E218" i="55"/>
  <c r="E217" i="55"/>
  <c r="E216" i="55"/>
  <c r="E215" i="55"/>
  <c r="E214" i="55"/>
  <c r="E213" i="55"/>
  <c r="E212" i="55"/>
  <c r="E211" i="55"/>
  <c r="E210" i="55"/>
  <c r="E209" i="55"/>
  <c r="E208" i="55"/>
  <c r="E207" i="55"/>
  <c r="E206" i="55"/>
  <c r="E205" i="55"/>
  <c r="E204" i="55"/>
  <c r="E201" i="55"/>
  <c r="E183" i="55"/>
  <c r="E147" i="55"/>
  <c r="E129" i="55"/>
  <c r="E111" i="55"/>
  <c r="E110" i="55"/>
  <c r="E109" i="55"/>
  <c r="E108" i="55"/>
  <c r="E107" i="55"/>
  <c r="E106" i="55"/>
  <c r="E105" i="55"/>
  <c r="E104" i="55"/>
  <c r="E103" i="55"/>
  <c r="E102" i="55"/>
  <c r="E101" i="55"/>
  <c r="E100" i="55"/>
  <c r="E99" i="55"/>
  <c r="E98" i="55"/>
  <c r="E97" i="55"/>
  <c r="E96" i="55"/>
  <c r="E93" i="55"/>
  <c r="E92" i="55"/>
  <c r="E91" i="55"/>
  <c r="E90" i="55"/>
  <c r="E89" i="55"/>
  <c r="E88" i="55"/>
  <c r="E87" i="55"/>
  <c r="E86" i="55"/>
  <c r="E85" i="55"/>
  <c r="E84" i="55"/>
  <c r="E83" i="55"/>
  <c r="E82" i="55"/>
  <c r="E81" i="55"/>
  <c r="E80" i="55"/>
  <c r="E79" i="55"/>
  <c r="E78" i="55"/>
  <c r="E75" i="55"/>
  <c r="E74" i="55"/>
  <c r="E73" i="55"/>
  <c r="E72" i="55"/>
  <c r="E71" i="55"/>
  <c r="E70" i="55"/>
  <c r="E69" i="55"/>
  <c r="E68" i="55"/>
  <c r="E67" i="55"/>
  <c r="E66" i="55"/>
  <c r="E65" i="55"/>
  <c r="E64" i="55"/>
  <c r="E63" i="55"/>
  <c r="E62" i="55"/>
  <c r="E61" i="55"/>
  <c r="E60" i="55"/>
  <c r="E57" i="55"/>
  <c r="E56" i="55"/>
  <c r="E55" i="55"/>
  <c r="E54" i="55"/>
  <c r="E53" i="55"/>
  <c r="E52" i="55"/>
  <c r="E51" i="55"/>
  <c r="E50" i="55"/>
  <c r="E49" i="55"/>
  <c r="E48" i="55"/>
  <c r="E47" i="55"/>
  <c r="E46" i="55"/>
  <c r="E45" i="55"/>
  <c r="E44" i="55"/>
  <c r="E43" i="55"/>
  <c r="E42" i="55"/>
  <c r="E39" i="55"/>
  <c r="E38" i="55"/>
  <c r="E37" i="55"/>
  <c r="E36" i="55"/>
  <c r="E35" i="55"/>
  <c r="E34" i="55"/>
  <c r="E33" i="55"/>
  <c r="E32" i="55"/>
  <c r="E31" i="55"/>
  <c r="E30" i="55"/>
  <c r="E29" i="55"/>
  <c r="E28" i="55"/>
  <c r="E27" i="55"/>
  <c r="E26" i="55"/>
  <c r="E25" i="55"/>
  <c r="E24" i="55"/>
  <c r="E21" i="55"/>
  <c r="E20" i="55"/>
  <c r="E19" i="55"/>
  <c r="E18" i="55"/>
  <c r="E17" i="55"/>
  <c r="E16" i="55"/>
  <c r="E15" i="55"/>
  <c r="E14" i="55"/>
  <c r="E13" i="55"/>
  <c r="E12" i="55"/>
  <c r="E11" i="55"/>
  <c r="E10" i="55"/>
  <c r="E9" i="55"/>
  <c r="E8" i="55"/>
  <c r="E7" i="55"/>
  <c r="E6" i="55"/>
  <c r="E128" i="62"/>
  <c r="E127" i="62"/>
  <c r="E126" i="62"/>
  <c r="E125" i="62"/>
  <c r="E124" i="62"/>
  <c r="E123" i="62"/>
  <c r="E122" i="62"/>
  <c r="E121" i="62"/>
  <c r="E120" i="62"/>
  <c r="E119" i="62"/>
  <c r="E118" i="62"/>
  <c r="E117" i="62"/>
  <c r="E116" i="62"/>
  <c r="E115" i="62"/>
  <c r="E114" i="62"/>
  <c r="E273" i="62"/>
  <c r="E255" i="62"/>
  <c r="E254" i="62"/>
  <c r="E253" i="62"/>
  <c r="E252" i="62"/>
  <c r="E251" i="62"/>
  <c r="E250" i="62"/>
  <c r="E249" i="62"/>
  <c r="E248" i="62"/>
  <c r="E247" i="62"/>
  <c r="E246" i="62"/>
  <c r="E245" i="62"/>
  <c r="E244" i="62"/>
  <c r="E243" i="62"/>
  <c r="E242" i="62"/>
  <c r="E241" i="62"/>
  <c r="E240" i="62"/>
  <c r="E237" i="62"/>
  <c r="E236" i="62"/>
  <c r="E235" i="62"/>
  <c r="E234" i="62"/>
  <c r="E233" i="62"/>
  <c r="E232" i="62"/>
  <c r="E231" i="62"/>
  <c r="E230" i="62"/>
  <c r="E229" i="62"/>
  <c r="E228" i="62"/>
  <c r="E227" i="62"/>
  <c r="E226" i="62"/>
  <c r="E225" i="62"/>
  <c r="E224" i="62"/>
  <c r="E223" i="62"/>
  <c r="E222" i="62"/>
  <c r="E219" i="62"/>
  <c r="E201" i="62"/>
  <c r="E183" i="62"/>
  <c r="E165" i="62"/>
  <c r="E164" i="62"/>
  <c r="E163" i="62"/>
  <c r="E162" i="62"/>
  <c r="E161" i="62"/>
  <c r="E160" i="62"/>
  <c r="E159" i="62"/>
  <c r="E158" i="62"/>
  <c r="E157" i="62"/>
  <c r="E156" i="62"/>
  <c r="E155" i="62"/>
  <c r="E154" i="62"/>
  <c r="E153" i="62"/>
  <c r="E152" i="62"/>
  <c r="E151" i="62"/>
  <c r="E150" i="62"/>
  <c r="E147" i="62"/>
  <c r="E129" i="62"/>
  <c r="E111" i="62"/>
  <c r="E110" i="62"/>
  <c r="E109" i="62"/>
  <c r="E108" i="62"/>
  <c r="E107" i="62"/>
  <c r="E106" i="62"/>
  <c r="E105" i="62"/>
  <c r="E104" i="62"/>
  <c r="E103" i="62"/>
  <c r="E102" i="62"/>
  <c r="E101" i="62"/>
  <c r="E100" i="62"/>
  <c r="E99" i="62"/>
  <c r="E98" i="62"/>
  <c r="E97" i="62"/>
  <c r="E96" i="62"/>
  <c r="E93" i="62"/>
  <c r="E92" i="62"/>
  <c r="E91" i="62"/>
  <c r="E90" i="62"/>
  <c r="E89" i="62"/>
  <c r="E88" i="62"/>
  <c r="E87" i="62"/>
  <c r="E86" i="62"/>
  <c r="E85" i="62"/>
  <c r="E84" i="62"/>
  <c r="E83" i="62"/>
  <c r="E82" i="62"/>
  <c r="E81" i="62"/>
  <c r="E80" i="62"/>
  <c r="E79" i="62"/>
  <c r="E78" i="62"/>
  <c r="E75" i="62"/>
  <c r="E57" i="62"/>
  <c r="E39" i="62"/>
  <c r="E38" i="62"/>
  <c r="E37" i="62"/>
  <c r="E36" i="62"/>
  <c r="E35" i="62"/>
  <c r="E34" i="62"/>
  <c r="E33" i="62"/>
  <c r="E32" i="62"/>
  <c r="E31" i="62"/>
  <c r="E30" i="62"/>
  <c r="E29" i="62"/>
  <c r="E28" i="62"/>
  <c r="E27" i="62"/>
  <c r="E26" i="62"/>
  <c r="E25" i="62"/>
  <c r="E24" i="62"/>
  <c r="E21" i="62"/>
  <c r="E20" i="62"/>
  <c r="E19" i="62"/>
  <c r="E18" i="62"/>
  <c r="E17" i="62"/>
  <c r="E16" i="62"/>
  <c r="E15" i="62"/>
  <c r="E14" i="62"/>
  <c r="E13" i="62"/>
  <c r="E12" i="62"/>
  <c r="E11" i="62"/>
  <c r="E10" i="62"/>
  <c r="E9" i="62"/>
  <c r="E8" i="62"/>
  <c r="E7" i="62"/>
  <c r="E6" i="62"/>
  <c r="E291" i="32"/>
  <c r="E290" i="32"/>
  <c r="E289" i="32"/>
  <c r="E288" i="32"/>
  <c r="E287" i="32"/>
  <c r="E286" i="32"/>
  <c r="E285" i="32"/>
  <c r="E284" i="32"/>
  <c r="E283" i="32"/>
  <c r="E282" i="32"/>
  <c r="E281" i="32"/>
  <c r="E280" i="32"/>
  <c r="E279" i="32"/>
  <c r="E278" i="32"/>
  <c r="E277" i="32"/>
  <c r="E276" i="32"/>
  <c r="E273" i="32"/>
  <c r="E272" i="32"/>
  <c r="E271" i="32"/>
  <c r="E270" i="32"/>
  <c r="E269" i="32"/>
  <c r="E268" i="32"/>
  <c r="E267" i="32"/>
  <c r="E266" i="32"/>
  <c r="E265" i="32"/>
  <c r="E264" i="32"/>
  <c r="E263" i="32"/>
  <c r="E262" i="32"/>
  <c r="E261" i="32"/>
  <c r="E260" i="32"/>
  <c r="E259" i="32"/>
  <c r="E258" i="32"/>
  <c r="E255" i="32"/>
  <c r="E254" i="32"/>
  <c r="E253" i="32"/>
  <c r="E252" i="32"/>
  <c r="E251" i="32"/>
  <c r="E250" i="32"/>
  <c r="E249" i="32"/>
  <c r="E248" i="32"/>
  <c r="E247" i="32"/>
  <c r="E246" i="32"/>
  <c r="E245" i="32"/>
  <c r="E244" i="32"/>
  <c r="E243" i="32"/>
  <c r="E242" i="32"/>
  <c r="E241" i="32"/>
  <c r="E240" i="32"/>
  <c r="E237" i="32"/>
  <c r="E236" i="32"/>
  <c r="E235" i="32"/>
  <c r="E234" i="32"/>
  <c r="E233" i="32"/>
  <c r="E232" i="32"/>
  <c r="E231" i="32"/>
  <c r="E230" i="32"/>
  <c r="E229" i="32"/>
  <c r="E228" i="32"/>
  <c r="E227" i="32"/>
  <c r="E226" i="32"/>
  <c r="E225" i="32"/>
  <c r="E224" i="32"/>
  <c r="E223" i="32"/>
  <c r="E222" i="32"/>
  <c r="E219" i="32"/>
  <c r="E218" i="32"/>
  <c r="E217" i="32"/>
  <c r="E216" i="32"/>
  <c r="E215" i="32"/>
  <c r="E214" i="32"/>
  <c r="E213" i="32"/>
  <c r="E212" i="32"/>
  <c r="E211" i="32"/>
  <c r="E210" i="32"/>
  <c r="E209" i="32"/>
  <c r="E208" i="32"/>
  <c r="E207" i="32"/>
  <c r="E206" i="32"/>
  <c r="E205" i="32"/>
  <c r="E204" i="32"/>
  <c r="E201" i="32"/>
  <c r="E200" i="32"/>
  <c r="E199" i="32"/>
  <c r="E198" i="32"/>
  <c r="E197" i="32"/>
  <c r="E196" i="32"/>
  <c r="E195" i="32"/>
  <c r="E194" i="32"/>
  <c r="E193" i="32"/>
  <c r="E192" i="32"/>
  <c r="E191" i="32"/>
  <c r="E190" i="32"/>
  <c r="E189" i="32"/>
  <c r="E188" i="32"/>
  <c r="E187" i="32"/>
  <c r="E186" i="32"/>
  <c r="E183" i="32"/>
  <c r="E165" i="32"/>
  <c r="E147" i="32"/>
  <c r="E129" i="32"/>
  <c r="E128" i="32"/>
  <c r="E127" i="32"/>
  <c r="E126" i="32"/>
  <c r="E125" i="32"/>
  <c r="E124" i="32"/>
  <c r="E123" i="32"/>
  <c r="E122" i="32"/>
  <c r="E121" i="32"/>
  <c r="E120" i="32"/>
  <c r="E119" i="32"/>
  <c r="E118" i="32"/>
  <c r="E117" i="32"/>
  <c r="E116" i="32"/>
  <c r="E115" i="32"/>
  <c r="E114" i="32"/>
  <c r="E111" i="32"/>
  <c r="E93" i="32"/>
  <c r="E92" i="32"/>
  <c r="E91" i="32"/>
  <c r="E90" i="32"/>
  <c r="E89" i="32"/>
  <c r="E88" i="32"/>
  <c r="E87" i="32"/>
  <c r="E86" i="32"/>
  <c r="E85" i="32"/>
  <c r="E84" i="32"/>
  <c r="E83" i="32"/>
  <c r="E82" i="32"/>
  <c r="E81" i="32"/>
  <c r="E80" i="32"/>
  <c r="E79" i="32"/>
  <c r="E78" i="32"/>
  <c r="E75" i="32"/>
  <c r="E74" i="32"/>
  <c r="E73" i="32"/>
  <c r="E72" i="32"/>
  <c r="E71" i="32"/>
  <c r="E70" i="32"/>
  <c r="E69" i="32"/>
  <c r="E68" i="32"/>
  <c r="E67" i="32"/>
  <c r="E66" i="32"/>
  <c r="E65" i="32"/>
  <c r="E64" i="32"/>
  <c r="E63" i="32"/>
  <c r="E62" i="32"/>
  <c r="E61" i="32"/>
  <c r="E60" i="32"/>
  <c r="E57" i="32"/>
  <c r="E56" i="32"/>
  <c r="E55" i="32"/>
  <c r="E54" i="32"/>
  <c r="E53" i="32"/>
  <c r="E52" i="32"/>
  <c r="E51" i="32"/>
  <c r="E50" i="32"/>
  <c r="E49" i="32"/>
  <c r="E48" i="32"/>
  <c r="E47" i="32"/>
  <c r="E46" i="32"/>
  <c r="E45" i="32"/>
  <c r="E44" i="32"/>
  <c r="E43" i="32"/>
  <c r="E42" i="32"/>
  <c r="E39" i="32"/>
  <c r="E38" i="32"/>
  <c r="E37" i="32"/>
  <c r="E36" i="32"/>
  <c r="E35" i="32"/>
  <c r="E34" i="32"/>
  <c r="E33" i="32"/>
  <c r="E32" i="32"/>
  <c r="E31" i="32"/>
  <c r="E30" i="32"/>
  <c r="E29" i="32"/>
  <c r="E28" i="32"/>
  <c r="E27" i="32"/>
  <c r="E26" i="32"/>
  <c r="E25" i="32"/>
  <c r="E24" i="32"/>
  <c r="E21" i="32"/>
  <c r="E20" i="32"/>
  <c r="E19" i="32"/>
  <c r="E18" i="32"/>
  <c r="E17" i="32"/>
  <c r="E16" i="32"/>
  <c r="E15" i="32"/>
  <c r="E14" i="32"/>
  <c r="E13" i="32"/>
  <c r="E12" i="32"/>
  <c r="E11" i="32"/>
  <c r="E10" i="32"/>
  <c r="E9" i="32"/>
  <c r="E8" i="32"/>
  <c r="E7" i="32"/>
  <c r="E6" i="32"/>
  <c r="E327" i="18"/>
  <c r="E309" i="18"/>
  <c r="E291" i="18"/>
  <c r="E273" i="18"/>
  <c r="E255" i="18"/>
  <c r="E237" i="18"/>
  <c r="E219" i="18"/>
  <c r="E201" i="18"/>
  <c r="E183" i="18"/>
  <c r="E165" i="18"/>
  <c r="E147" i="18"/>
  <c r="E129" i="18"/>
  <c r="E111" i="18"/>
  <c r="E93" i="18"/>
  <c r="E92" i="18"/>
  <c r="E91" i="18"/>
  <c r="E90" i="18"/>
  <c r="E89" i="18"/>
  <c r="E88" i="18"/>
  <c r="E87" i="18"/>
  <c r="E86" i="18"/>
  <c r="E85" i="18"/>
  <c r="E84" i="18"/>
  <c r="E83" i="18"/>
  <c r="E82" i="18"/>
  <c r="E81" i="18"/>
  <c r="E80" i="18"/>
  <c r="E79" i="18"/>
  <c r="E78" i="18"/>
  <c r="E75" i="18"/>
  <c r="E74" i="18"/>
  <c r="E73" i="18"/>
  <c r="E72" i="18"/>
  <c r="E71" i="18"/>
  <c r="E70" i="18"/>
  <c r="E69" i="18"/>
  <c r="E68" i="18"/>
  <c r="E67" i="18"/>
  <c r="E66" i="18"/>
  <c r="E65" i="18"/>
  <c r="E64" i="18"/>
  <c r="E63" i="18"/>
  <c r="E62" i="18"/>
  <c r="E61" i="18"/>
  <c r="E60" i="18"/>
  <c r="E57" i="18"/>
  <c r="E56" i="18"/>
  <c r="E55" i="18"/>
  <c r="E54" i="18"/>
  <c r="E53" i="18"/>
  <c r="E52" i="18"/>
  <c r="E51" i="18"/>
  <c r="E50" i="18"/>
  <c r="E49" i="18"/>
  <c r="E48" i="18"/>
  <c r="E47" i="18"/>
  <c r="E46" i="18"/>
  <c r="E45" i="18"/>
  <c r="E44" i="18"/>
  <c r="E43" i="18"/>
  <c r="E42" i="18"/>
  <c r="E39" i="18"/>
  <c r="E38" i="18"/>
  <c r="E37" i="18"/>
  <c r="E36" i="18"/>
  <c r="E35" i="18"/>
  <c r="E34" i="18"/>
  <c r="E33" i="18"/>
  <c r="E32" i="18"/>
  <c r="E31" i="18"/>
  <c r="E30" i="18"/>
  <c r="E29" i="18"/>
  <c r="E28" i="18"/>
  <c r="E27" i="18"/>
  <c r="E26" i="18"/>
  <c r="E25" i="18"/>
  <c r="E24" i="18"/>
  <c r="E21" i="18"/>
  <c r="E20" i="18"/>
  <c r="E19" i="18"/>
  <c r="E18" i="18"/>
  <c r="E17" i="18"/>
  <c r="E16" i="18"/>
  <c r="E15" i="18"/>
  <c r="E14" i="18"/>
  <c r="E13" i="18"/>
  <c r="E12" i="18"/>
  <c r="E11" i="18"/>
  <c r="E10" i="18"/>
  <c r="E9" i="18"/>
  <c r="E8" i="18"/>
  <c r="E7" i="18"/>
  <c r="E6" i="18"/>
  <c r="D259" i="41"/>
  <c r="D260" i="41"/>
  <c r="D61" i="41"/>
  <c r="D62" i="41"/>
  <c r="D8" i="41"/>
  <c r="D7" i="41"/>
  <c r="C20" i="55"/>
  <c r="C19" i="55"/>
  <c r="C18" i="55"/>
  <c r="C17" i="55"/>
  <c r="C16" i="55"/>
  <c r="C15" i="55"/>
  <c r="C14" i="55"/>
  <c r="C13" i="55"/>
  <c r="C12" i="55"/>
  <c r="C11" i="55"/>
  <c r="C10" i="55"/>
  <c r="C9" i="55"/>
  <c r="C8" i="55"/>
  <c r="C7" i="55"/>
  <c r="C6" i="55"/>
  <c r="D20" i="18"/>
  <c r="D19" i="18"/>
  <c r="D18" i="18"/>
  <c r="D17" i="18"/>
  <c r="D16" i="18"/>
  <c r="D15" i="18"/>
  <c r="D14" i="18"/>
  <c r="D13" i="18"/>
  <c r="D12" i="18"/>
  <c r="D11" i="18"/>
  <c r="D10" i="18"/>
  <c r="D9" i="18"/>
  <c r="D8" i="18"/>
  <c r="D7" i="18"/>
  <c r="D6" i="18"/>
  <c r="C20" i="18"/>
  <c r="C19" i="18"/>
  <c r="C18" i="18"/>
  <c r="C17" i="18"/>
  <c r="C16" i="18"/>
  <c r="C15" i="18"/>
  <c r="C14" i="18"/>
  <c r="C13" i="18"/>
  <c r="C12" i="18"/>
  <c r="C11" i="18"/>
  <c r="C10" i="18"/>
  <c r="C9" i="18"/>
  <c r="C8" i="18"/>
  <c r="C7" i="18"/>
  <c r="C6" i="18"/>
  <c r="J7" i="59" l="1"/>
  <c r="J44" i="59"/>
  <c r="J49" i="59"/>
  <c r="J102" i="59"/>
  <c r="J123" i="59"/>
  <c r="J139" i="59"/>
  <c r="J162" i="59"/>
  <c r="J163" i="59"/>
  <c r="J104" i="59"/>
  <c r="J160" i="59"/>
  <c r="J47" i="59"/>
  <c r="J30" i="59"/>
  <c r="J35" i="59"/>
  <c r="J46" i="59"/>
  <c r="J61" i="59"/>
  <c r="J87" i="59"/>
  <c r="J89" i="59"/>
  <c r="J105" i="59"/>
  <c r="J126" i="59"/>
  <c r="J141" i="59"/>
  <c r="J145" i="59"/>
  <c r="J158" i="59"/>
  <c r="J166" i="59"/>
  <c r="J31" i="59"/>
  <c r="J9" i="59"/>
  <c r="J26" i="59"/>
  <c r="J27" i="59"/>
  <c r="J85" i="59"/>
  <c r="J101" i="59"/>
  <c r="J103" i="59"/>
  <c r="J122" i="59"/>
  <c r="J127" i="59"/>
  <c r="J146" i="59"/>
  <c r="J140" i="59"/>
  <c r="J144" i="59"/>
  <c r="J161" i="59"/>
  <c r="J164" i="59"/>
  <c r="J167" i="59"/>
  <c r="J88" i="59"/>
  <c r="J90" i="59"/>
  <c r="J125" i="59"/>
  <c r="J128" i="59"/>
  <c r="J142" i="59"/>
  <c r="J29" i="59"/>
  <c r="J28" i="59"/>
  <c r="J36" i="59"/>
  <c r="J45" i="59"/>
  <c r="J50" i="59"/>
  <c r="J91" i="59"/>
  <c r="J119" i="59"/>
  <c r="J124" i="59"/>
  <c r="J138" i="59"/>
  <c r="J143" i="59"/>
  <c r="J147" i="59"/>
  <c r="J159" i="59"/>
  <c r="J165" i="59"/>
  <c r="J68" i="59"/>
  <c r="J64" i="59"/>
  <c r="J70" i="59"/>
  <c r="J66" i="59"/>
  <c r="J71" i="59"/>
  <c r="J67" i="59"/>
  <c r="J63" i="59"/>
  <c r="J62" i="59"/>
  <c r="J157" i="59"/>
  <c r="J137" i="59"/>
  <c r="J120" i="59"/>
  <c r="J121" i="59"/>
  <c r="J84" i="59"/>
  <c r="J86" i="59"/>
  <c r="J65" i="59"/>
  <c r="J69" i="59"/>
  <c r="J43" i="59"/>
  <c r="J32" i="59"/>
  <c r="J34" i="59"/>
  <c r="J8" i="59"/>
  <c r="J5" i="59"/>
  <c r="J6" i="59"/>
  <c r="D116" i="38"/>
  <c r="D117" i="38"/>
  <c r="D118" i="38"/>
  <c r="D119" i="38"/>
  <c r="D120" i="38"/>
  <c r="D121" i="38"/>
  <c r="D122" i="38"/>
  <c r="D123" i="38"/>
  <c r="D124" i="38"/>
  <c r="D125" i="38"/>
  <c r="D126" i="38"/>
  <c r="D127" i="38"/>
  <c r="D128" i="38"/>
  <c r="D115" i="38"/>
  <c r="D114" i="38"/>
  <c r="D204" i="38"/>
  <c r="D205" i="38"/>
  <c r="D206" i="38"/>
  <c r="D207" i="38"/>
  <c r="D208" i="38"/>
  <c r="D209" i="38"/>
  <c r="D210" i="38"/>
  <c r="D211" i="38"/>
  <c r="D212" i="38"/>
  <c r="D213" i="38"/>
  <c r="D214" i="38"/>
  <c r="D215" i="38"/>
  <c r="D216" i="38"/>
  <c r="D217" i="38"/>
  <c r="D218" i="38"/>
  <c r="D219" i="38"/>
  <c r="D222" i="38"/>
  <c r="D223" i="38"/>
  <c r="D224" i="38"/>
  <c r="D225" i="38"/>
  <c r="D226" i="38"/>
  <c r="D227" i="38"/>
  <c r="D228" i="38"/>
  <c r="D229" i="38"/>
  <c r="D230" i="38"/>
  <c r="D231" i="38"/>
  <c r="D232" i="38"/>
  <c r="D233" i="38"/>
  <c r="D234" i="38"/>
  <c r="D235" i="38"/>
  <c r="D236" i="38"/>
  <c r="D237" i="38"/>
  <c r="D255" i="38"/>
  <c r="D273" i="38"/>
  <c r="D291" i="38"/>
  <c r="D186" i="38"/>
  <c r="D187" i="38"/>
  <c r="D188" i="38"/>
  <c r="D189" i="38"/>
  <c r="D190" i="38"/>
  <c r="D191" i="38"/>
  <c r="D192" i="38"/>
  <c r="D193" i="38"/>
  <c r="D194" i="38"/>
  <c r="D195" i="38"/>
  <c r="D196" i="38"/>
  <c r="D197" i="38"/>
  <c r="D198" i="38"/>
  <c r="D199" i="38"/>
  <c r="D200" i="38"/>
  <c r="D201" i="38"/>
  <c r="D183" i="38"/>
  <c r="D165" i="38"/>
  <c r="D132" i="38"/>
  <c r="D133" i="38"/>
  <c r="D134" i="38"/>
  <c r="D135" i="38"/>
  <c r="D136" i="38"/>
  <c r="D137" i="38"/>
  <c r="D138" i="38"/>
  <c r="D139" i="38"/>
  <c r="D140" i="38"/>
  <c r="D141" i="38"/>
  <c r="D142" i="38"/>
  <c r="D143" i="38"/>
  <c r="D144" i="38"/>
  <c r="D145" i="38"/>
  <c r="D146" i="38"/>
  <c r="D147" i="38"/>
  <c r="D129" i="38"/>
  <c r="D96" i="38"/>
  <c r="D97" i="38"/>
  <c r="D98" i="38"/>
  <c r="D99" i="38"/>
  <c r="D100" i="38"/>
  <c r="D101" i="38"/>
  <c r="D102" i="38"/>
  <c r="D103" i="38"/>
  <c r="D104" i="38"/>
  <c r="D105" i="38"/>
  <c r="D106" i="38"/>
  <c r="D107" i="38"/>
  <c r="D108" i="38"/>
  <c r="D109" i="38"/>
  <c r="D110" i="38"/>
  <c r="D111" i="38"/>
  <c r="D78" i="38"/>
  <c r="D79" i="38"/>
  <c r="D80" i="38"/>
  <c r="D81" i="38"/>
  <c r="D82" i="38"/>
  <c r="D83" i="38"/>
  <c r="D84" i="38"/>
  <c r="D85" i="38"/>
  <c r="D86" i="38"/>
  <c r="D87" i="38"/>
  <c r="D88" i="38"/>
  <c r="D89" i="38"/>
  <c r="D90" i="38"/>
  <c r="D91" i="38"/>
  <c r="D92" i="38"/>
  <c r="D93" i="38"/>
  <c r="D60" i="38"/>
  <c r="D61" i="38"/>
  <c r="D62" i="38"/>
  <c r="D63" i="38"/>
  <c r="D64" i="38"/>
  <c r="D65" i="38"/>
  <c r="D66" i="38"/>
  <c r="D67" i="38"/>
  <c r="D68" i="38"/>
  <c r="D69" i="38"/>
  <c r="D70" i="38"/>
  <c r="D71" i="38"/>
  <c r="D72" i="38"/>
  <c r="D73" i="38"/>
  <c r="D74" i="38"/>
  <c r="D75" i="38"/>
  <c r="D42" i="38"/>
  <c r="D43" i="38"/>
  <c r="D44" i="38"/>
  <c r="D45" i="38"/>
  <c r="D46" i="38"/>
  <c r="D47" i="38"/>
  <c r="D48" i="38"/>
  <c r="D49" i="38"/>
  <c r="D50" i="38"/>
  <c r="D51" i="38"/>
  <c r="D52" i="38"/>
  <c r="D53" i="38"/>
  <c r="D54" i="38"/>
  <c r="D55" i="38"/>
  <c r="D56" i="38"/>
  <c r="D57" i="38"/>
  <c r="D24" i="38"/>
  <c r="D25" i="38"/>
  <c r="D26" i="38"/>
  <c r="D27" i="38"/>
  <c r="D28" i="38"/>
  <c r="D29" i="38"/>
  <c r="D30" i="38"/>
  <c r="D31" i="38"/>
  <c r="D32" i="38"/>
  <c r="D33" i="38"/>
  <c r="D34" i="38"/>
  <c r="D35" i="38"/>
  <c r="D36" i="38"/>
  <c r="D37" i="38"/>
  <c r="D38" i="38"/>
  <c r="D39" i="38"/>
  <c r="D6" i="38"/>
  <c r="D7" i="38"/>
  <c r="D8" i="38"/>
  <c r="D9" i="38"/>
  <c r="D10" i="38"/>
  <c r="D11" i="38"/>
  <c r="D12" i="38"/>
  <c r="D13" i="38"/>
  <c r="D14" i="38"/>
  <c r="D15" i="38"/>
  <c r="D16" i="38"/>
  <c r="D17" i="38"/>
  <c r="D18" i="38"/>
  <c r="D19" i="38"/>
  <c r="D20" i="38"/>
  <c r="D21" i="38"/>
  <c r="H164" i="59" l="1"/>
  <c r="F164" i="59"/>
  <c r="H165" i="59"/>
  <c r="F165" i="59"/>
  <c r="H162" i="59"/>
  <c r="F162" i="59"/>
  <c r="H172" i="59"/>
  <c r="F172" i="59"/>
  <c r="H157" i="59"/>
  <c r="F157" i="59"/>
  <c r="H171" i="59"/>
  <c r="F171" i="59"/>
  <c r="H170" i="59"/>
  <c r="F170" i="59"/>
  <c r="H166" i="59"/>
  <c r="F166" i="59"/>
  <c r="H169" i="59"/>
  <c r="F169" i="59"/>
  <c r="H167" i="59"/>
  <c r="F167" i="59"/>
  <c r="H168" i="59"/>
  <c r="F168" i="59"/>
  <c r="H163" i="59"/>
  <c r="F163" i="59"/>
  <c r="H159" i="59"/>
  <c r="F159" i="59"/>
  <c r="H161" i="59"/>
  <c r="F161" i="59"/>
  <c r="H160" i="59"/>
  <c r="F160" i="59"/>
  <c r="H158" i="59"/>
  <c r="F158" i="59"/>
  <c r="F154" i="59"/>
  <c r="F153" i="59"/>
  <c r="F152" i="59"/>
  <c r="F151" i="59"/>
  <c r="F150" i="59"/>
  <c r="F149" i="59"/>
  <c r="F148" i="59"/>
  <c r="F134" i="59"/>
  <c r="F133" i="59"/>
  <c r="F132" i="59"/>
  <c r="F131" i="59"/>
  <c r="F130" i="59"/>
  <c r="F129" i="59"/>
  <c r="F116" i="59"/>
  <c r="F115" i="59"/>
  <c r="F114" i="59"/>
  <c r="F113" i="59"/>
  <c r="F112" i="59"/>
  <c r="F111" i="59"/>
  <c r="F110" i="59"/>
  <c r="F109" i="59"/>
  <c r="F108" i="59"/>
  <c r="F107" i="59"/>
  <c r="F106" i="59"/>
  <c r="F96" i="59"/>
  <c r="F95" i="59"/>
  <c r="F98" i="59"/>
  <c r="F94" i="59"/>
  <c r="F93" i="59"/>
  <c r="F97" i="59"/>
  <c r="F92" i="59"/>
  <c r="F80" i="59"/>
  <c r="F79" i="59"/>
  <c r="F78" i="59"/>
  <c r="F77" i="59"/>
  <c r="F76" i="59"/>
  <c r="F75" i="59"/>
  <c r="F74" i="59"/>
  <c r="F73" i="59"/>
  <c r="F72" i="59"/>
  <c r="F57" i="59"/>
  <c r="F55" i="59"/>
  <c r="F54" i="59"/>
  <c r="F53" i="59"/>
  <c r="F47" i="59"/>
  <c r="F52" i="59"/>
  <c r="F51" i="59"/>
  <c r="F40" i="59"/>
  <c r="F39" i="59"/>
  <c r="F38" i="59"/>
  <c r="F37" i="59"/>
  <c r="F22" i="59"/>
  <c r="F21" i="59"/>
  <c r="F20" i="59"/>
  <c r="F19" i="59"/>
  <c r="F18" i="59"/>
  <c r="F17" i="59"/>
  <c r="F16" i="59"/>
  <c r="F15" i="59"/>
  <c r="F14" i="59"/>
  <c r="F13" i="59"/>
  <c r="F12" i="59"/>
  <c r="F11" i="59"/>
  <c r="F10" i="59"/>
  <c r="F8" i="59"/>
  <c r="F9" i="59"/>
  <c r="D327" i="39"/>
  <c r="H147" i="59" s="1"/>
  <c r="D326" i="39"/>
  <c r="D325" i="39"/>
  <c r="D324" i="39"/>
  <c r="D323" i="39"/>
  <c r="D322" i="39"/>
  <c r="D321" i="39"/>
  <c r="D320" i="39"/>
  <c r="D319" i="39"/>
  <c r="D318" i="39"/>
  <c r="D317" i="39"/>
  <c r="D316" i="39"/>
  <c r="D315" i="39"/>
  <c r="D314" i="39"/>
  <c r="D313" i="39"/>
  <c r="D312" i="39"/>
  <c r="F147" i="59" s="1"/>
  <c r="D309" i="39"/>
  <c r="H142" i="59" s="1"/>
  <c r="D308" i="39"/>
  <c r="D307" i="39"/>
  <c r="D306" i="39"/>
  <c r="D305" i="39"/>
  <c r="D304" i="39"/>
  <c r="D303" i="39"/>
  <c r="D302" i="39"/>
  <c r="D301" i="39"/>
  <c r="D300" i="39"/>
  <c r="D299" i="39"/>
  <c r="D298" i="39"/>
  <c r="D297" i="39"/>
  <c r="D296" i="39"/>
  <c r="D295" i="39"/>
  <c r="D294" i="39"/>
  <c r="F142" i="59" s="1"/>
  <c r="D291" i="39"/>
  <c r="H146" i="59" s="1"/>
  <c r="D290" i="39"/>
  <c r="D289" i="39"/>
  <c r="D288" i="39"/>
  <c r="D287" i="39"/>
  <c r="D286" i="39"/>
  <c r="D285" i="39"/>
  <c r="D284" i="39"/>
  <c r="D283" i="39"/>
  <c r="D282" i="39"/>
  <c r="D281" i="39"/>
  <c r="D280" i="39"/>
  <c r="D279" i="39"/>
  <c r="D278" i="39"/>
  <c r="D277" i="39"/>
  <c r="D276" i="39"/>
  <c r="F146" i="59" s="1"/>
  <c r="D273" i="39"/>
  <c r="H145" i="59" s="1"/>
  <c r="D272" i="39"/>
  <c r="D271" i="39"/>
  <c r="D270" i="39"/>
  <c r="D269" i="39"/>
  <c r="D268" i="39"/>
  <c r="D267" i="39"/>
  <c r="D266" i="39"/>
  <c r="D265" i="39"/>
  <c r="D264" i="39"/>
  <c r="D263" i="39"/>
  <c r="D262" i="39"/>
  <c r="D261" i="39"/>
  <c r="D260" i="39"/>
  <c r="D259" i="39"/>
  <c r="D258" i="39"/>
  <c r="F145" i="59" s="1"/>
  <c r="D255" i="39"/>
  <c r="H138" i="59" s="1"/>
  <c r="D254" i="39"/>
  <c r="D253" i="39"/>
  <c r="D252" i="39"/>
  <c r="D251" i="39"/>
  <c r="D250" i="39"/>
  <c r="D249" i="39"/>
  <c r="D248" i="39"/>
  <c r="D247" i="39"/>
  <c r="D246" i="39"/>
  <c r="D245" i="39"/>
  <c r="D244" i="39"/>
  <c r="D243" i="39"/>
  <c r="D242" i="39"/>
  <c r="D241" i="39"/>
  <c r="D240" i="39"/>
  <c r="F138" i="59" s="1"/>
  <c r="D237" i="39"/>
  <c r="H154" i="59" s="1"/>
  <c r="D219" i="39"/>
  <c r="H153" i="59" s="1"/>
  <c r="D201" i="39"/>
  <c r="H152" i="59" s="1"/>
  <c r="D183" i="39"/>
  <c r="H137" i="59" s="1"/>
  <c r="D182" i="39"/>
  <c r="D181" i="39"/>
  <c r="D180" i="39"/>
  <c r="D179" i="39"/>
  <c r="D178" i="39"/>
  <c r="D177" i="39"/>
  <c r="D176" i="39"/>
  <c r="D175" i="39"/>
  <c r="D174" i="39"/>
  <c r="D173" i="39"/>
  <c r="D172" i="39"/>
  <c r="D171" i="39"/>
  <c r="D170" i="39"/>
  <c r="D169" i="39"/>
  <c r="D168" i="39"/>
  <c r="F137" i="59" s="1"/>
  <c r="D165" i="39"/>
  <c r="H151" i="59" s="1"/>
  <c r="D147" i="39"/>
  <c r="H150" i="59" s="1"/>
  <c r="D129" i="39"/>
  <c r="H149" i="59" s="1"/>
  <c r="D111" i="39"/>
  <c r="H140" i="59" s="1"/>
  <c r="D110" i="39"/>
  <c r="D109" i="39"/>
  <c r="D108" i="39"/>
  <c r="D107" i="39"/>
  <c r="D106" i="39"/>
  <c r="D105" i="39"/>
  <c r="D104" i="39"/>
  <c r="D103" i="39"/>
  <c r="D102" i="39"/>
  <c r="D101" i="39"/>
  <c r="D100" i="39"/>
  <c r="D99" i="39"/>
  <c r="D98" i="39"/>
  <c r="D97" i="39"/>
  <c r="D96" i="39"/>
  <c r="F140" i="59" s="1"/>
  <c r="D93" i="39"/>
  <c r="H148" i="59" s="1"/>
  <c r="D75" i="39"/>
  <c r="H143" i="59" s="1"/>
  <c r="D74" i="39"/>
  <c r="D73" i="39"/>
  <c r="D72" i="39"/>
  <c r="D71" i="39"/>
  <c r="D70" i="39"/>
  <c r="D69" i="39"/>
  <c r="D68" i="39"/>
  <c r="D67" i="39"/>
  <c r="D66" i="39"/>
  <c r="D65" i="39"/>
  <c r="D64" i="39"/>
  <c r="D63" i="39"/>
  <c r="D62" i="39"/>
  <c r="D61" i="39"/>
  <c r="D60" i="39"/>
  <c r="F143" i="59" s="1"/>
  <c r="D57" i="39"/>
  <c r="H141" i="59" s="1"/>
  <c r="D56" i="39"/>
  <c r="D55" i="39"/>
  <c r="D54" i="39"/>
  <c r="D53" i="39"/>
  <c r="D52" i="39"/>
  <c r="D51" i="39"/>
  <c r="D50" i="39"/>
  <c r="D49" i="39"/>
  <c r="D48" i="39"/>
  <c r="D47" i="39"/>
  <c r="D46" i="39"/>
  <c r="D45" i="39"/>
  <c r="D44" i="39"/>
  <c r="D43" i="39"/>
  <c r="D42" i="39"/>
  <c r="F141" i="59" s="1"/>
  <c r="D39" i="39"/>
  <c r="H144" i="59" s="1"/>
  <c r="D38" i="39"/>
  <c r="D37" i="39"/>
  <c r="D36" i="39"/>
  <c r="D35" i="39"/>
  <c r="D34" i="39"/>
  <c r="D33" i="39"/>
  <c r="D32" i="39"/>
  <c r="D31" i="39"/>
  <c r="D30" i="39"/>
  <c r="D29" i="39"/>
  <c r="D28" i="39"/>
  <c r="D27" i="39"/>
  <c r="D26" i="39"/>
  <c r="D25" i="39"/>
  <c r="D24" i="39"/>
  <c r="F144" i="59" s="1"/>
  <c r="D21" i="39"/>
  <c r="H139" i="59" s="1"/>
  <c r="D20" i="39"/>
  <c r="D19" i="39"/>
  <c r="D18" i="39"/>
  <c r="D17" i="39"/>
  <c r="D16" i="39"/>
  <c r="D15" i="39"/>
  <c r="D14" i="39"/>
  <c r="D13" i="39"/>
  <c r="D12" i="39"/>
  <c r="D11" i="39"/>
  <c r="D10" i="39"/>
  <c r="D9" i="39"/>
  <c r="D8" i="39"/>
  <c r="D7" i="39"/>
  <c r="D6" i="39"/>
  <c r="F139" i="59" s="1"/>
  <c r="D291" i="40"/>
  <c r="H128" i="59" s="1"/>
  <c r="D290" i="40"/>
  <c r="D289" i="40"/>
  <c r="D288" i="40"/>
  <c r="D287" i="40"/>
  <c r="D286" i="40"/>
  <c r="D285" i="40"/>
  <c r="D284" i="40"/>
  <c r="D283" i="40"/>
  <c r="D282" i="40"/>
  <c r="D281" i="40"/>
  <c r="D280" i="40"/>
  <c r="D279" i="40"/>
  <c r="D278" i="40"/>
  <c r="D277" i="40"/>
  <c r="D276" i="40"/>
  <c r="F128" i="59" s="1"/>
  <c r="D273" i="40"/>
  <c r="H127" i="59" s="1"/>
  <c r="D272" i="40"/>
  <c r="D271" i="40"/>
  <c r="D270" i="40"/>
  <c r="D269" i="40"/>
  <c r="D268" i="40"/>
  <c r="D267" i="40"/>
  <c r="D266" i="40"/>
  <c r="D265" i="40"/>
  <c r="D264" i="40"/>
  <c r="D263" i="40"/>
  <c r="D262" i="40"/>
  <c r="D261" i="40"/>
  <c r="D260" i="40"/>
  <c r="D259" i="40"/>
  <c r="D258" i="40"/>
  <c r="F127" i="59" s="1"/>
  <c r="D255" i="40"/>
  <c r="H126" i="59" s="1"/>
  <c r="D254" i="40"/>
  <c r="D253" i="40"/>
  <c r="D252" i="40"/>
  <c r="D251" i="40"/>
  <c r="D250" i="40"/>
  <c r="D249" i="40"/>
  <c r="D248" i="40"/>
  <c r="D247" i="40"/>
  <c r="D246" i="40"/>
  <c r="D245" i="40"/>
  <c r="D244" i="40"/>
  <c r="D243" i="40"/>
  <c r="D242" i="40"/>
  <c r="D241" i="40"/>
  <c r="D240" i="40"/>
  <c r="F126" i="59" s="1"/>
  <c r="D237" i="40"/>
  <c r="H124" i="59" s="1"/>
  <c r="D236" i="40"/>
  <c r="D235" i="40"/>
  <c r="D234" i="40"/>
  <c r="D233" i="40"/>
  <c r="D232" i="40"/>
  <c r="D231" i="40"/>
  <c r="D230" i="40"/>
  <c r="D229" i="40"/>
  <c r="D228" i="40"/>
  <c r="D227" i="40"/>
  <c r="D226" i="40"/>
  <c r="D225" i="40"/>
  <c r="D224" i="40"/>
  <c r="D223" i="40"/>
  <c r="D222" i="40"/>
  <c r="F124" i="59" s="1"/>
  <c r="D219" i="40"/>
  <c r="H134" i="59" s="1"/>
  <c r="D201" i="40"/>
  <c r="H133" i="59" s="1"/>
  <c r="D183" i="40"/>
  <c r="H119" i="59" s="1"/>
  <c r="D182" i="40"/>
  <c r="D181" i="40"/>
  <c r="D180" i="40"/>
  <c r="D179" i="40"/>
  <c r="D178" i="40"/>
  <c r="D177" i="40"/>
  <c r="D176" i="40"/>
  <c r="D175" i="40"/>
  <c r="D174" i="40"/>
  <c r="D173" i="40"/>
  <c r="D172" i="40"/>
  <c r="D171" i="40"/>
  <c r="D170" i="40"/>
  <c r="D169" i="40"/>
  <c r="D168" i="40"/>
  <c r="F119" i="59" s="1"/>
  <c r="D165" i="40"/>
  <c r="H132" i="59" s="1"/>
  <c r="D147" i="40"/>
  <c r="H131" i="59" s="1"/>
  <c r="D129" i="40"/>
  <c r="H130" i="59" s="1"/>
  <c r="D111" i="40"/>
  <c r="H129" i="59" s="1"/>
  <c r="D93" i="40"/>
  <c r="H122" i="59" s="1"/>
  <c r="D92" i="40"/>
  <c r="D91" i="40"/>
  <c r="D90" i="40"/>
  <c r="D89" i="40"/>
  <c r="D88" i="40"/>
  <c r="D87" i="40"/>
  <c r="D86" i="40"/>
  <c r="D85" i="40"/>
  <c r="D84" i="40"/>
  <c r="D83" i="40"/>
  <c r="D82" i="40"/>
  <c r="D81" i="40"/>
  <c r="D80" i="40"/>
  <c r="D79" i="40"/>
  <c r="D78" i="40"/>
  <c r="F122" i="59" s="1"/>
  <c r="D75" i="40"/>
  <c r="H121" i="59" s="1"/>
  <c r="D74" i="40"/>
  <c r="D73" i="40"/>
  <c r="D72" i="40"/>
  <c r="D71" i="40"/>
  <c r="D70" i="40"/>
  <c r="D69" i="40"/>
  <c r="D68" i="40"/>
  <c r="D67" i="40"/>
  <c r="D66" i="40"/>
  <c r="D65" i="40"/>
  <c r="D64" i="40"/>
  <c r="D63" i="40"/>
  <c r="D62" i="40"/>
  <c r="D61" i="40"/>
  <c r="D60" i="40"/>
  <c r="F121" i="59" s="1"/>
  <c r="D57" i="40"/>
  <c r="H125" i="59" s="1"/>
  <c r="D56" i="40"/>
  <c r="D55" i="40"/>
  <c r="D54" i="40"/>
  <c r="D53" i="40"/>
  <c r="D52" i="40"/>
  <c r="D51" i="40"/>
  <c r="D50" i="40"/>
  <c r="D49" i="40"/>
  <c r="D48" i="40"/>
  <c r="D47" i="40"/>
  <c r="D46" i="40"/>
  <c r="D45" i="40"/>
  <c r="D44" i="40"/>
  <c r="D43" i="40"/>
  <c r="D42" i="40"/>
  <c r="F125" i="59" s="1"/>
  <c r="D39" i="40"/>
  <c r="H120" i="59" s="1"/>
  <c r="D38" i="40"/>
  <c r="D37" i="40"/>
  <c r="D36" i="40"/>
  <c r="D35" i="40"/>
  <c r="D34" i="40"/>
  <c r="D33" i="40"/>
  <c r="D32" i="40"/>
  <c r="D31" i="40"/>
  <c r="D30" i="40"/>
  <c r="D29" i="40"/>
  <c r="D28" i="40"/>
  <c r="D27" i="40"/>
  <c r="D26" i="40"/>
  <c r="D25" i="40"/>
  <c r="D24" i="40"/>
  <c r="F120" i="59" s="1"/>
  <c r="D21" i="40"/>
  <c r="H123" i="59" s="1"/>
  <c r="D20" i="40"/>
  <c r="D19" i="40"/>
  <c r="D18" i="40"/>
  <c r="D17" i="40"/>
  <c r="D16" i="40"/>
  <c r="D15" i="40"/>
  <c r="D14" i="40"/>
  <c r="D13" i="40"/>
  <c r="D12" i="40"/>
  <c r="D11" i="40"/>
  <c r="D10" i="40"/>
  <c r="D9" i="40"/>
  <c r="D8" i="40"/>
  <c r="D7" i="40"/>
  <c r="D6" i="40"/>
  <c r="F123" i="59" s="1"/>
  <c r="D291" i="41"/>
  <c r="H116" i="59" s="1"/>
  <c r="D273" i="41"/>
  <c r="H101" i="59" s="1"/>
  <c r="D272" i="41"/>
  <c r="D271" i="41"/>
  <c r="D270" i="41"/>
  <c r="D269" i="41"/>
  <c r="D268" i="41"/>
  <c r="D267" i="41"/>
  <c r="D266" i="41"/>
  <c r="D265" i="41"/>
  <c r="D264" i="41"/>
  <c r="D263" i="41"/>
  <c r="D262" i="41"/>
  <c r="D261" i="41"/>
  <c r="D258" i="41"/>
  <c r="F101" i="59" s="1"/>
  <c r="D255" i="41"/>
  <c r="H115" i="59" s="1"/>
  <c r="D237" i="41"/>
  <c r="H114" i="59" s="1"/>
  <c r="D219" i="41"/>
  <c r="H113" i="59" s="1"/>
  <c r="D201" i="41"/>
  <c r="H112" i="59" s="1"/>
  <c r="D183" i="41"/>
  <c r="H111" i="59" s="1"/>
  <c r="D165" i="41"/>
  <c r="H110" i="59" s="1"/>
  <c r="D147" i="41"/>
  <c r="H109" i="59" s="1"/>
  <c r="D129" i="41"/>
  <c r="H108" i="59" s="1"/>
  <c r="D111" i="41"/>
  <c r="H107" i="59" s="1"/>
  <c r="D93" i="41"/>
  <c r="H105" i="59" s="1"/>
  <c r="D92" i="41"/>
  <c r="D91" i="41"/>
  <c r="D90" i="41"/>
  <c r="D89" i="41"/>
  <c r="D88" i="41"/>
  <c r="D87" i="41"/>
  <c r="D86" i="41"/>
  <c r="D85" i="41"/>
  <c r="D84" i="41"/>
  <c r="D83" i="41"/>
  <c r="D82" i="41"/>
  <c r="D81" i="41"/>
  <c r="D80" i="41"/>
  <c r="D79" i="41"/>
  <c r="D78" i="41"/>
  <c r="F105" i="59" s="1"/>
  <c r="D75" i="41"/>
  <c r="H103" i="59" s="1"/>
  <c r="D74" i="41"/>
  <c r="D73" i="41"/>
  <c r="D72" i="41"/>
  <c r="D71" i="41"/>
  <c r="D70" i="41"/>
  <c r="D69" i="41"/>
  <c r="D68" i="41"/>
  <c r="D67" i="41"/>
  <c r="D66" i="41"/>
  <c r="D65" i="41"/>
  <c r="D64" i="41"/>
  <c r="D63" i="41"/>
  <c r="D60" i="41"/>
  <c r="F103" i="59" s="1"/>
  <c r="D57" i="41"/>
  <c r="H102" i="59" s="1"/>
  <c r="D56" i="41"/>
  <c r="D55" i="41"/>
  <c r="D54" i="41"/>
  <c r="D53" i="41"/>
  <c r="D52" i="41"/>
  <c r="D51" i="41"/>
  <c r="D50" i="41"/>
  <c r="D49" i="41"/>
  <c r="D48" i="41"/>
  <c r="D47" i="41"/>
  <c r="D46" i="41"/>
  <c r="D45" i="41"/>
  <c r="D44" i="41"/>
  <c r="D43" i="41"/>
  <c r="D42" i="41"/>
  <c r="F102" i="59" s="1"/>
  <c r="D39" i="41"/>
  <c r="H106" i="59" s="1"/>
  <c r="D21" i="41"/>
  <c r="H104" i="59" s="1"/>
  <c r="D20" i="41"/>
  <c r="D19" i="41"/>
  <c r="D18" i="41"/>
  <c r="D17" i="41"/>
  <c r="D16" i="41"/>
  <c r="D15" i="41"/>
  <c r="D14" i="41"/>
  <c r="D13" i="41"/>
  <c r="D12" i="41"/>
  <c r="D11" i="41"/>
  <c r="D10" i="41"/>
  <c r="D9" i="41"/>
  <c r="D6" i="41"/>
  <c r="F104" i="59" s="1"/>
  <c r="D273" i="36"/>
  <c r="H88" i="59" s="1"/>
  <c r="D272" i="36"/>
  <c r="D271" i="36"/>
  <c r="D270" i="36"/>
  <c r="D269" i="36"/>
  <c r="D268" i="36"/>
  <c r="D267" i="36"/>
  <c r="D266" i="36"/>
  <c r="D265" i="36"/>
  <c r="D264" i="36"/>
  <c r="D263" i="36"/>
  <c r="D262" i="36"/>
  <c r="D261" i="36"/>
  <c r="D260" i="36"/>
  <c r="D259" i="36"/>
  <c r="D258" i="36"/>
  <c r="F88" i="59" s="1"/>
  <c r="D255" i="36"/>
  <c r="H91" i="59" s="1"/>
  <c r="D254" i="36"/>
  <c r="D253" i="36"/>
  <c r="D252" i="36"/>
  <c r="D251" i="36"/>
  <c r="D250" i="36"/>
  <c r="D249" i="36"/>
  <c r="D248" i="36"/>
  <c r="D247" i="36"/>
  <c r="D246" i="36"/>
  <c r="D245" i="36"/>
  <c r="D244" i="36"/>
  <c r="D243" i="36"/>
  <c r="D242" i="36"/>
  <c r="D241" i="36"/>
  <c r="D240" i="36"/>
  <c r="F91" i="59" s="1"/>
  <c r="D237" i="36"/>
  <c r="H90" i="59" s="1"/>
  <c r="D236" i="36"/>
  <c r="D235" i="36"/>
  <c r="D234" i="36"/>
  <c r="D233" i="36"/>
  <c r="D232" i="36"/>
  <c r="D231" i="36"/>
  <c r="D230" i="36"/>
  <c r="D229" i="36"/>
  <c r="D228" i="36"/>
  <c r="D227" i="36"/>
  <c r="D226" i="36"/>
  <c r="D225" i="36"/>
  <c r="D224" i="36"/>
  <c r="D223" i="36"/>
  <c r="D222" i="36"/>
  <c r="F90" i="59" s="1"/>
  <c r="D219" i="36"/>
  <c r="H96" i="59" s="1"/>
  <c r="D201" i="36"/>
  <c r="H89" i="59" s="1"/>
  <c r="D200" i="36"/>
  <c r="D199" i="36"/>
  <c r="D198" i="36"/>
  <c r="D197" i="36"/>
  <c r="D196" i="36"/>
  <c r="D195" i="36"/>
  <c r="D194" i="36"/>
  <c r="D193" i="36"/>
  <c r="D192" i="36"/>
  <c r="D191" i="36"/>
  <c r="D190" i="36"/>
  <c r="D189" i="36"/>
  <c r="D188" i="36"/>
  <c r="D187" i="36"/>
  <c r="D186" i="36"/>
  <c r="F89" i="59" s="1"/>
  <c r="D183" i="36"/>
  <c r="H95" i="59" s="1"/>
  <c r="D165" i="36"/>
  <c r="H98" i="59" s="1"/>
  <c r="D147" i="36"/>
  <c r="H94" i="59" s="1"/>
  <c r="D129" i="36"/>
  <c r="H85" i="59" s="1"/>
  <c r="D128" i="36"/>
  <c r="D127" i="36"/>
  <c r="D126" i="36"/>
  <c r="D125" i="36"/>
  <c r="D124" i="36"/>
  <c r="D123" i="36"/>
  <c r="D122" i="36"/>
  <c r="D121" i="36"/>
  <c r="D120" i="36"/>
  <c r="D119" i="36"/>
  <c r="D118" i="36"/>
  <c r="D117" i="36"/>
  <c r="D116" i="36"/>
  <c r="D115" i="36"/>
  <c r="D114" i="36"/>
  <c r="F85" i="59" s="1"/>
  <c r="D111" i="36"/>
  <c r="H93" i="59" s="1"/>
  <c r="D93" i="36"/>
  <c r="H97" i="59" s="1"/>
  <c r="D75" i="36"/>
  <c r="H92" i="59" s="1"/>
  <c r="D57" i="36"/>
  <c r="H87" i="59" s="1"/>
  <c r="D56" i="36"/>
  <c r="D55" i="36"/>
  <c r="D54" i="36"/>
  <c r="D53" i="36"/>
  <c r="D52" i="36"/>
  <c r="D51" i="36"/>
  <c r="D50" i="36"/>
  <c r="D49" i="36"/>
  <c r="D48" i="36"/>
  <c r="D47" i="36"/>
  <c r="D46" i="36"/>
  <c r="D45" i="36"/>
  <c r="D44" i="36"/>
  <c r="D43" i="36"/>
  <c r="D42" i="36"/>
  <c r="F87" i="59" s="1"/>
  <c r="D39" i="36"/>
  <c r="H86" i="59" s="1"/>
  <c r="D38" i="36"/>
  <c r="D37" i="36"/>
  <c r="D36" i="36"/>
  <c r="D35" i="36"/>
  <c r="D34" i="36"/>
  <c r="D33" i="36"/>
  <c r="D32" i="36"/>
  <c r="D31" i="36"/>
  <c r="D30" i="36"/>
  <c r="D29" i="36"/>
  <c r="D28" i="36"/>
  <c r="D27" i="36"/>
  <c r="D26" i="36"/>
  <c r="D25" i="36"/>
  <c r="D24" i="36"/>
  <c r="F86" i="59" s="1"/>
  <c r="D21" i="36"/>
  <c r="H84" i="59" s="1"/>
  <c r="D20" i="36"/>
  <c r="D19" i="36"/>
  <c r="D18" i="36"/>
  <c r="D17" i="36"/>
  <c r="D16" i="36"/>
  <c r="D15" i="36"/>
  <c r="D14" i="36"/>
  <c r="D13" i="36"/>
  <c r="D12" i="36"/>
  <c r="D11" i="36"/>
  <c r="D10" i="36"/>
  <c r="D9" i="36"/>
  <c r="D8" i="36"/>
  <c r="D7" i="36"/>
  <c r="D6" i="36"/>
  <c r="F84" i="59" s="1"/>
  <c r="D381" i="55"/>
  <c r="H70" i="59" s="1"/>
  <c r="D380" i="55"/>
  <c r="D379" i="55"/>
  <c r="D378" i="55"/>
  <c r="D377" i="55"/>
  <c r="D376" i="55"/>
  <c r="D375" i="55"/>
  <c r="D374" i="55"/>
  <c r="D373" i="55"/>
  <c r="D372" i="55"/>
  <c r="D371" i="55"/>
  <c r="D370" i="55"/>
  <c r="D369" i="55"/>
  <c r="D368" i="55"/>
  <c r="D367" i="55"/>
  <c r="D366" i="55"/>
  <c r="F70" i="59" s="1"/>
  <c r="D363" i="55"/>
  <c r="H71" i="59" s="1"/>
  <c r="D362" i="55"/>
  <c r="D361" i="55"/>
  <c r="D360" i="55"/>
  <c r="D359" i="55"/>
  <c r="D358" i="55"/>
  <c r="D357" i="55"/>
  <c r="D356" i="55"/>
  <c r="D355" i="55"/>
  <c r="D354" i="55"/>
  <c r="D353" i="55"/>
  <c r="D352" i="55"/>
  <c r="D351" i="55"/>
  <c r="D350" i="55"/>
  <c r="D349" i="55"/>
  <c r="D348" i="55"/>
  <c r="F71" i="59" s="1"/>
  <c r="D345" i="55"/>
  <c r="H68" i="59" s="1"/>
  <c r="D344" i="55"/>
  <c r="D343" i="55"/>
  <c r="D342" i="55"/>
  <c r="D341" i="55"/>
  <c r="D340" i="55"/>
  <c r="D339" i="55"/>
  <c r="D338" i="55"/>
  <c r="D337" i="55"/>
  <c r="D336" i="55"/>
  <c r="D335" i="55"/>
  <c r="D334" i="55"/>
  <c r="D333" i="55"/>
  <c r="D332" i="55"/>
  <c r="D331" i="55"/>
  <c r="D330" i="55"/>
  <c r="F68" i="59" s="1"/>
  <c r="D327" i="55"/>
  <c r="H69" i="59" s="1"/>
  <c r="D326" i="55"/>
  <c r="D325" i="55"/>
  <c r="D324" i="55"/>
  <c r="D323" i="55"/>
  <c r="D322" i="55"/>
  <c r="D321" i="55"/>
  <c r="D320" i="55"/>
  <c r="D319" i="55"/>
  <c r="D318" i="55"/>
  <c r="D317" i="55"/>
  <c r="D316" i="55"/>
  <c r="D315" i="55"/>
  <c r="D314" i="55"/>
  <c r="D313" i="55"/>
  <c r="D312" i="55"/>
  <c r="F69" i="59" s="1"/>
  <c r="D309" i="55"/>
  <c r="H80" i="59" s="1"/>
  <c r="D291" i="55"/>
  <c r="H79" i="59" s="1"/>
  <c r="D273" i="55"/>
  <c r="H78" i="59" s="1"/>
  <c r="D255" i="55"/>
  <c r="H77" i="59" s="1"/>
  <c r="D237" i="55"/>
  <c r="H76" i="59" s="1"/>
  <c r="D219" i="55"/>
  <c r="H62" i="59" s="1"/>
  <c r="D218" i="55"/>
  <c r="D217" i="55"/>
  <c r="D216" i="55"/>
  <c r="D215" i="55"/>
  <c r="D214" i="55"/>
  <c r="D213" i="55"/>
  <c r="D212" i="55"/>
  <c r="D211" i="55"/>
  <c r="D210" i="55"/>
  <c r="D209" i="55"/>
  <c r="D208" i="55"/>
  <c r="D207" i="55"/>
  <c r="D206" i="55"/>
  <c r="D205" i="55"/>
  <c r="D204" i="55"/>
  <c r="F62" i="59" s="1"/>
  <c r="D201" i="55"/>
  <c r="H75" i="59" s="1"/>
  <c r="D183" i="55"/>
  <c r="H74" i="59" s="1"/>
  <c r="D165" i="55"/>
  <c r="H81" i="59" s="1"/>
  <c r="D147" i="55"/>
  <c r="H73" i="59" s="1"/>
  <c r="D129" i="55"/>
  <c r="H72" i="59" s="1"/>
  <c r="D111" i="55"/>
  <c r="H66" i="59" s="1"/>
  <c r="D110" i="55"/>
  <c r="D109" i="55"/>
  <c r="D108" i="55"/>
  <c r="D107" i="55"/>
  <c r="D106" i="55"/>
  <c r="D105" i="55"/>
  <c r="D104" i="55"/>
  <c r="D103" i="55"/>
  <c r="D102" i="55"/>
  <c r="D101" i="55"/>
  <c r="D100" i="55"/>
  <c r="D99" i="55"/>
  <c r="D98" i="55"/>
  <c r="D97" i="55"/>
  <c r="D96" i="55"/>
  <c r="F66" i="59" s="1"/>
  <c r="D93" i="55"/>
  <c r="H64" i="59" s="1"/>
  <c r="D92" i="55"/>
  <c r="D91" i="55"/>
  <c r="D90" i="55"/>
  <c r="D89" i="55"/>
  <c r="D88" i="55"/>
  <c r="D87" i="55"/>
  <c r="D86" i="55"/>
  <c r="D85" i="55"/>
  <c r="D84" i="55"/>
  <c r="D83" i="55"/>
  <c r="D82" i="55"/>
  <c r="D81" i="55"/>
  <c r="D80" i="55"/>
  <c r="D79" i="55"/>
  <c r="D78" i="55"/>
  <c r="F64" i="59" s="1"/>
  <c r="D75" i="55"/>
  <c r="H67" i="59" s="1"/>
  <c r="D74" i="55"/>
  <c r="D73" i="55"/>
  <c r="D72" i="55"/>
  <c r="D71" i="55"/>
  <c r="D70" i="55"/>
  <c r="D69" i="55"/>
  <c r="D68" i="55"/>
  <c r="D67" i="55"/>
  <c r="D66" i="55"/>
  <c r="D65" i="55"/>
  <c r="D64" i="55"/>
  <c r="D63" i="55"/>
  <c r="D62" i="55"/>
  <c r="D61" i="55"/>
  <c r="D60" i="55"/>
  <c r="F67" i="59" s="1"/>
  <c r="D57" i="55"/>
  <c r="H61" i="59" s="1"/>
  <c r="D56" i="55"/>
  <c r="D55" i="55"/>
  <c r="D54" i="55"/>
  <c r="D53" i="55"/>
  <c r="D52" i="55"/>
  <c r="D51" i="55"/>
  <c r="D50" i="55"/>
  <c r="D49" i="55"/>
  <c r="D48" i="55"/>
  <c r="D47" i="55"/>
  <c r="D46" i="55"/>
  <c r="D45" i="55"/>
  <c r="D44" i="55"/>
  <c r="D43" i="55"/>
  <c r="D42" i="55"/>
  <c r="F61" i="59" s="1"/>
  <c r="D39" i="55"/>
  <c r="H63" i="59" s="1"/>
  <c r="D38" i="55"/>
  <c r="D37" i="55"/>
  <c r="D36" i="55"/>
  <c r="D35" i="55"/>
  <c r="D34" i="55"/>
  <c r="D33" i="55"/>
  <c r="D32" i="55"/>
  <c r="D31" i="55"/>
  <c r="D30" i="55"/>
  <c r="D29" i="55"/>
  <c r="D28" i="55"/>
  <c r="D27" i="55"/>
  <c r="D26" i="55"/>
  <c r="D25" i="55"/>
  <c r="D24" i="55"/>
  <c r="F63" i="59" s="1"/>
  <c r="D21" i="55"/>
  <c r="H65" i="59" s="1"/>
  <c r="D20" i="55"/>
  <c r="D19" i="55"/>
  <c r="D18" i="55"/>
  <c r="D17" i="55"/>
  <c r="D16" i="55"/>
  <c r="D15" i="55"/>
  <c r="D14" i="55"/>
  <c r="D13" i="55"/>
  <c r="D12" i="55"/>
  <c r="D11" i="55"/>
  <c r="D10" i="55"/>
  <c r="D9" i="55"/>
  <c r="D8" i="55"/>
  <c r="D7" i="55"/>
  <c r="D6" i="55"/>
  <c r="F65" i="59" s="1"/>
  <c r="F56" i="59"/>
  <c r="D273" i="62"/>
  <c r="H57" i="59" s="1"/>
  <c r="D255" i="62"/>
  <c r="H44" i="59" s="1"/>
  <c r="D254" i="62"/>
  <c r="D253" i="62"/>
  <c r="D252" i="62"/>
  <c r="D251" i="62"/>
  <c r="D250" i="62"/>
  <c r="D249" i="62"/>
  <c r="D248" i="62"/>
  <c r="D247" i="62"/>
  <c r="D246" i="62"/>
  <c r="D245" i="62"/>
  <c r="D244" i="62"/>
  <c r="D243" i="62"/>
  <c r="D242" i="62"/>
  <c r="D241" i="62"/>
  <c r="D240" i="62"/>
  <c r="F44" i="59" s="1"/>
  <c r="D237" i="62"/>
  <c r="H43" i="59" s="1"/>
  <c r="D236" i="62"/>
  <c r="D235" i="62"/>
  <c r="D234" i="62"/>
  <c r="D233" i="62"/>
  <c r="D232" i="62"/>
  <c r="D231" i="62"/>
  <c r="D230" i="62"/>
  <c r="D229" i="62"/>
  <c r="D228" i="62"/>
  <c r="D227" i="62"/>
  <c r="D226" i="62"/>
  <c r="D225" i="62"/>
  <c r="D224" i="62"/>
  <c r="D223" i="62"/>
  <c r="D222" i="62"/>
  <c r="F43" i="59" s="1"/>
  <c r="D219" i="62"/>
  <c r="H56" i="59" s="1"/>
  <c r="D201" i="62"/>
  <c r="H55" i="59" s="1"/>
  <c r="D183" i="62"/>
  <c r="H54" i="59" s="1"/>
  <c r="D165" i="62"/>
  <c r="H49" i="59" s="1"/>
  <c r="D164" i="62"/>
  <c r="D163" i="62"/>
  <c r="D162" i="62"/>
  <c r="D161" i="62"/>
  <c r="D160" i="62"/>
  <c r="D159" i="62"/>
  <c r="D158" i="62"/>
  <c r="D157" i="62"/>
  <c r="D156" i="62"/>
  <c r="D155" i="62"/>
  <c r="D154" i="62"/>
  <c r="D153" i="62"/>
  <c r="D152" i="62"/>
  <c r="D151" i="62"/>
  <c r="D150" i="62"/>
  <c r="F49" i="59" s="1"/>
  <c r="D147" i="62"/>
  <c r="H53" i="59" s="1"/>
  <c r="D129" i="62"/>
  <c r="H47" i="59" s="1"/>
  <c r="D111" i="62"/>
  <c r="H50" i="59" s="1"/>
  <c r="D110" i="62"/>
  <c r="D109" i="62"/>
  <c r="D108" i="62"/>
  <c r="D107" i="62"/>
  <c r="D106" i="62"/>
  <c r="D105" i="62"/>
  <c r="D104" i="62"/>
  <c r="D103" i="62"/>
  <c r="D102" i="62"/>
  <c r="D101" i="62"/>
  <c r="D100" i="62"/>
  <c r="D99" i="62"/>
  <c r="D98" i="62"/>
  <c r="D97" i="62"/>
  <c r="D96" i="62"/>
  <c r="F50" i="59" s="1"/>
  <c r="D93" i="62"/>
  <c r="H46" i="59" s="1"/>
  <c r="D92" i="62"/>
  <c r="D91" i="62"/>
  <c r="D90" i="62"/>
  <c r="D89" i="62"/>
  <c r="D88" i="62"/>
  <c r="D87" i="62"/>
  <c r="D86" i="62"/>
  <c r="D85" i="62"/>
  <c r="D84" i="62"/>
  <c r="D83" i="62"/>
  <c r="D82" i="62"/>
  <c r="D81" i="62"/>
  <c r="D80" i="62"/>
  <c r="D79" i="62"/>
  <c r="D78" i="62"/>
  <c r="F46" i="59" s="1"/>
  <c r="D75" i="62"/>
  <c r="H52" i="59" s="1"/>
  <c r="D57" i="62"/>
  <c r="H51" i="59" s="1"/>
  <c r="D39" i="62"/>
  <c r="H48" i="59" s="1"/>
  <c r="D38" i="62"/>
  <c r="D37" i="62"/>
  <c r="D36" i="62"/>
  <c r="D35" i="62"/>
  <c r="D34" i="62"/>
  <c r="D33" i="62"/>
  <c r="D32" i="62"/>
  <c r="D31" i="62"/>
  <c r="D30" i="62"/>
  <c r="D29" i="62"/>
  <c r="D28" i="62"/>
  <c r="D27" i="62"/>
  <c r="D26" i="62"/>
  <c r="D25" i="62"/>
  <c r="D24" i="62"/>
  <c r="F48" i="59" s="1"/>
  <c r="D21" i="62"/>
  <c r="H45" i="59" s="1"/>
  <c r="D20" i="62"/>
  <c r="D19" i="62"/>
  <c r="D18" i="62"/>
  <c r="D17" i="62"/>
  <c r="D16" i="62"/>
  <c r="D15" i="62"/>
  <c r="D14" i="62"/>
  <c r="D13" i="62"/>
  <c r="D12" i="62"/>
  <c r="D11" i="62"/>
  <c r="D10" i="62"/>
  <c r="D9" i="62"/>
  <c r="D8" i="62"/>
  <c r="D7" i="62"/>
  <c r="D6" i="62"/>
  <c r="F45" i="59" s="1"/>
  <c r="D291" i="32"/>
  <c r="H35" i="59" s="1"/>
  <c r="D290" i="32"/>
  <c r="D289" i="32"/>
  <c r="D288" i="32"/>
  <c r="D287" i="32"/>
  <c r="D286" i="32"/>
  <c r="D285" i="32"/>
  <c r="D284" i="32"/>
  <c r="D283" i="32"/>
  <c r="D282" i="32"/>
  <c r="D281" i="32"/>
  <c r="D280" i="32"/>
  <c r="D279" i="32"/>
  <c r="D278" i="32"/>
  <c r="D277" i="32"/>
  <c r="D276" i="32"/>
  <c r="F35" i="59" s="1"/>
  <c r="D273" i="32"/>
  <c r="H33" i="59" s="1"/>
  <c r="D272" i="32"/>
  <c r="D271" i="32"/>
  <c r="D270" i="32"/>
  <c r="D269" i="32"/>
  <c r="D268" i="32"/>
  <c r="D267" i="32"/>
  <c r="D266" i="32"/>
  <c r="D265" i="32"/>
  <c r="D264" i="32"/>
  <c r="D263" i="32"/>
  <c r="D262" i="32"/>
  <c r="D261" i="32"/>
  <c r="D260" i="32"/>
  <c r="D259" i="32"/>
  <c r="D258" i="32"/>
  <c r="F33" i="59" s="1"/>
  <c r="D255" i="32"/>
  <c r="H36" i="59" s="1"/>
  <c r="D254" i="32"/>
  <c r="D253" i="32"/>
  <c r="D252" i="32"/>
  <c r="D251" i="32"/>
  <c r="D250" i="32"/>
  <c r="D249" i="32"/>
  <c r="D248" i="32"/>
  <c r="D247" i="32"/>
  <c r="D246" i="32"/>
  <c r="D245" i="32"/>
  <c r="D244" i="32"/>
  <c r="D243" i="32"/>
  <c r="D242" i="32"/>
  <c r="D241" i="32"/>
  <c r="D240" i="32"/>
  <c r="F36" i="59" s="1"/>
  <c r="D237" i="32"/>
  <c r="H34" i="59" s="1"/>
  <c r="D236" i="32"/>
  <c r="D235" i="32"/>
  <c r="D234" i="32"/>
  <c r="D233" i="32"/>
  <c r="D232" i="32"/>
  <c r="D231" i="32"/>
  <c r="D230" i="32"/>
  <c r="D229" i="32"/>
  <c r="D228" i="32"/>
  <c r="D227" i="32"/>
  <c r="D226" i="32"/>
  <c r="D225" i="32"/>
  <c r="D224" i="32"/>
  <c r="D223" i="32"/>
  <c r="D222" i="32"/>
  <c r="F34" i="59" s="1"/>
  <c r="D219" i="32"/>
  <c r="H25" i="59" s="1"/>
  <c r="D218" i="32"/>
  <c r="D217" i="32"/>
  <c r="D216" i="32"/>
  <c r="D215" i="32"/>
  <c r="D214" i="32"/>
  <c r="D213" i="32"/>
  <c r="D212" i="32"/>
  <c r="D211" i="32"/>
  <c r="D210" i="32"/>
  <c r="D209" i="32"/>
  <c r="D208" i="32"/>
  <c r="D207" i="32"/>
  <c r="D206" i="32"/>
  <c r="D205" i="32"/>
  <c r="D204" i="32"/>
  <c r="F25" i="59" s="1"/>
  <c r="D201" i="32"/>
  <c r="H26" i="59" s="1"/>
  <c r="D200" i="32"/>
  <c r="D199" i="32"/>
  <c r="D198" i="32"/>
  <c r="D197" i="32"/>
  <c r="D196" i="32"/>
  <c r="D195" i="32"/>
  <c r="D194" i="32"/>
  <c r="D193" i="32"/>
  <c r="D192" i="32"/>
  <c r="D191" i="32"/>
  <c r="D190" i="32"/>
  <c r="D189" i="32"/>
  <c r="D188" i="32"/>
  <c r="D187" i="32"/>
  <c r="D186" i="32"/>
  <c r="F26" i="59" s="1"/>
  <c r="D183" i="32"/>
  <c r="H40" i="59" s="1"/>
  <c r="D165" i="32"/>
  <c r="H39" i="59" s="1"/>
  <c r="D147" i="32"/>
  <c r="H38" i="59" s="1"/>
  <c r="D129" i="32"/>
  <c r="H31" i="59" s="1"/>
  <c r="D128" i="32"/>
  <c r="D127" i="32"/>
  <c r="D126" i="32"/>
  <c r="D125" i="32"/>
  <c r="D124" i="32"/>
  <c r="D123" i="32"/>
  <c r="D122" i="32"/>
  <c r="D121" i="32"/>
  <c r="D120" i="32"/>
  <c r="D119" i="32"/>
  <c r="D118" i="32"/>
  <c r="D117" i="32"/>
  <c r="D116" i="32"/>
  <c r="D115" i="32"/>
  <c r="D114" i="32"/>
  <c r="F31" i="59" s="1"/>
  <c r="D111" i="32"/>
  <c r="H37" i="59" s="1"/>
  <c r="D93" i="32"/>
  <c r="H27" i="59" s="1"/>
  <c r="D92" i="32"/>
  <c r="D91" i="32"/>
  <c r="D90" i="32"/>
  <c r="D89" i="32"/>
  <c r="D88" i="32"/>
  <c r="D87" i="32"/>
  <c r="D86" i="32"/>
  <c r="D85" i="32"/>
  <c r="D84" i="32"/>
  <c r="D83" i="32"/>
  <c r="D82" i="32"/>
  <c r="D81" i="32"/>
  <c r="D80" i="32"/>
  <c r="D79" i="32"/>
  <c r="D78" i="32"/>
  <c r="F27" i="59" s="1"/>
  <c r="D75" i="32"/>
  <c r="H29" i="59" s="1"/>
  <c r="D74" i="32"/>
  <c r="D73" i="32"/>
  <c r="D72" i="32"/>
  <c r="D71" i="32"/>
  <c r="D70" i="32"/>
  <c r="D69" i="32"/>
  <c r="D68" i="32"/>
  <c r="D67" i="32"/>
  <c r="D66" i="32"/>
  <c r="D65" i="32"/>
  <c r="D64" i="32"/>
  <c r="D63" i="32"/>
  <c r="D62" i="32"/>
  <c r="D61" i="32"/>
  <c r="D60" i="32"/>
  <c r="F29" i="59" s="1"/>
  <c r="D57" i="32"/>
  <c r="H28" i="59" s="1"/>
  <c r="D56" i="32"/>
  <c r="D55" i="32"/>
  <c r="D54" i="32"/>
  <c r="D53" i="32"/>
  <c r="D52" i="32"/>
  <c r="D51" i="32"/>
  <c r="D50" i="32"/>
  <c r="D49" i="32"/>
  <c r="D48" i="32"/>
  <c r="D47" i="32"/>
  <c r="D46" i="32"/>
  <c r="D45" i="32"/>
  <c r="D44" i="32"/>
  <c r="D43" i="32"/>
  <c r="D42" i="32"/>
  <c r="F28" i="59" s="1"/>
  <c r="D39" i="32"/>
  <c r="H30" i="59" s="1"/>
  <c r="D38" i="32"/>
  <c r="D37" i="32"/>
  <c r="D36" i="32"/>
  <c r="D35" i="32"/>
  <c r="D34" i="32"/>
  <c r="D33" i="32"/>
  <c r="D32" i="32"/>
  <c r="D31" i="32"/>
  <c r="D30" i="32"/>
  <c r="D29" i="32"/>
  <c r="D28" i="32"/>
  <c r="D27" i="32"/>
  <c r="D26" i="32"/>
  <c r="D25" i="32"/>
  <c r="D24" i="32"/>
  <c r="F30" i="59" s="1"/>
  <c r="D21" i="32"/>
  <c r="H32" i="59" s="1"/>
  <c r="D20" i="32"/>
  <c r="D19" i="32"/>
  <c r="D18" i="32"/>
  <c r="D17" i="32"/>
  <c r="D16" i="32"/>
  <c r="D15" i="32"/>
  <c r="D14" i="32"/>
  <c r="D13" i="32"/>
  <c r="D12" i="32"/>
  <c r="D11" i="32"/>
  <c r="D10" i="32"/>
  <c r="D9" i="32"/>
  <c r="D8" i="32"/>
  <c r="D7" i="32"/>
  <c r="D6" i="32"/>
  <c r="F32" i="59" s="1"/>
  <c r="D327" i="18"/>
  <c r="H22" i="59" s="1"/>
  <c r="D309" i="18"/>
  <c r="H21" i="59" s="1"/>
  <c r="D291" i="18"/>
  <c r="H20" i="59" s="1"/>
  <c r="D273" i="18"/>
  <c r="H19" i="59" s="1"/>
  <c r="D255" i="18"/>
  <c r="H18" i="59" s="1"/>
  <c r="D237" i="18"/>
  <c r="H17" i="59" s="1"/>
  <c r="D219" i="18"/>
  <c r="H16" i="59" s="1"/>
  <c r="D201" i="18"/>
  <c r="H15" i="59" s="1"/>
  <c r="D183" i="18"/>
  <c r="H14" i="59" s="1"/>
  <c r="D165" i="18"/>
  <c r="H13" i="59" s="1"/>
  <c r="D147" i="18"/>
  <c r="H12" i="59" s="1"/>
  <c r="D129" i="18"/>
  <c r="H11" i="59" s="1"/>
  <c r="D111" i="18"/>
  <c r="H10" i="59" s="1"/>
  <c r="D93" i="18"/>
  <c r="H7" i="59" s="1"/>
  <c r="D92" i="18"/>
  <c r="D91" i="18"/>
  <c r="D90" i="18"/>
  <c r="D89" i="18"/>
  <c r="D88" i="18"/>
  <c r="D87" i="18"/>
  <c r="D86" i="18"/>
  <c r="D85" i="18"/>
  <c r="D84" i="18"/>
  <c r="D83" i="18"/>
  <c r="D82" i="18"/>
  <c r="D81" i="18"/>
  <c r="D80" i="18"/>
  <c r="D79" i="18"/>
  <c r="D78" i="18"/>
  <c r="F7" i="59" s="1"/>
  <c r="D75" i="18"/>
  <c r="H8" i="59" s="1"/>
  <c r="D74" i="18"/>
  <c r="D73" i="18"/>
  <c r="D72" i="18"/>
  <c r="D71" i="18"/>
  <c r="D70" i="18"/>
  <c r="D69" i="18"/>
  <c r="D68" i="18"/>
  <c r="D67" i="18"/>
  <c r="D66" i="18"/>
  <c r="D65" i="18"/>
  <c r="D64" i="18"/>
  <c r="D63" i="18"/>
  <c r="D62" i="18"/>
  <c r="D61" i="18"/>
  <c r="D60" i="18"/>
  <c r="D57" i="18"/>
  <c r="H5" i="59" s="1"/>
  <c r="D56" i="18"/>
  <c r="D55" i="18"/>
  <c r="D54" i="18"/>
  <c r="D53" i="18"/>
  <c r="D52" i="18"/>
  <c r="D51" i="18"/>
  <c r="D50" i="18"/>
  <c r="D49" i="18"/>
  <c r="D48" i="18"/>
  <c r="D47" i="18"/>
  <c r="D46" i="18"/>
  <c r="D45" i="18"/>
  <c r="D44" i="18"/>
  <c r="D43" i="18"/>
  <c r="D42" i="18"/>
  <c r="F5" i="59" s="1"/>
  <c r="D39" i="18"/>
  <c r="H6" i="59" s="1"/>
  <c r="D38" i="18"/>
  <c r="D37" i="18"/>
  <c r="D36" i="18"/>
  <c r="D35" i="18"/>
  <c r="D34" i="18"/>
  <c r="D33" i="18"/>
  <c r="D32" i="18"/>
  <c r="D31" i="18"/>
  <c r="D30" i="18"/>
  <c r="D29" i="18"/>
  <c r="D28" i="18"/>
  <c r="D27" i="18"/>
  <c r="D26" i="18"/>
  <c r="D25" i="18"/>
  <c r="D24" i="18"/>
  <c r="F6" i="59" s="1"/>
  <c r="D21" i="18"/>
  <c r="H9" i="59" s="1"/>
  <c r="C116" i="59"/>
  <c r="C291" i="41"/>
  <c r="E116" i="59" s="1"/>
  <c r="C381" i="55"/>
  <c r="C380" i="55"/>
  <c r="C379" i="55"/>
  <c r="C378" i="55"/>
  <c r="C377" i="55"/>
  <c r="C376" i="55"/>
  <c r="C375" i="55"/>
  <c r="C374" i="55"/>
  <c r="C373" i="55"/>
  <c r="C372" i="55"/>
  <c r="C371" i="55"/>
  <c r="C370" i="55"/>
  <c r="C369" i="55"/>
  <c r="C368" i="55"/>
  <c r="C367" i="55"/>
  <c r="C366" i="55"/>
  <c r="C363" i="55"/>
  <c r="C362" i="55"/>
  <c r="C361" i="55"/>
  <c r="C360" i="55"/>
  <c r="C359" i="55"/>
  <c r="C358" i="55"/>
  <c r="C357" i="55"/>
  <c r="C356" i="55"/>
  <c r="C355" i="55"/>
  <c r="C354" i="55"/>
  <c r="C353" i="55"/>
  <c r="C352" i="55"/>
  <c r="C351" i="55"/>
  <c r="C350" i="55"/>
  <c r="C349" i="55"/>
  <c r="C348" i="55"/>
  <c r="C345" i="55"/>
  <c r="C344" i="55"/>
  <c r="C343" i="55"/>
  <c r="C342" i="55"/>
  <c r="C341" i="55"/>
  <c r="C340" i="55"/>
  <c r="C339" i="55"/>
  <c r="C338" i="55"/>
  <c r="C337" i="55"/>
  <c r="C336" i="55"/>
  <c r="C335" i="55"/>
  <c r="C334" i="55"/>
  <c r="C333" i="55"/>
  <c r="C332" i="55"/>
  <c r="C331" i="55"/>
  <c r="C330" i="55"/>
  <c r="C327" i="55"/>
  <c r="C326" i="55"/>
  <c r="C325" i="55"/>
  <c r="C324" i="55"/>
  <c r="C323" i="55"/>
  <c r="C322" i="55"/>
  <c r="C321" i="55"/>
  <c r="C320" i="55"/>
  <c r="C319" i="55"/>
  <c r="C318" i="55"/>
  <c r="C317" i="55"/>
  <c r="C316" i="55"/>
  <c r="C315" i="55"/>
  <c r="C314" i="55"/>
  <c r="C313" i="55"/>
  <c r="C312" i="55"/>
  <c r="C309" i="55"/>
  <c r="C291" i="55"/>
  <c r="C273" i="55"/>
  <c r="C255" i="55"/>
  <c r="C237" i="55"/>
  <c r="C219" i="55"/>
  <c r="C218" i="55"/>
  <c r="C217" i="55"/>
  <c r="C216" i="55"/>
  <c r="C215" i="55"/>
  <c r="C214" i="55"/>
  <c r="C213" i="55"/>
  <c r="C212" i="55"/>
  <c r="C211" i="55"/>
  <c r="C210" i="55"/>
  <c r="C209" i="55"/>
  <c r="C208" i="55"/>
  <c r="C207" i="55"/>
  <c r="C206" i="55"/>
  <c r="C205" i="55"/>
  <c r="C204" i="55"/>
  <c r="C201" i="55"/>
  <c r="C183" i="55"/>
  <c r="C165" i="55"/>
  <c r="C147" i="55"/>
  <c r="C129" i="55"/>
  <c r="C111" i="55"/>
  <c r="C110" i="55"/>
  <c r="C109" i="55"/>
  <c r="C108" i="55"/>
  <c r="C107" i="55"/>
  <c r="C106" i="55"/>
  <c r="C105" i="55"/>
  <c r="C104" i="55"/>
  <c r="C103" i="55"/>
  <c r="C102" i="55"/>
  <c r="C101" i="55"/>
  <c r="C100" i="55"/>
  <c r="C99" i="55"/>
  <c r="C98" i="55"/>
  <c r="C97" i="55"/>
  <c r="C96" i="55"/>
  <c r="C93" i="55"/>
  <c r="C92" i="55"/>
  <c r="C91" i="55"/>
  <c r="C90" i="55"/>
  <c r="C89" i="55"/>
  <c r="C88" i="55"/>
  <c r="C87" i="55"/>
  <c r="C86" i="55"/>
  <c r="C85" i="55"/>
  <c r="C84" i="55"/>
  <c r="C83" i="55"/>
  <c r="C82" i="55"/>
  <c r="C81" i="55"/>
  <c r="C80" i="55"/>
  <c r="C79" i="55"/>
  <c r="C78" i="55"/>
  <c r="C75" i="55"/>
  <c r="C74" i="55"/>
  <c r="C73" i="55"/>
  <c r="C72" i="55"/>
  <c r="C71" i="55"/>
  <c r="C70" i="55"/>
  <c r="C69" i="55"/>
  <c r="C68" i="55"/>
  <c r="C67" i="55"/>
  <c r="C66" i="55"/>
  <c r="C65" i="55"/>
  <c r="C64" i="55"/>
  <c r="C63" i="55"/>
  <c r="C62" i="55"/>
  <c r="C61" i="55"/>
  <c r="C60" i="55"/>
  <c r="C57" i="55"/>
  <c r="C56" i="55"/>
  <c r="C55" i="55"/>
  <c r="C54" i="55"/>
  <c r="C53" i="55"/>
  <c r="C52" i="55"/>
  <c r="C51" i="55"/>
  <c r="C50" i="55"/>
  <c r="C49" i="55"/>
  <c r="C48" i="55"/>
  <c r="C47" i="55"/>
  <c r="C46" i="55"/>
  <c r="C45" i="55"/>
  <c r="C44" i="55"/>
  <c r="C43" i="55"/>
  <c r="C42" i="55"/>
  <c r="C39" i="55"/>
  <c r="C38" i="55"/>
  <c r="C37" i="55"/>
  <c r="C36" i="55"/>
  <c r="C35" i="55"/>
  <c r="C34" i="55"/>
  <c r="C33" i="55"/>
  <c r="C32" i="55"/>
  <c r="C31" i="55"/>
  <c r="C30" i="55"/>
  <c r="C29" i="55"/>
  <c r="C28" i="55"/>
  <c r="C27" i="55"/>
  <c r="C26" i="55"/>
  <c r="C25" i="55"/>
  <c r="C24" i="55"/>
  <c r="C21" i="55"/>
  <c r="G5" i="59" l="1"/>
  <c r="G9" i="59"/>
  <c r="G158" i="59"/>
  <c r="G162" i="59"/>
  <c r="G32" i="59"/>
  <c r="G87" i="59"/>
  <c r="G126" i="59"/>
  <c r="G139" i="59"/>
  <c r="G160" i="59"/>
  <c r="G161" i="59"/>
  <c r="G165" i="59"/>
  <c r="G167" i="59"/>
  <c r="G159" i="59"/>
  <c r="G164" i="59"/>
  <c r="G157" i="59"/>
  <c r="G163" i="59"/>
  <c r="G166" i="59"/>
  <c r="G104" i="59"/>
  <c r="G65" i="59"/>
  <c r="G45" i="59"/>
  <c r="G49" i="59"/>
  <c r="G27" i="59"/>
  <c r="G90" i="59"/>
  <c r="G101" i="59"/>
  <c r="G124" i="59"/>
  <c r="G146" i="59"/>
  <c r="G6" i="59"/>
  <c r="G8" i="59"/>
  <c r="G29" i="59"/>
  <c r="G36" i="59"/>
  <c r="G50" i="59"/>
  <c r="G44" i="59"/>
  <c r="G63" i="59"/>
  <c r="G64" i="59"/>
  <c r="G69" i="59"/>
  <c r="G140" i="59"/>
  <c r="G7" i="59"/>
  <c r="G28" i="59"/>
  <c r="G31" i="59"/>
  <c r="G33" i="59"/>
  <c r="G66" i="59"/>
  <c r="G48" i="59"/>
  <c r="G67" i="59"/>
  <c r="G68" i="59"/>
  <c r="G144" i="59"/>
  <c r="G142" i="59"/>
  <c r="G62" i="59"/>
  <c r="G71" i="59"/>
  <c r="G85" i="59"/>
  <c r="G89" i="59"/>
  <c r="G88" i="59"/>
  <c r="G103" i="59"/>
  <c r="G121" i="59"/>
  <c r="G127" i="59"/>
  <c r="G137" i="59"/>
  <c r="G138" i="59"/>
  <c r="G86" i="59"/>
  <c r="G25" i="59"/>
  <c r="G35" i="59"/>
  <c r="G61" i="59"/>
  <c r="G102" i="59"/>
  <c r="G125" i="59"/>
  <c r="G105" i="59"/>
  <c r="G123" i="59"/>
  <c r="G128" i="59"/>
  <c r="G70" i="59"/>
  <c r="G145" i="59"/>
  <c r="G30" i="59"/>
  <c r="G26" i="59"/>
  <c r="G43" i="59"/>
  <c r="G84" i="59"/>
  <c r="G91" i="59"/>
  <c r="G119" i="59"/>
  <c r="G143" i="59"/>
  <c r="G34" i="59"/>
  <c r="G46" i="59"/>
  <c r="G141" i="59"/>
  <c r="G147" i="59"/>
  <c r="G120" i="59"/>
  <c r="G122" i="59"/>
  <c r="C162" i="59"/>
  <c r="C172" i="59"/>
  <c r="C171" i="59"/>
  <c r="C170" i="59"/>
  <c r="C169" i="59"/>
  <c r="C168" i="59"/>
  <c r="C154" i="59"/>
  <c r="C153" i="59"/>
  <c r="C152" i="59"/>
  <c r="C151" i="59"/>
  <c r="C150" i="59"/>
  <c r="C149" i="59"/>
  <c r="C148" i="59"/>
  <c r="C134" i="59"/>
  <c r="C133" i="59"/>
  <c r="C132" i="59"/>
  <c r="C131" i="59"/>
  <c r="C130" i="59"/>
  <c r="C129" i="59"/>
  <c r="C121" i="59"/>
  <c r="C115" i="59"/>
  <c r="C114" i="59"/>
  <c r="C113" i="59"/>
  <c r="C112" i="59"/>
  <c r="C111" i="59"/>
  <c r="C108" i="59"/>
  <c r="C103" i="59"/>
  <c r="C106" i="59"/>
  <c r="C95" i="59"/>
  <c r="C98" i="59"/>
  <c r="C94" i="59"/>
  <c r="C93" i="59"/>
  <c r="C97" i="59"/>
  <c r="E70" i="59"/>
  <c r="C70" i="59"/>
  <c r="E71" i="59"/>
  <c r="C71" i="59"/>
  <c r="E68" i="59"/>
  <c r="C68" i="59"/>
  <c r="E69" i="59"/>
  <c r="C69" i="59"/>
  <c r="E80" i="59"/>
  <c r="C80" i="59"/>
  <c r="E79" i="59"/>
  <c r="C79" i="59"/>
  <c r="E78" i="59"/>
  <c r="C78" i="59"/>
  <c r="E77" i="59"/>
  <c r="C77" i="59"/>
  <c r="E76" i="59"/>
  <c r="C76" i="59"/>
  <c r="E62" i="59"/>
  <c r="C62" i="59"/>
  <c r="E75" i="59"/>
  <c r="C75" i="59"/>
  <c r="E74" i="59"/>
  <c r="C74" i="59"/>
  <c r="E81" i="59"/>
  <c r="E73" i="59"/>
  <c r="C73" i="59"/>
  <c r="E72" i="59"/>
  <c r="C72" i="59"/>
  <c r="E64" i="59"/>
  <c r="C64" i="59"/>
  <c r="E67" i="59"/>
  <c r="C67" i="59"/>
  <c r="E61" i="59"/>
  <c r="C61" i="59"/>
  <c r="E66" i="59"/>
  <c r="C66" i="59"/>
  <c r="E63" i="59"/>
  <c r="C63" i="59"/>
  <c r="E65" i="59"/>
  <c r="C65" i="59"/>
  <c r="C57" i="59"/>
  <c r="C43" i="59"/>
  <c r="C56" i="59"/>
  <c r="C55" i="59"/>
  <c r="C54" i="59"/>
  <c r="C53" i="59"/>
  <c r="C47" i="59"/>
  <c r="C52" i="59"/>
  <c r="C51" i="59"/>
  <c r="C48" i="59"/>
  <c r="C40" i="59"/>
  <c r="C39" i="59"/>
  <c r="C22" i="59"/>
  <c r="C21" i="59"/>
  <c r="C20" i="59"/>
  <c r="C19" i="59"/>
  <c r="C18" i="59"/>
  <c r="C17" i="59"/>
  <c r="C16" i="59"/>
  <c r="C15" i="59"/>
  <c r="C14" i="59"/>
  <c r="C13" i="59"/>
  <c r="C12" i="59"/>
  <c r="C11" i="59"/>
  <c r="C10" i="59"/>
  <c r="C9" i="59"/>
  <c r="C291" i="38"/>
  <c r="E169" i="59" s="1"/>
  <c r="C273" i="38"/>
  <c r="E171" i="59" s="1"/>
  <c r="C255" i="38"/>
  <c r="E168" i="59" s="1"/>
  <c r="C237" i="38"/>
  <c r="E157" i="59" s="1"/>
  <c r="C236" i="38"/>
  <c r="C235" i="38"/>
  <c r="C234" i="38"/>
  <c r="C233" i="38"/>
  <c r="C232" i="38"/>
  <c r="C231" i="38"/>
  <c r="C230" i="38"/>
  <c r="C229" i="38"/>
  <c r="C228" i="38"/>
  <c r="C227" i="38"/>
  <c r="C226" i="38"/>
  <c r="C225" i="38"/>
  <c r="C224" i="38"/>
  <c r="C223" i="38"/>
  <c r="C222" i="38"/>
  <c r="C157" i="59" s="1"/>
  <c r="C219" i="38"/>
  <c r="E167" i="59" s="1"/>
  <c r="C218" i="38"/>
  <c r="C217" i="38"/>
  <c r="C216" i="38"/>
  <c r="C215" i="38"/>
  <c r="C214" i="38"/>
  <c r="C213" i="38"/>
  <c r="C212" i="38"/>
  <c r="C211" i="38"/>
  <c r="C210" i="38"/>
  <c r="C209" i="38"/>
  <c r="C208" i="38"/>
  <c r="C207" i="38"/>
  <c r="C206" i="38"/>
  <c r="C205" i="38"/>
  <c r="C204" i="38"/>
  <c r="C167" i="59" s="1"/>
  <c r="C201" i="38"/>
  <c r="E165" i="59" s="1"/>
  <c r="C200" i="38"/>
  <c r="C199" i="38"/>
  <c r="C198" i="38"/>
  <c r="C197" i="38"/>
  <c r="C196" i="38"/>
  <c r="C195" i="38"/>
  <c r="C194" i="38"/>
  <c r="C193" i="38"/>
  <c r="C192" i="38"/>
  <c r="C191" i="38"/>
  <c r="C190" i="38"/>
  <c r="C189" i="38"/>
  <c r="C188" i="38"/>
  <c r="C187" i="38"/>
  <c r="C186" i="38"/>
  <c r="C165" i="59" s="1"/>
  <c r="C183" i="38"/>
  <c r="E172" i="59" s="1"/>
  <c r="C165" i="38"/>
  <c r="E170" i="59" s="1"/>
  <c r="C147" i="38"/>
  <c r="E166" i="59" s="1"/>
  <c r="C146" i="38"/>
  <c r="C145" i="38"/>
  <c r="C144" i="38"/>
  <c r="C143" i="38"/>
  <c r="C142" i="38"/>
  <c r="C141" i="38"/>
  <c r="C140" i="38"/>
  <c r="C139" i="38"/>
  <c r="C138" i="38"/>
  <c r="C137" i="38"/>
  <c r="C136" i="38"/>
  <c r="C135" i="38"/>
  <c r="C134" i="38"/>
  <c r="C133" i="38"/>
  <c r="C132" i="38"/>
  <c r="C166" i="59" s="1"/>
  <c r="C129" i="38"/>
  <c r="E162" i="59" s="1"/>
  <c r="C111" i="38"/>
  <c r="E164" i="59" s="1"/>
  <c r="C110" i="38"/>
  <c r="C109" i="38"/>
  <c r="C108" i="38"/>
  <c r="C107" i="38"/>
  <c r="C106" i="38"/>
  <c r="C105" i="38"/>
  <c r="C104" i="38"/>
  <c r="C103" i="38"/>
  <c r="C102" i="38"/>
  <c r="C101" i="38"/>
  <c r="C100" i="38"/>
  <c r="C99" i="38"/>
  <c r="C98" i="38"/>
  <c r="C97" i="38"/>
  <c r="C96" i="38"/>
  <c r="C164" i="59" s="1"/>
  <c r="C93" i="38"/>
  <c r="E163" i="59" s="1"/>
  <c r="C92" i="38"/>
  <c r="C91" i="38"/>
  <c r="C90" i="38"/>
  <c r="C89" i="38"/>
  <c r="C88" i="38"/>
  <c r="C87" i="38"/>
  <c r="C86" i="38"/>
  <c r="C85" i="38"/>
  <c r="C84" i="38"/>
  <c r="C83" i="38"/>
  <c r="C82" i="38"/>
  <c r="C81" i="38"/>
  <c r="C80" i="38"/>
  <c r="C79" i="38"/>
  <c r="C78" i="38"/>
  <c r="C163" i="59" s="1"/>
  <c r="C75" i="38"/>
  <c r="E159" i="59" s="1"/>
  <c r="C74" i="38"/>
  <c r="C73" i="38"/>
  <c r="C72" i="38"/>
  <c r="C71" i="38"/>
  <c r="C70" i="38"/>
  <c r="C69" i="38"/>
  <c r="C68" i="38"/>
  <c r="C67" i="38"/>
  <c r="C66" i="38"/>
  <c r="C65" i="38"/>
  <c r="C64" i="38"/>
  <c r="C63" i="38"/>
  <c r="C62" i="38"/>
  <c r="C61" i="38"/>
  <c r="C60" i="38"/>
  <c r="C159" i="59" s="1"/>
  <c r="C57" i="38"/>
  <c r="E161" i="59" s="1"/>
  <c r="C56" i="38"/>
  <c r="C55" i="38"/>
  <c r="C54" i="38"/>
  <c r="C53" i="38"/>
  <c r="C52" i="38"/>
  <c r="C51" i="38"/>
  <c r="C50" i="38"/>
  <c r="C49" i="38"/>
  <c r="C48" i="38"/>
  <c r="C47" i="38"/>
  <c r="C46" i="38"/>
  <c r="C45" i="38"/>
  <c r="C44" i="38"/>
  <c r="C43" i="38"/>
  <c r="C42" i="38"/>
  <c r="C161" i="59" s="1"/>
  <c r="C39" i="38"/>
  <c r="E160" i="59" s="1"/>
  <c r="C38" i="38"/>
  <c r="C37" i="38"/>
  <c r="C36" i="38"/>
  <c r="C35" i="38"/>
  <c r="C34" i="38"/>
  <c r="C33" i="38"/>
  <c r="C32" i="38"/>
  <c r="C31" i="38"/>
  <c r="C30" i="38"/>
  <c r="C29" i="38"/>
  <c r="C28" i="38"/>
  <c r="C27" i="38"/>
  <c r="C26" i="38"/>
  <c r="C25" i="38"/>
  <c r="C24" i="38"/>
  <c r="C160" i="59" s="1"/>
  <c r="C21" i="38"/>
  <c r="E158" i="59" s="1"/>
  <c r="C20" i="38"/>
  <c r="C19" i="38"/>
  <c r="C18" i="38"/>
  <c r="C17" i="38"/>
  <c r="C16" i="38"/>
  <c r="C15" i="38"/>
  <c r="C14" i="38"/>
  <c r="C13" i="38"/>
  <c r="C12" i="38"/>
  <c r="C11" i="38"/>
  <c r="C10" i="38"/>
  <c r="C9" i="38"/>
  <c r="C8" i="38"/>
  <c r="C7" i="38"/>
  <c r="C6" i="38"/>
  <c r="C158" i="59" s="1"/>
  <c r="C327" i="39"/>
  <c r="E147" i="59" s="1"/>
  <c r="C326" i="39"/>
  <c r="C325" i="39"/>
  <c r="C324" i="39"/>
  <c r="C323" i="39"/>
  <c r="C322" i="39"/>
  <c r="C321" i="39"/>
  <c r="C320" i="39"/>
  <c r="C319" i="39"/>
  <c r="C318" i="39"/>
  <c r="C317" i="39"/>
  <c r="C316" i="39"/>
  <c r="C315" i="39"/>
  <c r="C314" i="39"/>
  <c r="C313" i="39"/>
  <c r="C312" i="39"/>
  <c r="C147" i="59" s="1"/>
  <c r="C309" i="39"/>
  <c r="E142" i="59" s="1"/>
  <c r="C308" i="39"/>
  <c r="C307" i="39"/>
  <c r="C306" i="39"/>
  <c r="C305" i="39"/>
  <c r="C304" i="39"/>
  <c r="C303" i="39"/>
  <c r="C302" i="39"/>
  <c r="C301" i="39"/>
  <c r="C300" i="39"/>
  <c r="C299" i="39"/>
  <c r="C298" i="39"/>
  <c r="C297" i="39"/>
  <c r="C296" i="39"/>
  <c r="C295" i="39"/>
  <c r="C294" i="39"/>
  <c r="C142" i="59" s="1"/>
  <c r="C291" i="39"/>
  <c r="E146" i="59" s="1"/>
  <c r="C290" i="39"/>
  <c r="C289" i="39"/>
  <c r="C288" i="39"/>
  <c r="C287" i="39"/>
  <c r="C286" i="39"/>
  <c r="C285" i="39"/>
  <c r="C284" i="39"/>
  <c r="C283" i="39"/>
  <c r="C282" i="39"/>
  <c r="C281" i="39"/>
  <c r="C280" i="39"/>
  <c r="C279" i="39"/>
  <c r="C278" i="39"/>
  <c r="C277" i="39"/>
  <c r="C276" i="39"/>
  <c r="C146" i="59" s="1"/>
  <c r="C273" i="39"/>
  <c r="E145" i="59" s="1"/>
  <c r="C272" i="39"/>
  <c r="C271" i="39"/>
  <c r="C270" i="39"/>
  <c r="C269" i="39"/>
  <c r="C268" i="39"/>
  <c r="C267" i="39"/>
  <c r="C266" i="39"/>
  <c r="C265" i="39"/>
  <c r="C264" i="39"/>
  <c r="C263" i="39"/>
  <c r="C262" i="39"/>
  <c r="C261" i="39"/>
  <c r="C260" i="39"/>
  <c r="C259" i="39"/>
  <c r="C258" i="39"/>
  <c r="C145" i="59" s="1"/>
  <c r="C255" i="39"/>
  <c r="E138" i="59" s="1"/>
  <c r="C254" i="39"/>
  <c r="C253" i="39"/>
  <c r="C252" i="39"/>
  <c r="C251" i="39"/>
  <c r="C250" i="39"/>
  <c r="C249" i="39"/>
  <c r="C248" i="39"/>
  <c r="C247" i="39"/>
  <c r="C246" i="39"/>
  <c r="C245" i="39"/>
  <c r="C244" i="39"/>
  <c r="C243" i="39"/>
  <c r="C242" i="39"/>
  <c r="C241" i="39"/>
  <c r="C240" i="39"/>
  <c r="C138" i="59" s="1"/>
  <c r="C237" i="39"/>
  <c r="E154" i="59" s="1"/>
  <c r="C219" i="39"/>
  <c r="E153" i="59" s="1"/>
  <c r="C201" i="39"/>
  <c r="E152" i="59" s="1"/>
  <c r="C183" i="39"/>
  <c r="E137" i="59" s="1"/>
  <c r="C182" i="39"/>
  <c r="C181" i="39"/>
  <c r="C180" i="39"/>
  <c r="C179" i="39"/>
  <c r="C178" i="39"/>
  <c r="C177" i="39"/>
  <c r="C176" i="39"/>
  <c r="C175" i="39"/>
  <c r="C174" i="39"/>
  <c r="C173" i="39"/>
  <c r="C172" i="39"/>
  <c r="C171" i="39"/>
  <c r="C170" i="39"/>
  <c r="C169" i="39"/>
  <c r="C168" i="39"/>
  <c r="C137" i="59" s="1"/>
  <c r="C165" i="39"/>
  <c r="E151" i="59" s="1"/>
  <c r="C147" i="39"/>
  <c r="E150" i="59" s="1"/>
  <c r="C129" i="39"/>
  <c r="E149" i="59" s="1"/>
  <c r="C111" i="39"/>
  <c r="E140" i="59" s="1"/>
  <c r="C110" i="39"/>
  <c r="C109" i="39"/>
  <c r="C108" i="39"/>
  <c r="C107" i="39"/>
  <c r="C106" i="39"/>
  <c r="C105" i="39"/>
  <c r="C104" i="39"/>
  <c r="C103" i="39"/>
  <c r="C102" i="39"/>
  <c r="C101" i="39"/>
  <c r="C100" i="39"/>
  <c r="C99" i="39"/>
  <c r="C98" i="39"/>
  <c r="C97" i="39"/>
  <c r="C96" i="39"/>
  <c r="C140" i="59" s="1"/>
  <c r="C93" i="39"/>
  <c r="E148" i="59" s="1"/>
  <c r="C75" i="39"/>
  <c r="E143" i="59" s="1"/>
  <c r="C74" i="39"/>
  <c r="C73" i="39"/>
  <c r="C72" i="39"/>
  <c r="C71" i="39"/>
  <c r="C70" i="39"/>
  <c r="C69" i="39"/>
  <c r="C68" i="39"/>
  <c r="C67" i="39"/>
  <c r="C66" i="39"/>
  <c r="C65" i="39"/>
  <c r="C64" i="39"/>
  <c r="C63" i="39"/>
  <c r="C62" i="39"/>
  <c r="C61" i="39"/>
  <c r="C60" i="39"/>
  <c r="C143" i="59" s="1"/>
  <c r="C57" i="39"/>
  <c r="E141" i="59" s="1"/>
  <c r="C56" i="39"/>
  <c r="C55" i="39"/>
  <c r="C54" i="39"/>
  <c r="C53" i="39"/>
  <c r="C52" i="39"/>
  <c r="C51" i="39"/>
  <c r="C50" i="39"/>
  <c r="C49" i="39"/>
  <c r="C48" i="39"/>
  <c r="C47" i="39"/>
  <c r="C46" i="39"/>
  <c r="C45" i="39"/>
  <c r="C44" i="39"/>
  <c r="C43" i="39"/>
  <c r="C42" i="39"/>
  <c r="C141" i="59" s="1"/>
  <c r="C39" i="39"/>
  <c r="E144" i="59" s="1"/>
  <c r="C38" i="39"/>
  <c r="C37" i="39"/>
  <c r="C36" i="39"/>
  <c r="C35" i="39"/>
  <c r="C34" i="39"/>
  <c r="C33" i="39"/>
  <c r="C32" i="39"/>
  <c r="C31" i="39"/>
  <c r="C30" i="39"/>
  <c r="C29" i="39"/>
  <c r="C28" i="39"/>
  <c r="C27" i="39"/>
  <c r="C26" i="39"/>
  <c r="C25" i="39"/>
  <c r="C24" i="39"/>
  <c r="C144" i="59" s="1"/>
  <c r="C21" i="39"/>
  <c r="E139" i="59" s="1"/>
  <c r="C20" i="39"/>
  <c r="C19" i="39"/>
  <c r="C18" i="39"/>
  <c r="C17" i="39"/>
  <c r="C16" i="39"/>
  <c r="C15" i="39"/>
  <c r="C14" i="39"/>
  <c r="C13" i="39"/>
  <c r="C12" i="39"/>
  <c r="C11" i="39"/>
  <c r="C10" i="39"/>
  <c r="C9" i="39"/>
  <c r="C8" i="39"/>
  <c r="C7" i="39"/>
  <c r="C6" i="39"/>
  <c r="C139" i="59" s="1"/>
  <c r="C291" i="40"/>
  <c r="E128" i="59" s="1"/>
  <c r="C290" i="40"/>
  <c r="C289" i="40"/>
  <c r="C288" i="40"/>
  <c r="C287" i="40"/>
  <c r="C286" i="40"/>
  <c r="C285" i="40"/>
  <c r="C284" i="40"/>
  <c r="C283" i="40"/>
  <c r="C282" i="40"/>
  <c r="C281" i="40"/>
  <c r="C280" i="40"/>
  <c r="C279" i="40"/>
  <c r="C278" i="40"/>
  <c r="C277" i="40"/>
  <c r="C276" i="40"/>
  <c r="C128" i="59" s="1"/>
  <c r="C273" i="40"/>
  <c r="E127" i="59" s="1"/>
  <c r="C272" i="40"/>
  <c r="C271" i="40"/>
  <c r="C270" i="40"/>
  <c r="C269" i="40"/>
  <c r="C268" i="40"/>
  <c r="C267" i="40"/>
  <c r="C266" i="40"/>
  <c r="C265" i="40"/>
  <c r="C264" i="40"/>
  <c r="C263" i="40"/>
  <c r="C262" i="40"/>
  <c r="C261" i="40"/>
  <c r="C260" i="40"/>
  <c r="C259" i="40"/>
  <c r="C258" i="40"/>
  <c r="C127" i="59" s="1"/>
  <c r="C255" i="40"/>
  <c r="E126" i="59" s="1"/>
  <c r="C254" i="40"/>
  <c r="C253" i="40"/>
  <c r="C252" i="40"/>
  <c r="C251" i="40"/>
  <c r="C250" i="40"/>
  <c r="C249" i="40"/>
  <c r="C248" i="40"/>
  <c r="C247" i="40"/>
  <c r="C246" i="40"/>
  <c r="C245" i="40"/>
  <c r="C244" i="40"/>
  <c r="C243" i="40"/>
  <c r="C242" i="40"/>
  <c r="C241" i="40"/>
  <c r="C240" i="40"/>
  <c r="C126" i="59" s="1"/>
  <c r="C237" i="40"/>
  <c r="E124" i="59" s="1"/>
  <c r="C236" i="40"/>
  <c r="C235" i="40"/>
  <c r="C234" i="40"/>
  <c r="C233" i="40"/>
  <c r="C232" i="40"/>
  <c r="C231" i="40"/>
  <c r="C230" i="40"/>
  <c r="C229" i="40"/>
  <c r="C228" i="40"/>
  <c r="C227" i="40"/>
  <c r="C226" i="40"/>
  <c r="C225" i="40"/>
  <c r="C224" i="40"/>
  <c r="C223" i="40"/>
  <c r="C222" i="40"/>
  <c r="C124" i="59" s="1"/>
  <c r="C219" i="40"/>
  <c r="E134" i="59" s="1"/>
  <c r="C201" i="40"/>
  <c r="E133" i="59" s="1"/>
  <c r="C183" i="40"/>
  <c r="E119" i="59" s="1"/>
  <c r="C182" i="40"/>
  <c r="C181" i="40"/>
  <c r="C180" i="40"/>
  <c r="C179" i="40"/>
  <c r="C178" i="40"/>
  <c r="C177" i="40"/>
  <c r="C176" i="40"/>
  <c r="C175" i="40"/>
  <c r="C174" i="40"/>
  <c r="C173" i="40"/>
  <c r="C172" i="40"/>
  <c r="C171" i="40"/>
  <c r="C170" i="40"/>
  <c r="C169" i="40"/>
  <c r="C168" i="40"/>
  <c r="C119" i="59" s="1"/>
  <c r="C165" i="40"/>
  <c r="E132" i="59" s="1"/>
  <c r="C147" i="40"/>
  <c r="E131" i="59" s="1"/>
  <c r="C129" i="40"/>
  <c r="E130" i="59" s="1"/>
  <c r="C111" i="40"/>
  <c r="E129" i="59" s="1"/>
  <c r="C93" i="40"/>
  <c r="E122" i="59" s="1"/>
  <c r="C92" i="40"/>
  <c r="C91" i="40"/>
  <c r="C90" i="40"/>
  <c r="C89" i="40"/>
  <c r="C88" i="40"/>
  <c r="C87" i="40"/>
  <c r="C86" i="40"/>
  <c r="C85" i="40"/>
  <c r="C84" i="40"/>
  <c r="C83" i="40"/>
  <c r="C82" i="40"/>
  <c r="C81" i="40"/>
  <c r="C80" i="40"/>
  <c r="C79" i="40"/>
  <c r="C78" i="40"/>
  <c r="C122" i="59" s="1"/>
  <c r="C75" i="40"/>
  <c r="E121" i="59" s="1"/>
  <c r="C57" i="40"/>
  <c r="E125" i="59" s="1"/>
  <c r="C56" i="40"/>
  <c r="C55" i="40"/>
  <c r="C54" i="40"/>
  <c r="C53" i="40"/>
  <c r="C52" i="40"/>
  <c r="C51" i="40"/>
  <c r="C50" i="40"/>
  <c r="C49" i="40"/>
  <c r="C48" i="40"/>
  <c r="C47" i="40"/>
  <c r="C46" i="40"/>
  <c r="C45" i="40"/>
  <c r="C44" i="40"/>
  <c r="C43" i="40"/>
  <c r="C42" i="40"/>
  <c r="C125" i="59" s="1"/>
  <c r="C39" i="40"/>
  <c r="E120" i="59" s="1"/>
  <c r="C38" i="40"/>
  <c r="C37" i="40"/>
  <c r="C36" i="40"/>
  <c r="C35" i="40"/>
  <c r="C34" i="40"/>
  <c r="C33" i="40"/>
  <c r="C32" i="40"/>
  <c r="C31" i="40"/>
  <c r="C30" i="40"/>
  <c r="C29" i="40"/>
  <c r="C28" i="40"/>
  <c r="C27" i="40"/>
  <c r="C26" i="40"/>
  <c r="C25" i="40"/>
  <c r="C24" i="40"/>
  <c r="C120" i="59" s="1"/>
  <c r="C21" i="40"/>
  <c r="E123" i="59" s="1"/>
  <c r="C20" i="40"/>
  <c r="C19" i="40"/>
  <c r="C18" i="40"/>
  <c r="C17" i="40"/>
  <c r="C16" i="40"/>
  <c r="C15" i="40"/>
  <c r="C14" i="40"/>
  <c r="C13" i="40"/>
  <c r="C12" i="40"/>
  <c r="C11" i="40"/>
  <c r="C10" i="40"/>
  <c r="C9" i="40"/>
  <c r="C8" i="40"/>
  <c r="C7" i="40"/>
  <c r="C6" i="40"/>
  <c r="C123" i="59" s="1"/>
  <c r="C273" i="41"/>
  <c r="E101" i="59" s="1"/>
  <c r="C272" i="41"/>
  <c r="C271" i="41"/>
  <c r="C270" i="41"/>
  <c r="C269" i="41"/>
  <c r="C268" i="41"/>
  <c r="C267" i="41"/>
  <c r="C266" i="41"/>
  <c r="C265" i="41"/>
  <c r="C264" i="41"/>
  <c r="C263" i="41"/>
  <c r="C262" i="41"/>
  <c r="C261" i="41"/>
  <c r="C260" i="41"/>
  <c r="C259" i="41"/>
  <c r="C258" i="41"/>
  <c r="C101" i="59" s="1"/>
  <c r="C255" i="41"/>
  <c r="E115" i="59" s="1"/>
  <c r="C237" i="41"/>
  <c r="E114" i="59" s="1"/>
  <c r="C219" i="41"/>
  <c r="E113" i="59" s="1"/>
  <c r="C201" i="41"/>
  <c r="E112" i="59" s="1"/>
  <c r="C183" i="41"/>
  <c r="E111" i="59" s="1"/>
  <c r="C165" i="41"/>
  <c r="E110" i="59" s="1"/>
  <c r="C110" i="59"/>
  <c r="C147" i="41"/>
  <c r="E109" i="59" s="1"/>
  <c r="C109" i="59"/>
  <c r="C129" i="41"/>
  <c r="E108" i="59" s="1"/>
  <c r="C111" i="41"/>
  <c r="E107" i="59" s="1"/>
  <c r="C107" i="59"/>
  <c r="C93" i="41"/>
  <c r="E105" i="59" s="1"/>
  <c r="C92" i="41"/>
  <c r="C91" i="41"/>
  <c r="C90" i="41"/>
  <c r="C89" i="41"/>
  <c r="C88" i="41"/>
  <c r="C87" i="41"/>
  <c r="C86" i="41"/>
  <c r="C85" i="41"/>
  <c r="C84" i="41"/>
  <c r="C83" i="41"/>
  <c r="C82" i="41"/>
  <c r="C81" i="41"/>
  <c r="C80" i="41"/>
  <c r="C79" i="41"/>
  <c r="C78" i="41"/>
  <c r="C105" i="59" s="1"/>
  <c r="C75" i="41"/>
  <c r="E103" i="59" s="1"/>
  <c r="C57" i="41"/>
  <c r="E102" i="59" s="1"/>
  <c r="C56" i="41"/>
  <c r="C55" i="41"/>
  <c r="C54" i="41"/>
  <c r="C53" i="41"/>
  <c r="C52" i="41"/>
  <c r="C51" i="41"/>
  <c r="C50" i="41"/>
  <c r="C49" i="41"/>
  <c r="C48" i="41"/>
  <c r="C47" i="41"/>
  <c r="C46" i="41"/>
  <c r="C45" i="41"/>
  <c r="C44" i="41"/>
  <c r="C43" i="41"/>
  <c r="C42" i="41"/>
  <c r="C102" i="59" s="1"/>
  <c r="C39" i="41"/>
  <c r="E106" i="59" s="1"/>
  <c r="C21" i="41"/>
  <c r="E104" i="59" s="1"/>
  <c r="C20" i="41"/>
  <c r="C19" i="41"/>
  <c r="C18" i="41"/>
  <c r="C17" i="41"/>
  <c r="C16" i="41"/>
  <c r="C15" i="41"/>
  <c r="C14" i="41"/>
  <c r="C13" i="41"/>
  <c r="C12" i="41"/>
  <c r="C11" i="41"/>
  <c r="C10" i="41"/>
  <c r="C9" i="41"/>
  <c r="C8" i="41"/>
  <c r="C7" i="41"/>
  <c r="C6" i="41"/>
  <c r="C104" i="59" s="1"/>
  <c r="C273" i="36"/>
  <c r="E88" i="59" s="1"/>
  <c r="C272" i="36"/>
  <c r="C271" i="36"/>
  <c r="C270" i="36"/>
  <c r="C269" i="36"/>
  <c r="C268" i="36"/>
  <c r="C267" i="36"/>
  <c r="C266" i="36"/>
  <c r="C265" i="36"/>
  <c r="C264" i="36"/>
  <c r="C263" i="36"/>
  <c r="C262" i="36"/>
  <c r="C261" i="36"/>
  <c r="C260" i="36"/>
  <c r="C259" i="36"/>
  <c r="C258" i="36"/>
  <c r="C88" i="59" s="1"/>
  <c r="C255" i="36"/>
  <c r="E91" i="59" s="1"/>
  <c r="C254" i="36"/>
  <c r="C253" i="36"/>
  <c r="C252" i="36"/>
  <c r="C251" i="36"/>
  <c r="C250" i="36"/>
  <c r="C249" i="36"/>
  <c r="C248" i="36"/>
  <c r="C247" i="36"/>
  <c r="C246" i="36"/>
  <c r="C245" i="36"/>
  <c r="C244" i="36"/>
  <c r="C243" i="36"/>
  <c r="C242" i="36"/>
  <c r="C241" i="36"/>
  <c r="C240" i="36"/>
  <c r="C91" i="59" s="1"/>
  <c r="C237" i="36"/>
  <c r="E90" i="59" s="1"/>
  <c r="C236" i="36"/>
  <c r="C235" i="36"/>
  <c r="C234" i="36"/>
  <c r="C233" i="36"/>
  <c r="C232" i="36"/>
  <c r="C231" i="36"/>
  <c r="C230" i="36"/>
  <c r="C229" i="36"/>
  <c r="C228" i="36"/>
  <c r="C227" i="36"/>
  <c r="C226" i="36"/>
  <c r="C225" i="36"/>
  <c r="C224" i="36"/>
  <c r="C223" i="36"/>
  <c r="C222" i="36"/>
  <c r="C90" i="59" s="1"/>
  <c r="C219" i="36"/>
  <c r="E96" i="59" s="1"/>
  <c r="C96" i="59"/>
  <c r="C201" i="36"/>
  <c r="E89" i="59" s="1"/>
  <c r="C200" i="36"/>
  <c r="C199" i="36"/>
  <c r="C198" i="36"/>
  <c r="C197" i="36"/>
  <c r="C196" i="36"/>
  <c r="C195" i="36"/>
  <c r="C194" i="36"/>
  <c r="C193" i="36"/>
  <c r="C192" i="36"/>
  <c r="C191" i="36"/>
  <c r="C190" i="36"/>
  <c r="C189" i="36"/>
  <c r="C188" i="36"/>
  <c r="C187" i="36"/>
  <c r="C186" i="36"/>
  <c r="C89" i="59" s="1"/>
  <c r="C183" i="36"/>
  <c r="E95" i="59" s="1"/>
  <c r="C165" i="36"/>
  <c r="E98" i="59" s="1"/>
  <c r="C147" i="36"/>
  <c r="E94" i="59" s="1"/>
  <c r="C129" i="36"/>
  <c r="E85" i="59" s="1"/>
  <c r="C128" i="36"/>
  <c r="C127" i="36"/>
  <c r="C126" i="36"/>
  <c r="C125" i="36"/>
  <c r="C124" i="36"/>
  <c r="C123" i="36"/>
  <c r="C122" i="36"/>
  <c r="C121" i="36"/>
  <c r="C120" i="36"/>
  <c r="C119" i="36"/>
  <c r="C118" i="36"/>
  <c r="C117" i="36"/>
  <c r="C116" i="36"/>
  <c r="C115" i="36"/>
  <c r="C114" i="36"/>
  <c r="C85" i="59" s="1"/>
  <c r="C111" i="36"/>
  <c r="E93" i="59" s="1"/>
  <c r="C93" i="36"/>
  <c r="E97" i="59" s="1"/>
  <c r="C75" i="36"/>
  <c r="E92" i="59" s="1"/>
  <c r="C92" i="59"/>
  <c r="C57" i="36"/>
  <c r="E87" i="59" s="1"/>
  <c r="C56" i="36"/>
  <c r="C55" i="36"/>
  <c r="C54" i="36"/>
  <c r="C53" i="36"/>
  <c r="C52" i="36"/>
  <c r="C51" i="36"/>
  <c r="C50" i="36"/>
  <c r="C49" i="36"/>
  <c r="C48" i="36"/>
  <c r="C47" i="36"/>
  <c r="C46" i="36"/>
  <c r="C45" i="36"/>
  <c r="C44" i="36"/>
  <c r="C43" i="36"/>
  <c r="C42" i="36"/>
  <c r="C87" i="59" s="1"/>
  <c r="C39" i="36"/>
  <c r="E86" i="59" s="1"/>
  <c r="C38" i="36"/>
  <c r="C37" i="36"/>
  <c r="C36" i="36"/>
  <c r="C35" i="36"/>
  <c r="C34" i="36"/>
  <c r="C33" i="36"/>
  <c r="C32" i="36"/>
  <c r="C31" i="36"/>
  <c r="C30" i="36"/>
  <c r="C29" i="36"/>
  <c r="C28" i="36"/>
  <c r="C27" i="36"/>
  <c r="C26" i="36"/>
  <c r="C25" i="36"/>
  <c r="C24" i="36"/>
  <c r="C86" i="59" s="1"/>
  <c r="C21" i="36"/>
  <c r="E84" i="59" s="1"/>
  <c r="C20" i="36"/>
  <c r="C19" i="36"/>
  <c r="C18" i="36"/>
  <c r="C17" i="36"/>
  <c r="C16" i="36"/>
  <c r="C15" i="36"/>
  <c r="C14" i="36"/>
  <c r="C13" i="36"/>
  <c r="C12" i="36"/>
  <c r="C11" i="36"/>
  <c r="C10" i="36"/>
  <c r="C9" i="36"/>
  <c r="C8" i="36"/>
  <c r="C7" i="36"/>
  <c r="C6" i="36"/>
  <c r="C84" i="59" s="1"/>
  <c r="D65" i="59" l="1"/>
  <c r="D158" i="59"/>
  <c r="D102" i="59"/>
  <c r="D105" i="59"/>
  <c r="D163" i="59"/>
  <c r="D139" i="59"/>
  <c r="D166" i="59"/>
  <c r="D101" i="59"/>
  <c r="D104" i="59"/>
  <c r="D160" i="59"/>
  <c r="D161" i="59"/>
  <c r="D167" i="59"/>
  <c r="D165" i="59"/>
  <c r="D159" i="59"/>
  <c r="D157" i="59"/>
  <c r="D164" i="59"/>
  <c r="D120" i="59"/>
  <c r="D70" i="59"/>
  <c r="D146" i="59"/>
  <c r="D67" i="59"/>
  <c r="D69" i="59"/>
  <c r="D63" i="59"/>
  <c r="D64" i="59"/>
  <c r="D68" i="59"/>
  <c r="D66" i="59"/>
  <c r="D62" i="59"/>
  <c r="D71" i="59"/>
  <c r="D61" i="59"/>
  <c r="D84" i="59"/>
  <c r="D90" i="59"/>
  <c r="D125" i="59"/>
  <c r="D119" i="59"/>
  <c r="D126" i="59"/>
  <c r="D144" i="59"/>
  <c r="D140" i="59"/>
  <c r="D142" i="59"/>
  <c r="D86" i="59"/>
  <c r="D91" i="59"/>
  <c r="D127" i="59"/>
  <c r="D141" i="59"/>
  <c r="D137" i="59"/>
  <c r="D138" i="59"/>
  <c r="D147" i="59"/>
  <c r="D124" i="59"/>
  <c r="D87" i="59"/>
  <c r="D85" i="59"/>
  <c r="D89" i="59"/>
  <c r="D88" i="59"/>
  <c r="D123" i="59"/>
  <c r="D122" i="59"/>
  <c r="D128" i="59"/>
  <c r="D143" i="59"/>
  <c r="D145" i="59"/>
  <c r="C273" i="62" l="1"/>
  <c r="E57" i="59" s="1"/>
  <c r="C255" i="62"/>
  <c r="E44" i="59" s="1"/>
  <c r="C254" i="62"/>
  <c r="C253" i="62"/>
  <c r="C252" i="62"/>
  <c r="C251" i="62"/>
  <c r="C250" i="62"/>
  <c r="C249" i="62"/>
  <c r="C248" i="62"/>
  <c r="C247" i="62"/>
  <c r="C246" i="62"/>
  <c r="C245" i="62"/>
  <c r="C244" i="62"/>
  <c r="C243" i="62"/>
  <c r="C242" i="62"/>
  <c r="C241" i="62"/>
  <c r="C240" i="62"/>
  <c r="C44" i="59" s="1"/>
  <c r="C237" i="62"/>
  <c r="E43" i="59" s="1"/>
  <c r="C219" i="62"/>
  <c r="E56" i="59" s="1"/>
  <c r="C201" i="62"/>
  <c r="E55" i="59" s="1"/>
  <c r="C183" i="62"/>
  <c r="E54" i="59" s="1"/>
  <c r="C165" i="62"/>
  <c r="E49" i="59" s="1"/>
  <c r="C164" i="62"/>
  <c r="C163" i="62"/>
  <c r="C162" i="62"/>
  <c r="C161" i="62"/>
  <c r="C160" i="62"/>
  <c r="C159" i="62"/>
  <c r="C158" i="62"/>
  <c r="C157" i="62"/>
  <c r="C156" i="62"/>
  <c r="C155" i="62"/>
  <c r="C154" i="62"/>
  <c r="C153" i="62"/>
  <c r="C152" i="62"/>
  <c r="C151" i="62"/>
  <c r="C150" i="62"/>
  <c r="C49" i="59" s="1"/>
  <c r="C147" i="62"/>
  <c r="E53" i="59" s="1"/>
  <c r="C129" i="62"/>
  <c r="E47" i="59" s="1"/>
  <c r="C111" i="62"/>
  <c r="E50" i="59" s="1"/>
  <c r="C110" i="62"/>
  <c r="C109" i="62"/>
  <c r="C108" i="62"/>
  <c r="C107" i="62"/>
  <c r="C106" i="62"/>
  <c r="C105" i="62"/>
  <c r="C104" i="62"/>
  <c r="C103" i="62"/>
  <c r="C102" i="62"/>
  <c r="C101" i="62"/>
  <c r="C100" i="62"/>
  <c r="C99" i="62"/>
  <c r="C98" i="62"/>
  <c r="C97" i="62"/>
  <c r="C96" i="62"/>
  <c r="C50" i="59" s="1"/>
  <c r="C93" i="62"/>
  <c r="E46" i="59" s="1"/>
  <c r="C92" i="62"/>
  <c r="C91" i="62"/>
  <c r="C90" i="62"/>
  <c r="C89" i="62"/>
  <c r="C88" i="62"/>
  <c r="C87" i="62"/>
  <c r="C86" i="62"/>
  <c r="C85" i="62"/>
  <c r="C84" i="62"/>
  <c r="C83" i="62"/>
  <c r="C82" i="62"/>
  <c r="C81" i="62"/>
  <c r="C80" i="62"/>
  <c r="C79" i="62"/>
  <c r="C78" i="62"/>
  <c r="C46" i="59" s="1"/>
  <c r="C75" i="62"/>
  <c r="E52" i="59" s="1"/>
  <c r="C57" i="62"/>
  <c r="E51" i="59" s="1"/>
  <c r="C39" i="62"/>
  <c r="E48" i="59" s="1"/>
  <c r="C21" i="62"/>
  <c r="E45" i="59" s="1"/>
  <c r="C20" i="62"/>
  <c r="C19" i="62"/>
  <c r="C18" i="62"/>
  <c r="C17" i="62"/>
  <c r="C16" i="62"/>
  <c r="C15" i="62"/>
  <c r="C14" i="62"/>
  <c r="C13" i="62"/>
  <c r="C12" i="62"/>
  <c r="C11" i="62"/>
  <c r="C10" i="62"/>
  <c r="C9" i="62"/>
  <c r="C8" i="62"/>
  <c r="C7" i="62"/>
  <c r="C6" i="62"/>
  <c r="C45" i="59" s="1"/>
  <c r="C291" i="32"/>
  <c r="E35" i="59" s="1"/>
  <c r="C290" i="32"/>
  <c r="C289" i="32"/>
  <c r="C288" i="32"/>
  <c r="C287" i="32"/>
  <c r="C286" i="32"/>
  <c r="C285" i="32"/>
  <c r="C284" i="32"/>
  <c r="C283" i="32"/>
  <c r="C282" i="32"/>
  <c r="C281" i="32"/>
  <c r="C280" i="32"/>
  <c r="C279" i="32"/>
  <c r="C278" i="32"/>
  <c r="C277" i="32"/>
  <c r="C276" i="32"/>
  <c r="C35" i="59" s="1"/>
  <c r="C273" i="32"/>
  <c r="E33" i="59" s="1"/>
  <c r="C272" i="32"/>
  <c r="C271" i="32"/>
  <c r="C270" i="32"/>
  <c r="C269" i="32"/>
  <c r="C268" i="32"/>
  <c r="C267" i="32"/>
  <c r="C266" i="32"/>
  <c r="C265" i="32"/>
  <c r="C264" i="32"/>
  <c r="C263" i="32"/>
  <c r="C262" i="32"/>
  <c r="C261" i="32"/>
  <c r="C260" i="32"/>
  <c r="C259" i="32"/>
  <c r="C258" i="32"/>
  <c r="C33" i="59" s="1"/>
  <c r="C255" i="32"/>
  <c r="E36" i="59" s="1"/>
  <c r="C254" i="32"/>
  <c r="C253" i="32"/>
  <c r="C252" i="32"/>
  <c r="C251" i="32"/>
  <c r="C250" i="32"/>
  <c r="C249" i="32"/>
  <c r="C248" i="32"/>
  <c r="C247" i="32"/>
  <c r="C246" i="32"/>
  <c r="C245" i="32"/>
  <c r="C244" i="32"/>
  <c r="C243" i="32"/>
  <c r="C242" i="32"/>
  <c r="C241" i="32"/>
  <c r="C240" i="32"/>
  <c r="C36" i="59" s="1"/>
  <c r="C237" i="32"/>
  <c r="E34" i="59" s="1"/>
  <c r="C236" i="32"/>
  <c r="C235" i="32"/>
  <c r="C234" i="32"/>
  <c r="C233" i="32"/>
  <c r="C232" i="32"/>
  <c r="C231" i="32"/>
  <c r="C230" i="32"/>
  <c r="C229" i="32"/>
  <c r="C228" i="32"/>
  <c r="C227" i="32"/>
  <c r="C226" i="32"/>
  <c r="C225" i="32"/>
  <c r="C224" i="32"/>
  <c r="C223" i="32"/>
  <c r="C222" i="32"/>
  <c r="C34" i="59" s="1"/>
  <c r="C219" i="32"/>
  <c r="E25" i="59" s="1"/>
  <c r="C25" i="59"/>
  <c r="C201" i="32"/>
  <c r="E26" i="59" s="1"/>
  <c r="C200" i="32"/>
  <c r="C199" i="32"/>
  <c r="C198" i="32"/>
  <c r="C197" i="32"/>
  <c r="C196" i="32"/>
  <c r="C195" i="32"/>
  <c r="C194" i="32"/>
  <c r="C193" i="32"/>
  <c r="C192" i="32"/>
  <c r="C191" i="32"/>
  <c r="C190" i="32"/>
  <c r="C189" i="32"/>
  <c r="C188" i="32"/>
  <c r="C187" i="32"/>
  <c r="C186" i="32"/>
  <c r="C26" i="59" s="1"/>
  <c r="C183" i="32"/>
  <c r="E40" i="59" s="1"/>
  <c r="C165" i="32"/>
  <c r="E39" i="59" s="1"/>
  <c r="C147" i="32"/>
  <c r="E38" i="59" s="1"/>
  <c r="C38" i="59"/>
  <c r="C129" i="32"/>
  <c r="E31" i="59" s="1"/>
  <c r="C128" i="32"/>
  <c r="C127" i="32"/>
  <c r="C126" i="32"/>
  <c r="C125" i="32"/>
  <c r="C124" i="32"/>
  <c r="C123" i="32"/>
  <c r="C122" i="32"/>
  <c r="C121" i="32"/>
  <c r="C120" i="32"/>
  <c r="C119" i="32"/>
  <c r="C118" i="32"/>
  <c r="C117" i="32"/>
  <c r="C116" i="32"/>
  <c r="C115" i="32"/>
  <c r="C114" i="32"/>
  <c r="C31" i="59" s="1"/>
  <c r="C111" i="32"/>
  <c r="E37" i="59" s="1"/>
  <c r="C37" i="59"/>
  <c r="C93" i="32"/>
  <c r="E27" i="59" s="1"/>
  <c r="C92" i="32"/>
  <c r="C91" i="32"/>
  <c r="C90" i="32"/>
  <c r="C89" i="32"/>
  <c r="C88" i="32"/>
  <c r="C87" i="32"/>
  <c r="C86" i="32"/>
  <c r="C85" i="32"/>
  <c r="C84" i="32"/>
  <c r="C83" i="32"/>
  <c r="C82" i="32"/>
  <c r="C81" i="32"/>
  <c r="C80" i="32"/>
  <c r="C79" i="32"/>
  <c r="C78" i="32"/>
  <c r="C27" i="59" s="1"/>
  <c r="C75" i="32"/>
  <c r="E29" i="59" s="1"/>
  <c r="C74" i="32"/>
  <c r="C73" i="32"/>
  <c r="C72" i="32"/>
  <c r="C71" i="32"/>
  <c r="C70" i="32"/>
  <c r="C69" i="32"/>
  <c r="C68" i="32"/>
  <c r="C67" i="32"/>
  <c r="C66" i="32"/>
  <c r="C65" i="32"/>
  <c r="C64" i="32"/>
  <c r="C63" i="32"/>
  <c r="C62" i="32"/>
  <c r="C61" i="32"/>
  <c r="C60" i="32"/>
  <c r="C29" i="59" s="1"/>
  <c r="C57" i="32"/>
  <c r="E28" i="59" s="1"/>
  <c r="C56" i="32"/>
  <c r="C55" i="32"/>
  <c r="C54" i="32"/>
  <c r="C53" i="32"/>
  <c r="C52" i="32"/>
  <c r="C51" i="32"/>
  <c r="C50" i="32"/>
  <c r="C49" i="32"/>
  <c r="C48" i="32"/>
  <c r="C47" i="32"/>
  <c r="C46" i="32"/>
  <c r="C45" i="32"/>
  <c r="C44" i="32"/>
  <c r="C43" i="32"/>
  <c r="C42" i="32"/>
  <c r="C28" i="59" s="1"/>
  <c r="C39" i="32"/>
  <c r="E30" i="59" s="1"/>
  <c r="C38" i="32"/>
  <c r="C37" i="32"/>
  <c r="C36" i="32"/>
  <c r="C35" i="32"/>
  <c r="C34" i="32"/>
  <c r="C33" i="32"/>
  <c r="C32" i="32"/>
  <c r="C31" i="32"/>
  <c r="C30" i="32"/>
  <c r="C29" i="32"/>
  <c r="C28" i="32"/>
  <c r="C27" i="32"/>
  <c r="C26" i="32"/>
  <c r="C25" i="32"/>
  <c r="C24" i="32"/>
  <c r="C30" i="59" s="1"/>
  <c r="C21" i="32"/>
  <c r="E32" i="59" s="1"/>
  <c r="C20" i="32"/>
  <c r="C19" i="32"/>
  <c r="C18" i="32"/>
  <c r="C17" i="32"/>
  <c r="C16" i="32"/>
  <c r="C15" i="32"/>
  <c r="C14" i="32"/>
  <c r="C13" i="32"/>
  <c r="C12" i="32"/>
  <c r="C11" i="32"/>
  <c r="C10" i="32"/>
  <c r="C9" i="32"/>
  <c r="C8" i="32"/>
  <c r="C7" i="32"/>
  <c r="C6" i="32"/>
  <c r="C32" i="59" s="1"/>
  <c r="C327" i="18"/>
  <c r="E22" i="59" s="1"/>
  <c r="C309" i="18"/>
  <c r="E21" i="59" s="1"/>
  <c r="C291" i="18"/>
  <c r="E20" i="59" s="1"/>
  <c r="C273" i="18"/>
  <c r="E19" i="59" s="1"/>
  <c r="C255" i="18"/>
  <c r="E18" i="59" s="1"/>
  <c r="C237" i="18"/>
  <c r="E17" i="59" s="1"/>
  <c r="C219" i="18"/>
  <c r="E16" i="59" s="1"/>
  <c r="C201" i="18"/>
  <c r="E15" i="59" s="1"/>
  <c r="C183" i="18"/>
  <c r="E14" i="59" s="1"/>
  <c r="C165" i="18"/>
  <c r="E13" i="59" s="1"/>
  <c r="C147" i="18"/>
  <c r="E12" i="59" s="1"/>
  <c r="C129" i="18"/>
  <c r="E11" i="59" s="1"/>
  <c r="C111" i="18"/>
  <c r="E10" i="59" s="1"/>
  <c r="C93" i="18"/>
  <c r="E7" i="59" s="1"/>
  <c r="C92" i="18"/>
  <c r="C91" i="18"/>
  <c r="C90" i="18"/>
  <c r="C89" i="18"/>
  <c r="C88" i="18"/>
  <c r="C87" i="18"/>
  <c r="C86" i="18"/>
  <c r="C85" i="18"/>
  <c r="C84" i="18"/>
  <c r="C83" i="18"/>
  <c r="C82" i="18"/>
  <c r="C81" i="18"/>
  <c r="C80" i="18"/>
  <c r="C79" i="18"/>
  <c r="C78" i="18"/>
  <c r="C7" i="59" s="1"/>
  <c r="C75" i="18"/>
  <c r="E8" i="59" s="1"/>
  <c r="C74" i="18"/>
  <c r="C73" i="18"/>
  <c r="C72" i="18"/>
  <c r="C71" i="18"/>
  <c r="C70" i="18"/>
  <c r="C69" i="18"/>
  <c r="C68" i="18"/>
  <c r="C67" i="18"/>
  <c r="C66" i="18"/>
  <c r="C65" i="18"/>
  <c r="C64" i="18"/>
  <c r="C63" i="18"/>
  <c r="C62" i="18"/>
  <c r="C61" i="18"/>
  <c r="C60" i="18"/>
  <c r="C8" i="59" s="1"/>
  <c r="C57" i="18"/>
  <c r="E5" i="59" s="1"/>
  <c r="C56" i="18"/>
  <c r="C55" i="18"/>
  <c r="C54" i="18"/>
  <c r="C53" i="18"/>
  <c r="C52" i="18"/>
  <c r="C51" i="18"/>
  <c r="C50" i="18"/>
  <c r="C49" i="18"/>
  <c r="C48" i="18"/>
  <c r="C47" i="18"/>
  <c r="C46" i="18"/>
  <c r="C45" i="18"/>
  <c r="C44" i="18"/>
  <c r="C43" i="18"/>
  <c r="C42" i="18"/>
  <c r="C5" i="59" s="1"/>
  <c r="C39" i="18"/>
  <c r="E6" i="59" s="1"/>
  <c r="C38" i="18"/>
  <c r="C37" i="18"/>
  <c r="C36" i="18"/>
  <c r="C35" i="18"/>
  <c r="C34" i="18"/>
  <c r="C33" i="18"/>
  <c r="C32" i="18"/>
  <c r="C31" i="18"/>
  <c r="C30" i="18"/>
  <c r="C29" i="18"/>
  <c r="C28" i="18"/>
  <c r="C27" i="18"/>
  <c r="C26" i="18"/>
  <c r="C25" i="18"/>
  <c r="C24" i="18"/>
  <c r="C6" i="59" s="1"/>
  <c r="D6" i="59" s="1"/>
  <c r="C21" i="18"/>
  <c r="E9" i="59" s="1"/>
  <c r="E302" i="75"/>
  <c r="F302" i="75"/>
  <c r="C18" i="43"/>
  <c r="C17" i="43"/>
  <c r="C32" i="43"/>
  <c r="C31" i="43"/>
  <c r="C25" i="43"/>
  <c r="C24" i="43"/>
  <c r="C30" i="43"/>
  <c r="C28" i="43"/>
  <c r="C23" i="43"/>
  <c r="C21" i="43"/>
  <c r="C16" i="43"/>
  <c r="C14" i="43"/>
  <c r="C70" i="43"/>
  <c r="C46" i="43"/>
  <c r="C45" i="43"/>
  <c r="C44" i="43"/>
  <c r="C69" i="43"/>
  <c r="C39" i="43"/>
  <c r="C38" i="43"/>
  <c r="C37" i="43"/>
  <c r="C35" i="43"/>
  <c r="C68" i="43"/>
  <c r="C67" i="43"/>
  <c r="C65" i="43"/>
  <c r="C10" i="43"/>
  <c r="C9" i="43"/>
  <c r="C8" i="43"/>
  <c r="C6" i="43"/>
  <c r="F378" i="75"/>
  <c r="E378" i="75"/>
  <c r="D378" i="75"/>
  <c r="C378" i="75"/>
  <c r="B378" i="75"/>
  <c r="F359" i="75"/>
  <c r="E359" i="75"/>
  <c r="D359" i="75"/>
  <c r="C359" i="75"/>
  <c r="B359" i="75"/>
  <c r="F340" i="75"/>
  <c r="E340" i="75"/>
  <c r="D340" i="75"/>
  <c r="C340" i="75"/>
  <c r="B340" i="75"/>
  <c r="F321" i="75"/>
  <c r="E321" i="75"/>
  <c r="D321" i="75"/>
  <c r="C321" i="75"/>
  <c r="B321" i="75"/>
  <c r="F283" i="75"/>
  <c r="E283" i="75"/>
  <c r="D283" i="75"/>
  <c r="C283" i="75"/>
  <c r="B283" i="75"/>
  <c r="F264" i="75"/>
  <c r="E264" i="75"/>
  <c r="D264" i="75"/>
  <c r="C264" i="75"/>
  <c r="B264" i="75"/>
  <c r="F191" i="75"/>
  <c r="E191" i="75"/>
  <c r="D191" i="75"/>
  <c r="C191" i="75"/>
  <c r="B191" i="75"/>
  <c r="F172" i="75"/>
  <c r="E172" i="75"/>
  <c r="D172" i="75"/>
  <c r="C172" i="75"/>
  <c r="B172" i="75"/>
  <c r="F153" i="75"/>
  <c r="E153" i="75"/>
  <c r="D153" i="75"/>
  <c r="C153" i="75"/>
  <c r="B153" i="75"/>
  <c r="F134" i="75"/>
  <c r="E134" i="75"/>
  <c r="D134" i="75"/>
  <c r="C134" i="75"/>
  <c r="B134" i="75"/>
  <c r="F97" i="75"/>
  <c r="E97" i="75"/>
  <c r="D97" i="75"/>
  <c r="C97" i="75"/>
  <c r="B97" i="75"/>
  <c r="F78" i="75"/>
  <c r="E78" i="75"/>
  <c r="D78" i="75"/>
  <c r="C78" i="75"/>
  <c r="B78" i="75"/>
  <c r="F59" i="75"/>
  <c r="E59" i="75"/>
  <c r="D59" i="75"/>
  <c r="C59" i="75"/>
  <c r="B59" i="75"/>
  <c r="B40" i="75"/>
  <c r="F40" i="75"/>
  <c r="E40" i="75"/>
  <c r="D40" i="75"/>
  <c r="C40" i="75"/>
  <c r="F21" i="75"/>
  <c r="E21" i="75"/>
  <c r="D21" i="75"/>
  <c r="C21" i="75"/>
  <c r="B21" i="75"/>
  <c r="C39" i="53"/>
  <c r="C38" i="53"/>
  <c r="C37" i="53"/>
  <c r="C32" i="53"/>
  <c r="C31" i="53"/>
  <c r="C30" i="53"/>
  <c r="C25" i="53"/>
  <c r="C24" i="53"/>
  <c r="C23" i="53"/>
  <c r="C18" i="53"/>
  <c r="C17" i="53"/>
  <c r="C16" i="53"/>
  <c r="C14" i="53"/>
  <c r="C10" i="53"/>
  <c r="C9" i="53"/>
  <c r="C8" i="53"/>
  <c r="C39" i="49"/>
  <c r="C38" i="49"/>
  <c r="C37" i="49"/>
  <c r="C32" i="49"/>
  <c r="C31" i="49"/>
  <c r="C30" i="49"/>
  <c r="C58" i="49"/>
  <c r="C25" i="49"/>
  <c r="C24" i="49"/>
  <c r="C23" i="49"/>
  <c r="C57" i="49"/>
  <c r="C18" i="49"/>
  <c r="C17" i="49"/>
  <c r="C16" i="49"/>
  <c r="C10" i="49"/>
  <c r="C9" i="49"/>
  <c r="C8" i="49"/>
  <c r="C39" i="48"/>
  <c r="C38" i="48"/>
  <c r="C37" i="48"/>
  <c r="C59" i="48"/>
  <c r="C32" i="48"/>
  <c r="C31" i="48"/>
  <c r="C30" i="48"/>
  <c r="C28" i="48"/>
  <c r="C58" i="48"/>
  <c r="C25" i="48"/>
  <c r="C24" i="48"/>
  <c r="C23" i="48"/>
  <c r="C57" i="48"/>
  <c r="C18" i="48"/>
  <c r="C17" i="48"/>
  <c r="C16" i="48"/>
  <c r="C10" i="48"/>
  <c r="C9" i="48"/>
  <c r="C8" i="48"/>
  <c r="C67" i="47"/>
  <c r="C42" i="47"/>
  <c r="C14" i="47"/>
  <c r="C46" i="47"/>
  <c r="C45" i="47"/>
  <c r="C44" i="47"/>
  <c r="C69" i="47"/>
  <c r="C39" i="47"/>
  <c r="C38" i="47"/>
  <c r="C37" i="47"/>
  <c r="C32" i="47"/>
  <c r="C31" i="47"/>
  <c r="C30" i="47"/>
  <c r="C25" i="47"/>
  <c r="C24" i="47"/>
  <c r="C23" i="47"/>
  <c r="C21" i="47"/>
  <c r="C66" i="47"/>
  <c r="C18" i="47"/>
  <c r="C17" i="47"/>
  <c r="C16" i="47"/>
  <c r="C65" i="47"/>
  <c r="C10" i="47"/>
  <c r="C9" i="47"/>
  <c r="C8" i="47"/>
  <c r="C32" i="46"/>
  <c r="C31" i="46"/>
  <c r="C30" i="46"/>
  <c r="C28" i="46"/>
  <c r="C49" i="46"/>
  <c r="C25" i="46"/>
  <c r="C24" i="46"/>
  <c r="C23" i="46"/>
  <c r="C21" i="46"/>
  <c r="C48" i="46"/>
  <c r="C18" i="46"/>
  <c r="C17" i="46"/>
  <c r="C16" i="46"/>
  <c r="C10" i="46"/>
  <c r="C9" i="46"/>
  <c r="C8" i="46"/>
  <c r="C25" i="54"/>
  <c r="C24" i="54"/>
  <c r="C23" i="54"/>
  <c r="C21" i="54"/>
  <c r="C46" i="54"/>
  <c r="C45" i="54"/>
  <c r="C44" i="54"/>
  <c r="C39" i="54"/>
  <c r="C38" i="54"/>
  <c r="C37" i="54"/>
  <c r="C35" i="54"/>
  <c r="C32" i="54"/>
  <c r="C31" i="54"/>
  <c r="C30" i="54"/>
  <c r="C28" i="54"/>
  <c r="C18" i="54"/>
  <c r="C17" i="54"/>
  <c r="C16" i="54"/>
  <c r="C65" i="54"/>
  <c r="C10" i="54"/>
  <c r="C9" i="54"/>
  <c r="C8" i="54"/>
  <c r="C6" i="54"/>
  <c r="C21" i="66"/>
  <c r="C50" i="42"/>
  <c r="C32" i="42"/>
  <c r="C31" i="42"/>
  <c r="C30" i="42"/>
  <c r="C18" i="42"/>
  <c r="C17" i="42"/>
  <c r="C16" i="42"/>
  <c r="C10" i="42"/>
  <c r="C9" i="42"/>
  <c r="C8" i="42"/>
  <c r="C6" i="42"/>
  <c r="D9" i="59" l="1"/>
  <c r="C21" i="53"/>
  <c r="C56" i="53"/>
  <c r="D46" i="59"/>
  <c r="D50" i="59"/>
  <c r="C66" i="43"/>
  <c r="D49" i="59"/>
  <c r="C42" i="43"/>
  <c r="D45" i="59"/>
  <c r="D44" i="59"/>
  <c r="D5" i="59"/>
  <c r="D8" i="59"/>
  <c r="D7" i="59"/>
  <c r="D32" i="59"/>
  <c r="D31" i="59"/>
  <c r="D29" i="59"/>
  <c r="D30" i="59"/>
  <c r="D28" i="59"/>
  <c r="D26" i="59"/>
  <c r="D34" i="59"/>
  <c r="D36" i="59"/>
  <c r="D33" i="59"/>
  <c r="D35" i="59"/>
  <c r="D27" i="59"/>
  <c r="C57" i="53"/>
  <c r="C28" i="53"/>
  <c r="C58" i="53"/>
  <c r="C59" i="53"/>
  <c r="C6" i="53"/>
  <c r="C35" i="53"/>
  <c r="C60" i="53"/>
  <c r="C70" i="47"/>
  <c r="C28" i="47"/>
  <c r="C6" i="47"/>
  <c r="C35" i="47"/>
  <c r="C68" i="47"/>
  <c r="C56" i="49"/>
  <c r="C21" i="49"/>
  <c r="C28" i="49"/>
  <c r="C59" i="49"/>
  <c r="C6" i="49"/>
  <c r="C35" i="49"/>
  <c r="C60" i="49"/>
  <c r="C14" i="49"/>
  <c r="C60" i="48"/>
  <c r="C14" i="48"/>
  <c r="C6" i="48"/>
  <c r="C21" i="48"/>
  <c r="C56" i="48"/>
  <c r="C35" i="48"/>
  <c r="C6" i="46"/>
  <c r="C47" i="46"/>
  <c r="C14" i="46"/>
  <c r="C50" i="46"/>
  <c r="C42" i="54"/>
  <c r="C67" i="54"/>
  <c r="C14" i="54"/>
  <c r="C68" i="54"/>
  <c r="C69" i="54"/>
  <c r="C70" i="54"/>
  <c r="C66" i="54"/>
  <c r="C49" i="42"/>
  <c r="C25" i="42"/>
  <c r="C14" i="42"/>
  <c r="C36" i="42" s="1"/>
  <c r="C21" i="42"/>
  <c r="C37" i="42" s="1"/>
  <c r="C23" i="42"/>
  <c r="C24" i="42"/>
  <c r="C28" i="42"/>
  <c r="C38" i="42" s="1"/>
  <c r="C47" i="42"/>
  <c r="C48" i="42"/>
  <c r="C58" i="19"/>
  <c r="C39" i="19"/>
  <c r="C38" i="19"/>
  <c r="C37" i="19"/>
  <c r="C35" i="19"/>
  <c r="C32" i="19"/>
  <c r="C31" i="19"/>
  <c r="C30" i="19"/>
  <c r="C28" i="19"/>
  <c r="C25" i="19"/>
  <c r="C10" i="19"/>
  <c r="C9" i="19"/>
  <c r="C8" i="19"/>
  <c r="C6" i="19"/>
  <c r="C24" i="19"/>
  <c r="C23" i="19"/>
  <c r="C18" i="19"/>
  <c r="C17" i="19"/>
  <c r="C16" i="19"/>
  <c r="F398" i="66"/>
  <c r="E398" i="66"/>
  <c r="D398" i="66"/>
  <c r="C398" i="66"/>
  <c r="B398" i="66"/>
  <c r="F379" i="66"/>
  <c r="E379" i="66"/>
  <c r="D379" i="66"/>
  <c r="C379" i="66"/>
  <c r="B379" i="66"/>
  <c r="F360" i="66"/>
  <c r="E360" i="66"/>
  <c r="D360" i="66"/>
  <c r="C360" i="66"/>
  <c r="B360" i="66"/>
  <c r="F341" i="66"/>
  <c r="E341" i="66"/>
  <c r="D341" i="66"/>
  <c r="C341" i="66"/>
  <c r="B341" i="66"/>
  <c r="F322" i="66"/>
  <c r="E322" i="66"/>
  <c r="D322" i="66"/>
  <c r="C322" i="66"/>
  <c r="B322" i="66"/>
  <c r="B40" i="66"/>
  <c r="B59" i="66"/>
  <c r="B78" i="66"/>
  <c r="B97" i="66"/>
  <c r="B134" i="66"/>
  <c r="B153" i="66"/>
  <c r="B172" i="66"/>
  <c r="B191" i="66"/>
  <c r="B210" i="66"/>
  <c r="B229" i="66"/>
  <c r="B248" i="66"/>
  <c r="F285" i="66"/>
  <c r="E285" i="66"/>
  <c r="D285" i="66"/>
  <c r="C285" i="66"/>
  <c r="B285" i="66"/>
  <c r="F248" i="66"/>
  <c r="E248" i="66"/>
  <c r="D248" i="66"/>
  <c r="C248" i="66"/>
  <c r="F229" i="66"/>
  <c r="E229" i="66"/>
  <c r="D229" i="66"/>
  <c r="C229" i="66"/>
  <c r="F210" i="66"/>
  <c r="E210" i="66"/>
  <c r="D210" i="66"/>
  <c r="C210" i="66"/>
  <c r="F191" i="66"/>
  <c r="E191" i="66"/>
  <c r="D191" i="66"/>
  <c r="C191" i="66"/>
  <c r="F172" i="66"/>
  <c r="E172" i="66"/>
  <c r="D172" i="66"/>
  <c r="C172" i="66"/>
  <c r="F153" i="66"/>
  <c r="E153" i="66"/>
  <c r="D153" i="66"/>
  <c r="C153" i="66"/>
  <c r="F134" i="66"/>
  <c r="E134" i="66"/>
  <c r="D134" i="66"/>
  <c r="C134" i="66"/>
  <c r="F97" i="66"/>
  <c r="E97" i="66"/>
  <c r="D97" i="66"/>
  <c r="C97" i="66"/>
  <c r="F78" i="66"/>
  <c r="E78" i="66"/>
  <c r="D78" i="66"/>
  <c r="C78" i="66"/>
  <c r="F59" i="66"/>
  <c r="E59" i="66"/>
  <c r="D59" i="66"/>
  <c r="C59" i="66"/>
  <c r="C40" i="66"/>
  <c r="F40" i="66"/>
  <c r="E40" i="66"/>
  <c r="D40" i="66"/>
  <c r="F21" i="66"/>
  <c r="E21" i="66"/>
  <c r="D21" i="66"/>
  <c r="B21" i="66"/>
  <c r="F15" i="21"/>
  <c r="F13" i="21"/>
  <c r="C35" i="42"/>
  <c r="D12" i="21" s="1"/>
  <c r="F45" i="21"/>
  <c r="E45" i="21"/>
  <c r="D45" i="21"/>
  <c r="F39" i="21"/>
  <c r="E39" i="21"/>
  <c r="D39" i="21"/>
  <c r="F38" i="21"/>
  <c r="E38" i="21"/>
  <c r="D38" i="21"/>
  <c r="F37" i="21"/>
  <c r="E37" i="21"/>
  <c r="D37" i="21"/>
  <c r="F36" i="21"/>
  <c r="E36" i="21"/>
  <c r="D36" i="21"/>
  <c r="F35" i="21"/>
  <c r="E35" i="21"/>
  <c r="D35" i="21"/>
  <c r="F34" i="21"/>
  <c r="E34" i="21"/>
  <c r="D34" i="21"/>
  <c r="C14" i="19" l="1"/>
  <c r="C56" i="19"/>
  <c r="C57" i="19"/>
  <c r="C59" i="19"/>
  <c r="C21" i="19"/>
  <c r="C60" i="19"/>
  <c r="F12" i="21"/>
  <c r="F14" i="21"/>
  <c r="D14" i="21"/>
  <c r="C43" i="42"/>
  <c r="C41" i="42"/>
  <c r="C42" i="42"/>
  <c r="D13" i="21"/>
  <c r="C44" i="42"/>
  <c r="D15" i="21"/>
  <c r="E13" i="21" l="1"/>
  <c r="C15" i="42"/>
  <c r="C29" i="42"/>
  <c r="E15" i="21"/>
  <c r="C7" i="42"/>
  <c r="E12" i="21"/>
  <c r="C22" i="42"/>
  <c r="E14" i="21"/>
  <c r="C438" i="43"/>
  <c r="C437" i="43"/>
  <c r="C436" i="43"/>
  <c r="C435" i="43"/>
  <c r="C434" i="43"/>
  <c r="C433" i="43"/>
  <c r="C432" i="43"/>
  <c r="C431" i="43"/>
  <c r="C430" i="43"/>
  <c r="C427" i="43"/>
  <c r="C426" i="43"/>
  <c r="C425" i="43"/>
  <c r="C424" i="43"/>
  <c r="C423" i="43"/>
  <c r="C422" i="43"/>
  <c r="C421" i="43"/>
  <c r="C420" i="43"/>
  <c r="C419" i="43"/>
  <c r="C416" i="43"/>
  <c r="C415" i="43"/>
  <c r="C414" i="43"/>
  <c r="C413" i="43"/>
  <c r="C412" i="43"/>
  <c r="C411" i="43"/>
  <c r="C410" i="43"/>
  <c r="C409" i="43"/>
  <c r="C408" i="43"/>
  <c r="C405" i="43"/>
  <c r="C404" i="43"/>
  <c r="C403" i="43"/>
  <c r="C402" i="43"/>
  <c r="C401" i="43"/>
  <c r="C400" i="43"/>
  <c r="C399" i="43"/>
  <c r="C398" i="43"/>
  <c r="C397" i="43"/>
  <c r="C386" i="43"/>
  <c r="C383" i="43"/>
  <c r="C382" i="43"/>
  <c r="C381" i="43"/>
  <c r="C380" i="43"/>
  <c r="C379" i="43"/>
  <c r="C378" i="43"/>
  <c r="C377" i="43"/>
  <c r="C376" i="43"/>
  <c r="C375" i="43"/>
  <c r="C364" i="43"/>
  <c r="C353" i="43"/>
  <c r="C342" i="43"/>
  <c r="C339" i="43"/>
  <c r="C338" i="43"/>
  <c r="C337" i="43"/>
  <c r="C336" i="43"/>
  <c r="C335" i="43"/>
  <c r="C334" i="43"/>
  <c r="C333" i="43"/>
  <c r="C332" i="43"/>
  <c r="C331" i="43"/>
  <c r="C327" i="43"/>
  <c r="C326" i="43"/>
  <c r="C325" i="43"/>
  <c r="C324" i="43"/>
  <c r="C323" i="43"/>
  <c r="C322" i="43"/>
  <c r="C321" i="43"/>
  <c r="C320" i="43"/>
  <c r="C319" i="43"/>
  <c r="C316" i="43"/>
  <c r="C315" i="43"/>
  <c r="C314" i="43"/>
  <c r="C313" i="43"/>
  <c r="C312" i="43"/>
  <c r="C311" i="43"/>
  <c r="C310" i="43"/>
  <c r="C309" i="43"/>
  <c r="C308" i="43"/>
  <c r="C304" i="43"/>
  <c r="C303" i="43"/>
  <c r="C302" i="43"/>
  <c r="C301" i="43"/>
  <c r="C300" i="43"/>
  <c r="C299" i="43"/>
  <c r="C298" i="43"/>
  <c r="C297" i="43"/>
  <c r="C296" i="43"/>
  <c r="C293" i="43"/>
  <c r="C292" i="43"/>
  <c r="C291" i="43"/>
  <c r="C290" i="43"/>
  <c r="C289" i="43"/>
  <c r="C288" i="43"/>
  <c r="C287" i="43"/>
  <c r="C286" i="43"/>
  <c r="C285" i="43"/>
  <c r="C274" i="43"/>
  <c r="C271" i="43"/>
  <c r="C270" i="43"/>
  <c r="C269" i="43"/>
  <c r="C268" i="43"/>
  <c r="C267" i="43"/>
  <c r="C266" i="43"/>
  <c r="C265" i="43"/>
  <c r="C264" i="43"/>
  <c r="C263" i="43"/>
  <c r="C252" i="43"/>
  <c r="C249" i="43"/>
  <c r="C248" i="43"/>
  <c r="C247" i="43"/>
  <c r="C246" i="43"/>
  <c r="C245" i="43"/>
  <c r="C244" i="43"/>
  <c r="C243" i="43"/>
  <c r="C242" i="43"/>
  <c r="C241" i="43"/>
  <c r="C237" i="43"/>
  <c r="C236" i="43"/>
  <c r="C235" i="43"/>
  <c r="C234" i="43"/>
  <c r="C233" i="43"/>
  <c r="C232" i="43"/>
  <c r="C231" i="43"/>
  <c r="C230" i="43"/>
  <c r="C229" i="43"/>
  <c r="C226" i="43"/>
  <c r="C225" i="43"/>
  <c r="C224" i="43"/>
  <c r="C223" i="43"/>
  <c r="C222" i="43"/>
  <c r="C221" i="43"/>
  <c r="C220" i="43"/>
  <c r="C219" i="43"/>
  <c r="C218" i="43"/>
  <c r="C215" i="43"/>
  <c r="C214" i="43"/>
  <c r="C213" i="43"/>
  <c r="C212" i="43"/>
  <c r="C211" i="43"/>
  <c r="C210" i="43"/>
  <c r="C209" i="43"/>
  <c r="C208" i="43"/>
  <c r="C207" i="43"/>
  <c r="C204" i="43"/>
  <c r="C203" i="43"/>
  <c r="C202" i="43"/>
  <c r="C201" i="43"/>
  <c r="C200" i="43"/>
  <c r="C199" i="43"/>
  <c r="C198" i="43"/>
  <c r="C197" i="43"/>
  <c r="C196" i="43"/>
  <c r="C193" i="43"/>
  <c r="C192" i="43"/>
  <c r="C191" i="43"/>
  <c r="C190" i="43"/>
  <c r="C189" i="43"/>
  <c r="C188" i="43"/>
  <c r="C187" i="43"/>
  <c r="C186" i="43"/>
  <c r="C185" i="43"/>
  <c r="C181" i="43"/>
  <c r="C180" i="43"/>
  <c r="C179" i="43"/>
  <c r="C178" i="43"/>
  <c r="C177" i="43"/>
  <c r="C176" i="43"/>
  <c r="C175" i="43"/>
  <c r="C174" i="43"/>
  <c r="C161" i="43"/>
  <c r="C160" i="43"/>
  <c r="C159" i="43"/>
  <c r="C158" i="43"/>
  <c r="C155" i="43"/>
  <c r="C154" i="43"/>
  <c r="C153" i="43"/>
  <c r="C152" i="43"/>
  <c r="C149" i="43"/>
  <c r="C148" i="43"/>
  <c r="C147" i="43"/>
  <c r="C146" i="43"/>
  <c r="C143" i="43"/>
  <c r="C142" i="43"/>
  <c r="C141" i="43"/>
  <c r="C140" i="43"/>
  <c r="C137" i="43"/>
  <c r="C136" i="43"/>
  <c r="C135" i="43"/>
  <c r="C134" i="43"/>
  <c r="C131" i="43"/>
  <c r="C130" i="43"/>
  <c r="C129" i="43"/>
  <c r="C128" i="43"/>
  <c r="C123" i="43"/>
  <c r="C122" i="43"/>
  <c r="C121" i="43"/>
  <c r="C120" i="43"/>
  <c r="C119" i="43"/>
  <c r="C118" i="43"/>
  <c r="C115" i="43"/>
  <c r="C114" i="43"/>
  <c r="C113" i="43"/>
  <c r="C112" i="43"/>
  <c r="C111" i="43"/>
  <c r="C110" i="43"/>
  <c r="C107" i="43"/>
  <c r="C106" i="43"/>
  <c r="C105" i="43"/>
  <c r="C104" i="43"/>
  <c r="C101" i="43"/>
  <c r="C100" i="43"/>
  <c r="C99" i="43"/>
  <c r="C98" i="43"/>
  <c r="C95" i="43"/>
  <c r="C94" i="43"/>
  <c r="C93" i="43"/>
  <c r="C92" i="43"/>
  <c r="C89" i="43"/>
  <c r="C88" i="43"/>
  <c r="C87" i="43"/>
  <c r="C86" i="43"/>
  <c r="C83" i="43"/>
  <c r="C82" i="43"/>
  <c r="C81" i="43"/>
  <c r="C80" i="43"/>
  <c r="C77" i="43"/>
  <c r="C76" i="43"/>
  <c r="C75" i="43"/>
  <c r="C74" i="43"/>
  <c r="F9" i="21"/>
  <c r="F8" i="21"/>
  <c r="F7" i="21"/>
  <c r="F6" i="21"/>
  <c r="F5" i="21"/>
  <c r="D9" i="21"/>
  <c r="D8" i="21"/>
  <c r="D6" i="21"/>
  <c r="C42" i="48" l="1"/>
  <c r="C43" i="48"/>
  <c r="C44" i="48"/>
  <c r="C45" i="48"/>
  <c r="C46" i="48"/>
  <c r="C42" i="49"/>
  <c r="C43" i="49"/>
  <c r="C44" i="49"/>
  <c r="C45" i="49"/>
  <c r="C46" i="49"/>
  <c r="C42" i="53"/>
  <c r="C43" i="53"/>
  <c r="C44" i="53"/>
  <c r="C45" i="53"/>
  <c r="C46" i="53"/>
  <c r="C49" i="47"/>
  <c r="C50" i="47"/>
  <c r="C51" i="47"/>
  <c r="C52" i="47"/>
  <c r="C53" i="47"/>
  <c r="C54" i="47"/>
  <c r="C38" i="46"/>
  <c r="C37" i="46"/>
  <c r="C35" i="46"/>
  <c r="C36" i="46"/>
  <c r="F42" i="21"/>
  <c r="F43" i="21"/>
  <c r="F44" i="21"/>
  <c r="F46" i="21"/>
  <c r="F18" i="21"/>
  <c r="F19" i="21"/>
  <c r="C165" i="43"/>
  <c r="C46" i="19"/>
  <c r="C44" i="19"/>
  <c r="D7" i="21"/>
  <c r="C43" i="19"/>
  <c r="C45" i="19"/>
  <c r="C42" i="19"/>
  <c r="D5" i="21"/>
  <c r="C51" i="19" l="1"/>
  <c r="C22" i="19" s="1"/>
  <c r="D61" i="21"/>
  <c r="C53" i="48"/>
  <c r="D57" i="21"/>
  <c r="C49" i="48"/>
  <c r="F59" i="21"/>
  <c r="F58" i="21"/>
  <c r="F57" i="21"/>
  <c r="D60" i="21"/>
  <c r="C52" i="48"/>
  <c r="F61" i="21"/>
  <c r="F60" i="21"/>
  <c r="C51" i="48"/>
  <c r="D59" i="21"/>
  <c r="D58" i="21"/>
  <c r="C50" i="48"/>
  <c r="D66" i="21"/>
  <c r="C51" i="49"/>
  <c r="F67" i="21"/>
  <c r="D65" i="21"/>
  <c r="C50" i="49"/>
  <c r="F66" i="21"/>
  <c r="D68" i="21"/>
  <c r="C53" i="49"/>
  <c r="D64" i="21"/>
  <c r="C49" i="49"/>
  <c r="F65" i="21"/>
  <c r="D67" i="21"/>
  <c r="C52" i="49"/>
  <c r="F68" i="21"/>
  <c r="F64" i="21"/>
  <c r="D75" i="21"/>
  <c r="C53" i="53"/>
  <c r="F75" i="21"/>
  <c r="F72" i="21"/>
  <c r="D71" i="21"/>
  <c r="C49" i="53"/>
  <c r="D74" i="21"/>
  <c r="C52" i="53"/>
  <c r="F71" i="21"/>
  <c r="D73" i="21"/>
  <c r="C51" i="53"/>
  <c r="F74" i="21"/>
  <c r="D72" i="21"/>
  <c r="C50" i="53"/>
  <c r="C15" i="53" s="1"/>
  <c r="F73" i="21"/>
  <c r="D53" i="21"/>
  <c r="C61" i="47"/>
  <c r="D49" i="21"/>
  <c r="C57" i="47"/>
  <c r="F51" i="21"/>
  <c r="D52" i="21"/>
  <c r="C60" i="47"/>
  <c r="F54" i="21"/>
  <c r="F50" i="21"/>
  <c r="D51" i="21"/>
  <c r="C59" i="47"/>
  <c r="F53" i="21"/>
  <c r="F49" i="21"/>
  <c r="F52" i="21"/>
  <c r="D54" i="21"/>
  <c r="C62" i="47"/>
  <c r="D50" i="21"/>
  <c r="C58" i="47"/>
  <c r="D46" i="21"/>
  <c r="C44" i="46"/>
  <c r="C41" i="46"/>
  <c r="D42" i="21"/>
  <c r="C43" i="46"/>
  <c r="D44" i="21"/>
  <c r="D43" i="21"/>
  <c r="C42" i="46"/>
  <c r="C49" i="19"/>
  <c r="E5" i="21" s="1"/>
  <c r="C53" i="19"/>
  <c r="E9" i="21" s="1"/>
  <c r="C52" i="19"/>
  <c r="C29" i="19" s="1"/>
  <c r="C50" i="19"/>
  <c r="C15" i="19" s="1"/>
  <c r="D26" i="21"/>
  <c r="C49" i="54"/>
  <c r="C54" i="54"/>
  <c r="D31" i="21"/>
  <c r="D29" i="21"/>
  <c r="C52" i="54"/>
  <c r="F31" i="21"/>
  <c r="F29" i="21"/>
  <c r="F28" i="21"/>
  <c r="F26" i="21"/>
  <c r="F27" i="21"/>
  <c r="C51" i="54"/>
  <c r="D28" i="21"/>
  <c r="C50" i="54"/>
  <c r="D27" i="21"/>
  <c r="F30" i="21"/>
  <c r="C53" i="54"/>
  <c r="D30" i="21"/>
  <c r="F22" i="21"/>
  <c r="C168" i="43"/>
  <c r="C164" i="43"/>
  <c r="D23" i="21"/>
  <c r="C54" i="43"/>
  <c r="D19" i="21"/>
  <c r="C50" i="43"/>
  <c r="F20" i="21"/>
  <c r="C166" i="43"/>
  <c r="D21" i="21"/>
  <c r="C52" i="43"/>
  <c r="D20" i="21"/>
  <c r="C51" i="43"/>
  <c r="F21" i="21"/>
  <c r="C167" i="43"/>
  <c r="D22" i="21"/>
  <c r="C53" i="43"/>
  <c r="D18" i="21"/>
  <c r="C49" i="43"/>
  <c r="F23" i="21"/>
  <c r="C169" i="43"/>
  <c r="E7" i="21" l="1"/>
  <c r="C36" i="19"/>
  <c r="C7" i="19"/>
  <c r="E6" i="21"/>
  <c r="C57" i="43"/>
  <c r="E18" i="21" s="1"/>
  <c r="C29" i="48"/>
  <c r="E60" i="21"/>
  <c r="C15" i="48"/>
  <c r="E58" i="21"/>
  <c r="C22" i="48"/>
  <c r="E59" i="21"/>
  <c r="C7" i="48"/>
  <c r="E57" i="21"/>
  <c r="C36" i="48"/>
  <c r="E61" i="21"/>
  <c r="C15" i="49"/>
  <c r="E65" i="21"/>
  <c r="C36" i="49"/>
  <c r="E68" i="21"/>
  <c r="C7" i="49"/>
  <c r="E64" i="21"/>
  <c r="C29" i="49"/>
  <c r="E67" i="21"/>
  <c r="C22" i="49"/>
  <c r="E66" i="21"/>
  <c r="E72" i="21"/>
  <c r="C29" i="53"/>
  <c r="E74" i="21"/>
  <c r="C7" i="53"/>
  <c r="E71" i="21"/>
  <c r="C36" i="53"/>
  <c r="E75" i="21"/>
  <c r="C22" i="53"/>
  <c r="E73" i="21"/>
  <c r="C22" i="47"/>
  <c r="E51" i="21"/>
  <c r="C29" i="47"/>
  <c r="E52" i="21"/>
  <c r="C15" i="47"/>
  <c r="E50" i="21"/>
  <c r="C7" i="47"/>
  <c r="E49" i="21"/>
  <c r="C43" i="47"/>
  <c r="E54" i="21"/>
  <c r="C36" i="47"/>
  <c r="E53" i="21"/>
  <c r="E44" i="21"/>
  <c r="C22" i="46"/>
  <c r="E42" i="21"/>
  <c r="C7" i="46"/>
  <c r="C29" i="46"/>
  <c r="E46" i="21"/>
  <c r="E43" i="21"/>
  <c r="C15" i="46"/>
  <c r="E8" i="21"/>
  <c r="C59" i="54"/>
  <c r="C22" i="54" s="1"/>
  <c r="C60" i="54"/>
  <c r="C58" i="54"/>
  <c r="C62" i="54"/>
  <c r="C61" i="54"/>
  <c r="C57" i="54"/>
  <c r="C59" i="43"/>
  <c r="C62" i="43"/>
  <c r="C61" i="43"/>
  <c r="C60" i="43"/>
  <c r="C58" i="43"/>
  <c r="C7" i="43" l="1"/>
  <c r="E28" i="21"/>
  <c r="C7" i="54"/>
  <c r="E26" i="21"/>
  <c r="C36" i="54"/>
  <c r="E30" i="21"/>
  <c r="C43" i="54"/>
  <c r="E31" i="21"/>
  <c r="C15" i="54"/>
  <c r="E27" i="21"/>
  <c r="C29" i="54"/>
  <c r="E29" i="21"/>
  <c r="C15" i="43"/>
  <c r="E19" i="21"/>
  <c r="C29" i="43"/>
  <c r="E21" i="21"/>
  <c r="C36" i="43"/>
  <c r="E22" i="21"/>
  <c r="C43" i="43"/>
  <c r="E23" i="21"/>
  <c r="C22" i="43"/>
  <c r="E20" i="21"/>
</calcChain>
</file>

<file path=xl/sharedStrings.xml><?xml version="1.0" encoding="utf-8"?>
<sst xmlns="http://schemas.openxmlformats.org/spreadsheetml/2006/main" count="17328" uniqueCount="653">
  <si>
    <t>How to interpret NPS scores</t>
  </si>
  <si>
    <t>NPS is a calculated score:</t>
  </si>
  <si>
    <r>
      <t xml:space="preserve">• </t>
    </r>
    <r>
      <rPr>
        <sz val="12"/>
        <color rgb="FF000000"/>
        <rFont val="ING Me"/>
        <family val="3"/>
      </rPr>
      <t>Calculated based on three subgroups (see visual)</t>
    </r>
  </si>
  <si>
    <r>
      <t xml:space="preserve">• </t>
    </r>
    <r>
      <rPr>
        <sz val="12"/>
        <color rgb="FF000000"/>
        <rFont val="ING Me"/>
        <family val="3"/>
      </rPr>
      <t>Lower number of completes per group means more fluctuations</t>
    </r>
  </si>
  <si>
    <r>
      <t xml:space="preserve">• </t>
    </r>
    <r>
      <rPr>
        <sz val="12"/>
        <color rgb="FF000000"/>
        <rFont val="ING Me"/>
        <family val="3"/>
      </rPr>
      <t>Significance testing needs to be on promoters and detractors, so</t>
    </r>
  </si>
  <si>
    <t>differences on NPS from one to another quarter are hardly ever significant (see more info on sig. testing below)</t>
  </si>
  <si>
    <t>Manage fluctuations:</t>
  </si>
  <si>
    <r>
      <t xml:space="preserve">• </t>
    </r>
    <r>
      <rPr>
        <sz val="12"/>
        <color rgb="FF000000"/>
        <rFont val="ING Me"/>
        <family val="3"/>
      </rPr>
      <t xml:space="preserve">Increased sample sizes for more stability. Key objective of BAM is to measure brand performance among general population, so not all brands have an equal number of clients (base for NPS). Fewer clients causes higher error margin, especially for NPS. </t>
    </r>
  </si>
  <si>
    <r>
      <t xml:space="preserve">• </t>
    </r>
    <r>
      <rPr>
        <sz val="12"/>
        <color rgb="FF000000"/>
        <rFont val="ING Me"/>
        <family val="3"/>
      </rPr>
      <t xml:space="preserve">6-months average. Because it is too expensive to enlarge total sample for NPS purposes only, we report a average of six months to increase base size. Error margin remains quite large in countries where the market share of ING is limited (also applicable to competition). </t>
    </r>
  </si>
  <si>
    <t>Ranking NPS performance:</t>
  </si>
  <si>
    <t>In markets with limited differentiation, slight change can create totally different rankings. In fact, this could be caused by the error margin of NPS and not due to actual change. The NPS rankings need to be interpreted with this in mind.</t>
  </si>
  <si>
    <t>Significance of NPS scores</t>
  </si>
  <si>
    <t>Significance testing principles</t>
  </si>
  <si>
    <t xml:space="preserve">Same as testing proportions (other KPIs like consideration) delta required depends on the same two principles. </t>
  </si>
  <si>
    <t>First, the NPS level itself. Same as proportions higher (lower) scores require lower differences. Meaning scores closer to 100 or -100 require lower delta’s to be significantly different. As high (low) scores also mean a percentage of promotors and detractors closer to 0% or 100%.</t>
  </si>
  <si>
    <t xml:space="preserve">Secondly and more importantly, base size. The higher the sample the lower the delta needs to be. </t>
  </si>
  <si>
    <t>Rough estimated delta required before NPS change is significant (95% confidence):</t>
  </si>
  <si>
    <t>Base size</t>
  </si>
  <si>
    <t>Delta required (assum. NPS=0)</t>
  </si>
  <si>
    <t>Delta required (assum. NPS=35)</t>
  </si>
  <si>
    <t>Delta required (assum. NPS=65)</t>
  </si>
  <si>
    <t>Australia</t>
  </si>
  <si>
    <t>NPS</t>
  </si>
  <si>
    <t>Rank</t>
  </si>
  <si>
    <t>n</t>
  </si>
  <si>
    <t xml:space="preserve">ING </t>
  </si>
  <si>
    <t>ANZ</t>
  </si>
  <si>
    <t>Commonwealth Bank</t>
  </si>
  <si>
    <t>NAB (National Australia Bank)</t>
  </si>
  <si>
    <t>Westpac</t>
  </si>
  <si>
    <t>Belgium</t>
  </si>
  <si>
    <t>ING</t>
  </si>
  <si>
    <t>Belfius</t>
  </si>
  <si>
    <t>BNP Paribas Fortis</t>
  </si>
  <si>
    <t>KBC/CBC</t>
  </si>
  <si>
    <t>Germany</t>
  </si>
  <si>
    <t>Commerzbank</t>
  </si>
  <si>
    <t>DKB</t>
  </si>
  <si>
    <t>Postbank</t>
  </si>
  <si>
    <t>Sparkasse</t>
  </si>
  <si>
    <t>VR-Banken</t>
  </si>
  <si>
    <t>Italy</t>
  </si>
  <si>
    <t>Banca Mediolanum</t>
  </si>
  <si>
    <t>Low N</t>
  </si>
  <si>
    <t>Fineco</t>
  </si>
  <si>
    <t>Intesa Sanpaolo</t>
  </si>
  <si>
    <t>Unicredit</t>
  </si>
  <si>
    <t>Luxembourg</t>
  </si>
  <si>
    <t xml:space="preserve">Banque et Caisse d’Epargne de l’Etat / Spuerkeess / BCEE </t>
  </si>
  <si>
    <t>Banque International a Luxembourg</t>
  </si>
  <si>
    <t>BGL BNP Paribas</t>
  </si>
  <si>
    <t>Post</t>
  </si>
  <si>
    <t>Raiffeisen</t>
  </si>
  <si>
    <t>The Netherlands</t>
  </si>
  <si>
    <t>ABN AMRO</t>
  </si>
  <si>
    <t>Rabobank</t>
  </si>
  <si>
    <t>SNS bank</t>
  </si>
  <si>
    <t>Poland</t>
  </si>
  <si>
    <t>mBank</t>
  </si>
  <si>
    <t>Pekao S.A.</t>
  </si>
  <si>
    <t>PKO BP (Powszechna Kasa Oszczędności BP)</t>
  </si>
  <si>
    <t>Santander</t>
  </si>
  <si>
    <t>Romania</t>
  </si>
  <si>
    <t>Banca Transilvania</t>
  </si>
  <si>
    <t>BCR</t>
  </si>
  <si>
    <t>BRD</t>
  </si>
  <si>
    <t>Raiffeisen Bank</t>
  </si>
  <si>
    <t>Spain</t>
  </si>
  <si>
    <t>Banco Santander</t>
  </si>
  <si>
    <t>BBVA</t>
  </si>
  <si>
    <t>Caixabank</t>
  </si>
  <si>
    <t>Openbank</t>
  </si>
  <si>
    <t>Turkey</t>
  </si>
  <si>
    <t>Akbank</t>
  </si>
  <si>
    <t>Garanti Bankası</t>
  </si>
  <si>
    <t>İş Bankası</t>
  </si>
  <si>
    <t>Yapı Kredi Bankası</t>
  </si>
  <si>
    <t>Bank of Australia</t>
  </si>
  <si>
    <t>Bankwest</t>
  </si>
  <si>
    <t>Bendigo Bank</t>
  </si>
  <si>
    <t>BoQ</t>
  </si>
  <si>
    <t>Citibank</t>
  </si>
  <si>
    <t>HSBC</t>
  </si>
  <si>
    <t>Macquarie Bank</t>
  </si>
  <si>
    <t>MEBank (Members Equity)</t>
  </si>
  <si>
    <t>St George</t>
  </si>
  <si>
    <t>Suncorp</t>
  </si>
  <si>
    <t>Ubank</t>
  </si>
  <si>
    <t>Argenta</t>
  </si>
  <si>
    <t>Beobank</t>
  </si>
  <si>
    <t>Crelan</t>
  </si>
  <si>
    <t>Deutsche Bank</t>
  </si>
  <si>
    <t>Fintro</t>
  </si>
  <si>
    <t>Hello Bank</t>
  </si>
  <si>
    <t>Keytrade Bank</t>
  </si>
  <si>
    <t>Comdirect</t>
  </si>
  <si>
    <t>Consors Bank</t>
  </si>
  <si>
    <t xml:space="preserve">N26 </t>
  </si>
  <si>
    <t>Sparda</t>
  </si>
  <si>
    <t>Targobank</t>
  </si>
  <si>
    <t>BancoPosta</t>
  </si>
  <si>
    <t>BNL</t>
  </si>
  <si>
    <t>IWBank</t>
  </si>
  <si>
    <t>Monte dei Paschi di Siena</t>
  </si>
  <si>
    <t>N26</t>
  </si>
  <si>
    <t>Revolut</t>
  </si>
  <si>
    <t>Webank</t>
  </si>
  <si>
    <t>Widiba</t>
  </si>
  <si>
    <t>ASN Bank</t>
  </si>
  <si>
    <t>Bunq</t>
  </si>
  <si>
    <t>DeGIRO</t>
  </si>
  <si>
    <t>KNAB</t>
  </si>
  <si>
    <t>Regiobank</t>
  </si>
  <si>
    <t>Triodos Bank</t>
  </si>
  <si>
    <t>Alior Bank</t>
  </si>
  <si>
    <t xml:space="preserve">Bank Millennium </t>
  </si>
  <si>
    <t>Banki Spółdzielcze z grupy BPS</t>
  </si>
  <si>
    <t>BNP Paribas</t>
  </si>
  <si>
    <t>Credit Agricole</t>
  </si>
  <si>
    <t>Nest bank</t>
  </si>
  <si>
    <t>Alpha Bank</t>
  </si>
  <si>
    <t>CEC</t>
  </si>
  <si>
    <t xml:space="preserve">First Bank </t>
  </si>
  <si>
    <t>Garanti Bank</t>
  </si>
  <si>
    <t xml:space="preserve">Revolut </t>
  </si>
  <si>
    <t>UniCredit Bank</t>
  </si>
  <si>
    <t>Banco Sabadell</t>
  </si>
  <si>
    <t>Bankinter</t>
  </si>
  <si>
    <t>Bnext</t>
  </si>
  <si>
    <t>Burganbank</t>
  </si>
  <si>
    <t>Denizbank</t>
  </si>
  <si>
    <t>Fibabanka</t>
  </si>
  <si>
    <t>Halkbank</t>
  </si>
  <si>
    <t>Odeabank</t>
  </si>
  <si>
    <t>QNB Finansbank</t>
  </si>
  <si>
    <t>Şekerbank</t>
  </si>
  <si>
    <t>Türk Ekonomi Bankası</t>
  </si>
  <si>
    <t>Vakıfbank</t>
  </si>
  <si>
    <t>Ziraat Bankası</t>
  </si>
  <si>
    <t xml:space="preserve">Rolling NPS Data - Total </t>
  </si>
  <si>
    <t>NPS - ING (%)</t>
  </si>
  <si>
    <t xml:space="preserve">Rank - ING </t>
  </si>
  <si>
    <t>Promoter - ING (%)</t>
  </si>
  <si>
    <t>Passive - ING (%)</t>
  </si>
  <si>
    <t>Detractor - ING (%)</t>
  </si>
  <si>
    <t xml:space="preserve">Key competitors </t>
  </si>
  <si>
    <t>NPS - ANZ (%)</t>
  </si>
  <si>
    <t>Rank -  ANZ</t>
  </si>
  <si>
    <t>Promoter -  ANZ (%)</t>
  </si>
  <si>
    <t>Passive -  ANZ (%)</t>
  </si>
  <si>
    <t>Detractor -  ANZ (%)</t>
  </si>
  <si>
    <t>NPS - Commonwealth Bank (%)</t>
  </si>
  <si>
    <t>Rank -  Commonwealth Bank</t>
  </si>
  <si>
    <t>Promoter -  Commonwealth Bank (%)</t>
  </si>
  <si>
    <t>Passive -  Commonwealth Bank (%)</t>
  </si>
  <si>
    <t>Detractor -  Commonwealth Bank (%)</t>
  </si>
  <si>
    <t>NAB - National Australia Bank</t>
  </si>
  <si>
    <t>NPS - NAB (%)</t>
  </si>
  <si>
    <t>Rank -  NAB</t>
  </si>
  <si>
    <t>Promoter -  NAB (%)</t>
  </si>
  <si>
    <t>Passive -  NAB (%)</t>
  </si>
  <si>
    <t>Detractor -  NAB (%)</t>
  </si>
  <si>
    <t>NPS - Westpac (%)</t>
  </si>
  <si>
    <t>Rank -  Westpac</t>
  </si>
  <si>
    <t>Promoter -  Westpac (%)</t>
  </si>
  <si>
    <t>Passive -  Westpac (%)</t>
  </si>
  <si>
    <t>Detractor -  Westpac (%)</t>
  </si>
  <si>
    <t>NPS - ING &amp; Key competitors (For ranking)</t>
  </si>
  <si>
    <t>Ranking formule</t>
  </si>
  <si>
    <t>Base Size - NPS</t>
  </si>
  <si>
    <t>Rolling NPS - Main bank clients</t>
  </si>
  <si>
    <t>Main bank ING - NPS</t>
  </si>
  <si>
    <t>Main bank - ING (%)</t>
  </si>
  <si>
    <t>Base size - Main bank clients</t>
  </si>
  <si>
    <t xml:space="preserve">Main bank - ING </t>
  </si>
  <si>
    <t xml:space="preserve">Rolling NPS - Non main bank clients </t>
  </si>
  <si>
    <t>Non main bank ING - NPS</t>
  </si>
  <si>
    <t xml:space="preserve">Base size - Non main bank clients </t>
  </si>
  <si>
    <t xml:space="preserve">Non main bank - ING </t>
  </si>
  <si>
    <t>Customer Experience - Total (Top-2 %)</t>
  </si>
  <si>
    <t>N/A</t>
  </si>
  <si>
    <t>Helping you manage easily your banking needs remotely in the app/web</t>
  </si>
  <si>
    <t>Having short processes for acquiring products or services</t>
  </si>
  <si>
    <t>Ensuring fast daily operations/transactions</t>
  </si>
  <si>
    <t>Solving your requests in a straightforward and meaningful way</t>
  </si>
  <si>
    <t>Having knowledgeable bank representatives (brand/call center)</t>
  </si>
  <si>
    <t>Enabling personalized advice and support 24/7</t>
  </si>
  <si>
    <t>Having transparent and clear pricing offer of products &amp; services</t>
  </si>
  <si>
    <t>Giving you flexibility to make changes to your products after they are acquired</t>
  </si>
  <si>
    <t xml:space="preserve">Other brands </t>
  </si>
  <si>
    <t>Customer Experience - Main bank (Top-2 %)</t>
  </si>
  <si>
    <t>Main bank - ING</t>
  </si>
  <si>
    <t>Non main bank - ING</t>
  </si>
  <si>
    <t>NPS total</t>
  </si>
  <si>
    <t>Passive</t>
  </si>
  <si>
    <t>Detractor</t>
  </si>
  <si>
    <t xml:space="preserve">Extremely likely </t>
  </si>
  <si>
    <t>9</t>
  </si>
  <si>
    <t>8</t>
  </si>
  <si>
    <t>7</t>
  </si>
  <si>
    <t>6</t>
  </si>
  <si>
    <t>5</t>
  </si>
  <si>
    <t>4</t>
  </si>
  <si>
    <t>1</t>
  </si>
  <si>
    <t>Extremely Unlikely</t>
  </si>
  <si>
    <t>NAB</t>
  </si>
  <si>
    <t xml:space="preserve">Ubank </t>
  </si>
  <si>
    <t>P97511: ING BAM: Australia</t>
  </si>
  <si>
    <t>All</t>
  </si>
  <si>
    <t>Unweighted N</t>
  </si>
  <si>
    <t>Extremely Likely</t>
  </si>
  <si>
    <t>3</t>
  </si>
  <si>
    <t>2</t>
  </si>
  <si>
    <t>Mean</t>
  </si>
  <si>
    <t>-</t>
  </si>
  <si>
    <t>Weighted</t>
  </si>
  <si>
    <t>p&lt;.001</t>
  </si>
  <si>
    <t>Standard errors of test statistics not adjusted for overlap between columns</t>
  </si>
  <si>
    <t>NPS - Belfius (%)</t>
  </si>
  <si>
    <t>Rank -  Belfius</t>
  </si>
  <si>
    <t>Promoter -  Belfius (%)</t>
  </si>
  <si>
    <t>Passive -  Belfius (%)</t>
  </si>
  <si>
    <t>Detractor -  Belfius (%)</t>
  </si>
  <si>
    <t>NPS - BNP Paribas Fortis (%)</t>
  </si>
  <si>
    <t>Rank -  BNP Paribas Fortis</t>
  </si>
  <si>
    <t>Promoter -  BNP Paribas Fortis (%)</t>
  </si>
  <si>
    <t>Passive -  BNP Paribas Fortis (%)</t>
  </si>
  <si>
    <t>Detractor -  BNP Paribas Fortis (%)</t>
  </si>
  <si>
    <t>NPS - KBC/CBC (%)</t>
  </si>
  <si>
    <t>Rank -  KBC/CBC</t>
  </si>
  <si>
    <t>Promoter -  KBC/CBC (%)</t>
  </si>
  <si>
    <t>Passive -  KBC/CBC (%)</t>
  </si>
  <si>
    <t>Detractor -  KBC/CBC (%)</t>
  </si>
  <si>
    <t xml:space="preserve">Keytrade Bank </t>
  </si>
  <si>
    <t>P97511: ING BAM Belgium</t>
  </si>
  <si>
    <t>NPS - Commerzbank (%)</t>
  </si>
  <si>
    <t>Rank -  Commerzbank</t>
  </si>
  <si>
    <t>Promoter -  Commerzbank (%)</t>
  </si>
  <si>
    <t>Passive -  Commerzbank (%)</t>
  </si>
  <si>
    <t>Detractor -  Commerzbank (%)</t>
  </si>
  <si>
    <t>NPS - DKB (%)</t>
  </si>
  <si>
    <t>Rank -  DKB</t>
  </si>
  <si>
    <t>Promoter -  DKB (%)</t>
  </si>
  <si>
    <t>Passive -  DKB (%)</t>
  </si>
  <si>
    <t>Detractor -  DKB (%)</t>
  </si>
  <si>
    <t>NPS - Postbank (%)</t>
  </si>
  <si>
    <t>Rank -  Postbank</t>
  </si>
  <si>
    <t>Promoter -  Postbank (%)</t>
  </si>
  <si>
    <t>Passive -  Postbank (%)</t>
  </si>
  <si>
    <t>Detractor -  Postbank (%)</t>
  </si>
  <si>
    <t>NPS - Sparkasse (%)</t>
  </si>
  <si>
    <t>Rank -  Sparkasse</t>
  </si>
  <si>
    <t>Promoter -  Sparkasse (%)</t>
  </si>
  <si>
    <t>Passive -  Sparkasse (%)</t>
  </si>
  <si>
    <t>Detractor -  Sparkasse (%)</t>
  </si>
  <si>
    <t xml:space="preserve">VR-Banken </t>
  </si>
  <si>
    <t>NPS - VR-Banken (%)</t>
  </si>
  <si>
    <t>Rank -  VR-Banken</t>
  </si>
  <si>
    <t>Promoter -  VR-Banken (%)</t>
  </si>
  <si>
    <t>Passive -  VR-Banken (%)</t>
  </si>
  <si>
    <t>Detractor -  VR-Banken (%)</t>
  </si>
  <si>
    <t>Main bank Commerzbank - NPS</t>
  </si>
  <si>
    <t>Promoter - Commerzbank (%)</t>
  </si>
  <si>
    <t>Passive - Commerzbank (%)</t>
  </si>
  <si>
    <t>Detractor - Commerzbank (%)</t>
  </si>
  <si>
    <t>Main bank DKB - NPS</t>
  </si>
  <si>
    <t>Promoter - DKB (%)</t>
  </si>
  <si>
    <t>Passive - DKB (%)</t>
  </si>
  <si>
    <t>Detractor - DKB (%)</t>
  </si>
  <si>
    <t>Main bank Postbank - NPS</t>
  </si>
  <si>
    <t>Promoter - Postbank (%)</t>
  </si>
  <si>
    <t>Passive - Postbank (%)</t>
  </si>
  <si>
    <t>Detractor - Postbank (%)</t>
  </si>
  <si>
    <t>Main bank Sparkasse - NPS</t>
  </si>
  <si>
    <t>Promoter - Sparkasse (%)</t>
  </si>
  <si>
    <t>Passive - Sparkasse (%)</t>
  </si>
  <si>
    <t>Detractor - Sparkasse (%)</t>
  </si>
  <si>
    <t>Main bank VR-Banken - NPS</t>
  </si>
  <si>
    <t>Promoter -VR-Banken (%)</t>
  </si>
  <si>
    <t>Passive - VR-Banken (%)</t>
  </si>
  <si>
    <t>Detractor - VR-Banken (%)</t>
  </si>
  <si>
    <t>Main bank - Client share (%)</t>
  </si>
  <si>
    <t>Main bank - Commerzbank (%)</t>
  </si>
  <si>
    <t>Main bank - DKB (%)</t>
  </si>
  <si>
    <t>Main bank - Postbank (%)</t>
  </si>
  <si>
    <t>Main bank - Sparkasse (%)</t>
  </si>
  <si>
    <t>Main bank - VR- Banken (%)</t>
  </si>
  <si>
    <t>Main bank - Commerzbank</t>
  </si>
  <si>
    <t>Main bank - DKB</t>
  </si>
  <si>
    <t>Main bank - Postbank</t>
  </si>
  <si>
    <t>Main bank - Sparkasse</t>
  </si>
  <si>
    <t xml:space="preserve">Main bank - VR-Banken </t>
  </si>
  <si>
    <t>Non main bank Commerzbank- NPS</t>
  </si>
  <si>
    <t>Non main bank DKB - NPS</t>
  </si>
  <si>
    <t>Non main bank Postbank - NPS</t>
  </si>
  <si>
    <t>Non main bank Sparkasse - NPS</t>
  </si>
  <si>
    <t>Non main bank VR-Banken - NPS</t>
  </si>
  <si>
    <t>Non main bank - Commerzbank</t>
  </si>
  <si>
    <t>Non main bank - DKB</t>
  </si>
  <si>
    <t>Non main bank - Postbank</t>
  </si>
  <si>
    <t>Non main bank - Sparkasse</t>
  </si>
  <si>
    <t xml:space="preserve">Non main bank - VR-Banken </t>
  </si>
  <si>
    <r>
      <t xml:space="preserve">Q4 - 2023
</t>
    </r>
    <r>
      <rPr>
        <b/>
        <i/>
        <sz val="8"/>
        <color theme="0"/>
        <rFont val="ING Me"/>
        <family val="3"/>
      </rPr>
      <t>(3 months rolling)</t>
    </r>
  </si>
  <si>
    <t xml:space="preserve">Non main bank - DKB </t>
  </si>
  <si>
    <t xml:space="preserve">Main bank - Postbank </t>
  </si>
  <si>
    <t xml:space="preserve">Deutsche Bank </t>
  </si>
  <si>
    <t xml:space="preserve">Targobank </t>
  </si>
  <si>
    <t>P97511:ING BAM  Germany</t>
  </si>
  <si>
    <t>NPS - Raiffeisen(%)</t>
  </si>
  <si>
    <t>Promoter -  Raiffeisen(%)</t>
  </si>
  <si>
    <t>Passive -  Raiffeisen(%)</t>
  </si>
  <si>
    <t>Detractor -  Raiffeisen(%)</t>
  </si>
  <si>
    <t>Banco Mediolanum</t>
  </si>
  <si>
    <t>NPS - Banco Mediolanum (%)</t>
  </si>
  <si>
    <t>Rank -  Banco Mediolanum</t>
  </si>
  <si>
    <t>Promoter -  Banco Mediolanum (%)</t>
  </si>
  <si>
    <t>Passive -  Banco Mediolanum (%)</t>
  </si>
  <si>
    <t>Detractor -  Banco Mediolanum (%)</t>
  </si>
  <si>
    <t>NPS - Fineco (%)</t>
  </si>
  <si>
    <t>Rank -  Fineco</t>
  </si>
  <si>
    <t>Promoter -  Fineco (%)</t>
  </si>
  <si>
    <t>Passive -  Fineco (%)</t>
  </si>
  <si>
    <t>Detractor -  Fineco (%)</t>
  </si>
  <si>
    <t>NPS - Intesa Sanpaolo (%)</t>
  </si>
  <si>
    <t>Rank -  Intesa Sanpaolo</t>
  </si>
  <si>
    <t>Promoter -  Intesa Sanpaolo (%)</t>
  </si>
  <si>
    <t>Passive -  Intesa Sanpaolo (%)</t>
  </si>
  <si>
    <t>Detractor -  Intesa Sanpaolo (%)</t>
  </si>
  <si>
    <t xml:space="preserve">Unicredit </t>
  </si>
  <si>
    <t>NPS - Unicredit (%)</t>
  </si>
  <si>
    <t>Rank -  Unicredit</t>
  </si>
  <si>
    <t>Promoter -  Unicredit (%)</t>
  </si>
  <si>
    <t>Passive -  Unicredit (%)</t>
  </si>
  <si>
    <t>Detractor -  Unicredit (%)</t>
  </si>
  <si>
    <t xml:space="preserve">IWBank </t>
  </si>
  <si>
    <t xml:space="preserve">Webank </t>
  </si>
  <si>
    <t>Promoter</t>
  </si>
  <si>
    <t>NPS - ABN AMRO (%)</t>
  </si>
  <si>
    <t>Rank -  ABN AMRO</t>
  </si>
  <si>
    <t>Promoter -  ABN AMRO (%)</t>
  </si>
  <si>
    <t>Passive -  ABN AMRO (%)</t>
  </si>
  <si>
    <t>Detractor -  ABN AMRO (%)</t>
  </si>
  <si>
    <t>NPS - Rabobank (%)</t>
  </si>
  <si>
    <t>Rank -  Rabobank</t>
  </si>
  <si>
    <t>Promoter -  Rabobank (%)</t>
  </si>
  <si>
    <t>Passive -  Rabobank (%)</t>
  </si>
  <si>
    <t>Detractor -  Rabobank (%)</t>
  </si>
  <si>
    <t>SNS Bank</t>
  </si>
  <si>
    <t>P97511: ING BAM Netherlands</t>
  </si>
  <si>
    <t>NPS - mBank (%)</t>
  </si>
  <si>
    <t>Rank -  mBank</t>
  </si>
  <si>
    <t>Promoter -  mBank (%)</t>
  </si>
  <si>
    <t>Passive -  mBank (%)</t>
  </si>
  <si>
    <t>Detractor -  mBank (%)</t>
  </si>
  <si>
    <t>NPS - Pekao S.A. (%)</t>
  </si>
  <si>
    <t>Rank -  Pekao S.A.</t>
  </si>
  <si>
    <t>Promoter -  Pekao S.A. (%)</t>
  </si>
  <si>
    <t>Passive -  Pekao S.A. (%)</t>
  </si>
  <si>
    <t>Detractor -  Pekao S.A. (%)</t>
  </si>
  <si>
    <t>PKO BP</t>
  </si>
  <si>
    <t>NPS - PKO BP (%)</t>
  </si>
  <si>
    <t>Rank -  PKO BP</t>
  </si>
  <si>
    <t>Promoter -  PKO BP (%)</t>
  </si>
  <si>
    <t>Passive -  PKO BP (%)</t>
  </si>
  <si>
    <t>Detractor -  PKO BP (%)</t>
  </si>
  <si>
    <t xml:space="preserve">Santander </t>
  </si>
  <si>
    <t>NPS - Santander (%)</t>
  </si>
  <si>
    <t>Rank -  Santander</t>
  </si>
  <si>
    <t>Promoter -  Santander (%)</t>
  </si>
  <si>
    <t>Passive -  Santander (%)</t>
  </si>
  <si>
    <t>Detractor -  Santander (%)</t>
  </si>
  <si>
    <t>Bank Millennium</t>
  </si>
  <si>
    <t>Pekoa S.A.</t>
  </si>
  <si>
    <t>Nest Bank</t>
  </si>
  <si>
    <t>P97511: ING BAM  Poland</t>
  </si>
  <si>
    <t>NPS - Banca Transilvania (%)</t>
  </si>
  <si>
    <t>Rank -  Banca Transilvania</t>
  </si>
  <si>
    <t>Promoter -  Banca Transilvania (%)</t>
  </si>
  <si>
    <t>Passive -  Banca Transilvania (%)</t>
  </si>
  <si>
    <t>Detractor -  Banca Transilvania (%)</t>
  </si>
  <si>
    <t>NPS - BCR (%)</t>
  </si>
  <si>
    <t>Rank -  BCR</t>
  </si>
  <si>
    <t>Promoter -  BCR (%)</t>
  </si>
  <si>
    <t>Passive -  BCR (%)</t>
  </si>
  <si>
    <t>Detractor -  BCR (%)</t>
  </si>
  <si>
    <t>NPS - BRD(%)</t>
  </si>
  <si>
    <t>Rank -  BRD</t>
  </si>
  <si>
    <t>Promoter -  BRD(%)</t>
  </si>
  <si>
    <t>Passive -  BRD(%)</t>
  </si>
  <si>
    <t>Detractor -  BRD(%)</t>
  </si>
  <si>
    <t>Rank -  Raiffeisen</t>
  </si>
  <si>
    <t>First Bank</t>
  </si>
  <si>
    <t>P97511: ING BAM Romania</t>
  </si>
  <si>
    <t>NPS - Banco Santander (%)</t>
  </si>
  <si>
    <t>Rank -  Banco Santander</t>
  </si>
  <si>
    <t>Promoter -  Banco Santander (%)</t>
  </si>
  <si>
    <t>Passive -  Banco Santander (%)</t>
  </si>
  <si>
    <t>Detractor -  Banco Santander (%)</t>
  </si>
  <si>
    <t>NPS - BBVA (%)</t>
  </si>
  <si>
    <t>Rank -  BBVA</t>
  </si>
  <si>
    <t>Promoter -  BBVA (%)</t>
  </si>
  <si>
    <t>Passive -  BBVA (%)</t>
  </si>
  <si>
    <t>Detractor -  BBVA (%)</t>
  </si>
  <si>
    <t>NPS - Caixabank(%)</t>
  </si>
  <si>
    <t>Rank -  Caixabank</t>
  </si>
  <si>
    <t>Promoter -  Caixabank(%)</t>
  </si>
  <si>
    <t>Passive -  Caixabank(%)</t>
  </si>
  <si>
    <t>Detractor -  Caixabank(%)</t>
  </si>
  <si>
    <t>NPS - Openbank (%)</t>
  </si>
  <si>
    <t>Rank -  Openbank</t>
  </si>
  <si>
    <t>Promoter -  Openbank (%)</t>
  </si>
  <si>
    <t>Passive -  Openbank (%)</t>
  </si>
  <si>
    <t>Detractor -  Openbank (%)</t>
  </si>
  <si>
    <t>P97511: ING BAM -Spain</t>
  </si>
  <si>
    <t>NPS - Akbank (%)</t>
  </si>
  <si>
    <t>Rank -  Akbank</t>
  </si>
  <si>
    <t>Promoter -  Akbank (%)</t>
  </si>
  <si>
    <t>Passive -  Akbank (%)</t>
  </si>
  <si>
    <t>Detractor -  Akbank (%)</t>
  </si>
  <si>
    <t>NPS - Garanti Bankası (%)</t>
  </si>
  <si>
    <t>Rank -  Garanti Bankası</t>
  </si>
  <si>
    <t>Promoter -  Garanti Bankası (%)</t>
  </si>
  <si>
    <t>Passive -  Garanti Bankası (%)</t>
  </si>
  <si>
    <t>Detractor -  Garanti Bankası (%)</t>
  </si>
  <si>
    <t>NPS - İş Bankası(%)</t>
  </si>
  <si>
    <t>Rank -  İş Bankası</t>
  </si>
  <si>
    <t>Promoter -  İş Bankası(%)</t>
  </si>
  <si>
    <t>Passive -  İş Bankası(%)</t>
  </si>
  <si>
    <t>Detractor -  İş Bankası(%)</t>
  </si>
  <si>
    <t>NPS - Yapı Kredi Bankası(%)</t>
  </si>
  <si>
    <t>Rank -  Yapı Kredi Bankası</t>
  </si>
  <si>
    <t>Promoter -  Yapı Kredi Bankası(%)</t>
  </si>
  <si>
    <t>Passive -  Yapı Kredi Bankası(%)</t>
  </si>
  <si>
    <t>Detractor -  Yapı Kredi Bankası(%)</t>
  </si>
  <si>
    <t>P105170 : ING BAM Italy (Main+Boost)</t>
  </si>
  <si>
    <t>P105170 : ING BAM Turkey (Main+Boost)</t>
  </si>
  <si>
    <t>Isybank</t>
  </si>
  <si>
    <t>Mediobanca Premier (previously CheBanca!)</t>
  </si>
  <si>
    <t>RegioBank</t>
  </si>
  <si>
    <t>Velo bank (previously Getin Bank)</t>
  </si>
  <si>
    <t>NPS - Velo bank (previously Getin Bank) (%)</t>
  </si>
  <si>
    <t>Rank -  Velo bank (previously Getin Bank)</t>
  </si>
  <si>
    <t>Promoter - Velo bank (previously Getin Bank)(%)</t>
  </si>
  <si>
    <t>Passive -  Velo bank (previously Getin Bank) (%)</t>
  </si>
  <si>
    <t>Detractor -  Velo bank (previously Getin Bank) (%)</t>
  </si>
  <si>
    <t>Imagin Bank</t>
  </si>
  <si>
    <t>Kutxa Bank</t>
  </si>
  <si>
    <t>Imaginbank</t>
  </si>
  <si>
    <t>Kutxabank</t>
  </si>
  <si>
    <t>Up bank</t>
  </si>
  <si>
    <t>Trade Republic</t>
  </si>
  <si>
    <t>Mediobanca Premier (previously Chebanca!)</t>
  </si>
  <si>
    <t>NPS - BancoPosta (%)</t>
  </si>
  <si>
    <t>Rank -  BancoPosta</t>
  </si>
  <si>
    <t>Promoter -  BancoPosta (%)</t>
  </si>
  <si>
    <t>Passive -  BancoPosta (%)</t>
  </si>
  <si>
    <t>Detractor -  BancoPosta (%)</t>
  </si>
  <si>
    <t>Salt bank</t>
  </si>
  <si>
    <t>Apr 2025 - Sep 2025</t>
  </si>
  <si>
    <t>C24</t>
  </si>
  <si>
    <t>NPS - ASN Bank(%)</t>
  </si>
  <si>
    <t>Rank -  ASN Bank</t>
  </si>
  <si>
    <t>Promoter -  ASN Bank(%)</t>
  </si>
  <si>
    <t>Passive -  ASN Bank(%)</t>
  </si>
  <si>
    <t>Detractor -  ASN Bank(%)</t>
  </si>
  <si>
    <t>ASN bank</t>
  </si>
  <si>
    <t>May 2025 - Oct 2025</t>
  </si>
  <si>
    <t>June 2025 - Nov 2025</t>
  </si>
  <si>
    <t>July 2025 - Dec 2025</t>
  </si>
  <si>
    <t>Q4 - 2025</t>
  </si>
  <si>
    <t>Q4  - 2025</t>
  </si>
  <si>
    <t>Investment NPS</t>
  </si>
  <si>
    <t>Based on your knowledge and experience with the investment services offered by the brand(s) below, how likely is it that you would recommend their investment services to a friend, family member or colleague?</t>
  </si>
  <si>
    <t>Investment NPS: ING</t>
  </si>
  <si>
    <t>Investment NPS: ANZ</t>
  </si>
  <si>
    <t>Investment NPS: Commonwealth Bank</t>
  </si>
  <si>
    <t>Investment NPS: NAB</t>
  </si>
  <si>
    <t>Investment NPS: Westpac</t>
  </si>
  <si>
    <t>Investment NPS: Invisible 1</t>
  </si>
  <si>
    <t>Investment NPS: BoQ</t>
  </si>
  <si>
    <t>Investment NPS: BankWest</t>
  </si>
  <si>
    <t>Investment NPS: Bendigo Bank</t>
  </si>
  <si>
    <t>Investment NPS: Citibank</t>
  </si>
  <si>
    <t>Investment NPS: HSBC</t>
  </si>
  <si>
    <t>Investment NPS: Macquarie Bank</t>
  </si>
  <si>
    <t>Investment NPS: MEBank</t>
  </si>
  <si>
    <t>Investment NPS: Invisible 2</t>
  </si>
  <si>
    <t>Investment NPS: St George</t>
  </si>
  <si>
    <t>Investment NPS: Invisible 3</t>
  </si>
  <si>
    <t>Investment NPS: Suncorp</t>
  </si>
  <si>
    <t>Investment NPS: UBank</t>
  </si>
  <si>
    <t>Investment NPS: Bank of Australia</t>
  </si>
  <si>
    <t>Investment NPS: Revolut</t>
  </si>
  <si>
    <t>Investment NPS: Up bank</t>
  </si>
  <si>
    <t>Investment NPS: Belfius</t>
  </si>
  <si>
    <t>Investment NPS: BNP Paribas Fortis</t>
  </si>
  <si>
    <t>Investment NPS: KBC (NL)/CBC (FR)</t>
  </si>
  <si>
    <t>Investment NPS: Argenta</t>
  </si>
  <si>
    <t xml:space="preserve">Investment NPS: AXA </t>
  </si>
  <si>
    <t>Investment NPS: Beobank</t>
  </si>
  <si>
    <t>Investment NPS: Bpost banque(FR)/(NL)</t>
  </si>
  <si>
    <t>Investment NPS: Crelan</t>
  </si>
  <si>
    <t>Investment NPS: Invisible 4</t>
  </si>
  <si>
    <t>Investment NPS: Deutsche Bank</t>
  </si>
  <si>
    <t>Investment NPS: Invisible 5</t>
  </si>
  <si>
    <t>Investment NPS: Invisible 6</t>
  </si>
  <si>
    <t>Investment NPS: Fintro</t>
  </si>
  <si>
    <t>Investment NPS: Keytrade Bank</t>
  </si>
  <si>
    <t>Investment NPS: Hello bank</t>
  </si>
  <si>
    <t>Investment NPS: Bolero</t>
  </si>
  <si>
    <t>Investment NPS: eToro</t>
  </si>
  <si>
    <t>Investment NPS: Bper</t>
  </si>
  <si>
    <t>Investment NPS: Banco BPM</t>
  </si>
  <si>
    <t>Investment NPS: Credem</t>
  </si>
  <si>
    <t>Investment NPS: Peaks</t>
  </si>
  <si>
    <t>Investment NPS: Bux</t>
  </si>
  <si>
    <t>Investment NPS: Brand new day</t>
  </si>
  <si>
    <t>Investment NPS: Tradeville</t>
  </si>
  <si>
    <t>Investment NPS: Interactive Brokers</t>
  </si>
  <si>
    <t>Investment NPS: Saxobank</t>
  </si>
  <si>
    <t>Investment NPS: BitPanda</t>
  </si>
  <si>
    <t>Investment NPS: Indexa Capital</t>
  </si>
  <si>
    <t>Investment NPS: MyInvestor</t>
  </si>
  <si>
    <t>Investment NPS: DEGIRO</t>
  </si>
  <si>
    <t>Investment NPS: Trade republic</t>
  </si>
  <si>
    <t xml:space="preserve">Investment NPS:  ING  </t>
  </si>
  <si>
    <t xml:space="preserve">Investment NPS:  Sparkasse </t>
  </si>
  <si>
    <t xml:space="preserve">Investment NPS:  VR-Banken </t>
  </si>
  <si>
    <t xml:space="preserve">Investment NPS:  Postbank </t>
  </si>
  <si>
    <t xml:space="preserve">Investment NPS:  Commerzbank </t>
  </si>
  <si>
    <t xml:space="preserve">Investment NPS:  Comdirect </t>
  </si>
  <si>
    <t xml:space="preserve">Investment NPS:  Consors Bank </t>
  </si>
  <si>
    <t xml:space="preserve">Investment NPS:  DKB </t>
  </si>
  <si>
    <t xml:space="preserve">Investment NPS:  Deutsche Bank </t>
  </si>
  <si>
    <t xml:space="preserve">Investment NPS:  Sparda </t>
  </si>
  <si>
    <t xml:space="preserve">Investment NPS:  Targobank </t>
  </si>
  <si>
    <t>Investment NPS: Scalable Capital</t>
  </si>
  <si>
    <t xml:space="preserve">Investment NPS:  N26  </t>
  </si>
  <si>
    <t>Investment NPS: Trade Republic</t>
  </si>
  <si>
    <t>Investment NPS: C24</t>
  </si>
  <si>
    <t xml:space="preserve">Investment NPS: ING </t>
  </si>
  <si>
    <t>Investment NPS: BancoPosta</t>
  </si>
  <si>
    <t>Investment NPS: BNL</t>
  </si>
  <si>
    <t>Investment NPS: Intesa Sanpaolo</t>
  </si>
  <si>
    <t>Investment NPS: Monte dei Paschi di Siena</t>
  </si>
  <si>
    <t>Investment NPS: Unicredit</t>
  </si>
  <si>
    <t>Investment NPS: CheBanca!</t>
  </si>
  <si>
    <t>Investment NPS: Banca Mediolanum</t>
  </si>
  <si>
    <t>Investment NPS: Fineco</t>
  </si>
  <si>
    <t>Investment NPS: IWBank</t>
  </si>
  <si>
    <t>Investment NPS: Webank</t>
  </si>
  <si>
    <t>Investment NPS: Widiba</t>
  </si>
  <si>
    <t>Investment NPS: N26</t>
  </si>
  <si>
    <t>Investment NPS: BBVA</t>
  </si>
  <si>
    <t>Investment NPS: Isybank</t>
  </si>
  <si>
    <t>Investment NPS: credit agricole</t>
  </si>
  <si>
    <t>Source: Global NPS tracking / Toluna</t>
  </si>
  <si>
    <t>Investment NPS: Rabobank</t>
  </si>
  <si>
    <t>Investment NPS: ABN AMRO</t>
  </si>
  <si>
    <t>Investment NPS: SNS Bank</t>
  </si>
  <si>
    <t>Investment NPS: ASN Bank</t>
  </si>
  <si>
    <t>Investment NPS: Triodos Bank</t>
  </si>
  <si>
    <t>Investment NPS: KNAB</t>
  </si>
  <si>
    <t>Investment NPS: RegioBank</t>
  </si>
  <si>
    <t>Investment NPS: Van,Lanschot</t>
  </si>
  <si>
    <t>Investment NPS: BinckBank</t>
  </si>
  <si>
    <t>Investment NPS: Bunq</t>
  </si>
  <si>
    <t>Investment NPS: Invisible 7</t>
  </si>
  <si>
    <t>Investment NPS: Invisible 8</t>
  </si>
  <si>
    <t>Investment NPS: Santander</t>
  </si>
  <si>
    <t>Investment NPS: mBank</t>
  </si>
  <si>
    <t>Investment NPS: Pekao S.A.</t>
  </si>
  <si>
    <t>Investment NPS: PKO BP (Powszechna Kasa Oszczednosci BP)</t>
  </si>
  <si>
    <t>Investment NPS: Velo bank (previously Getin bank)</t>
  </si>
  <si>
    <t>Investment NPS: Alior Bank</t>
  </si>
  <si>
    <t>Investment NPS: BNP Paribas</t>
  </si>
  <si>
    <t>Investment NPS: Bank Millennium</t>
  </si>
  <si>
    <t>Investment NPS: Banki Sp ldzielcze z grupy BPS</t>
  </si>
  <si>
    <t>Investment NPS: Aion Bank</t>
  </si>
  <si>
    <t>Investment NPS: Credit Agricole</t>
  </si>
  <si>
    <t>Investment NPS: Nest Bank</t>
  </si>
  <si>
    <t>Investment NPS: BCR</t>
  </si>
  <si>
    <t>Investment NPS: BRD</t>
  </si>
  <si>
    <t>Investment NPS: Raiffeisen Bank</t>
  </si>
  <si>
    <t>Investment NPS: Banca Transilvania</t>
  </si>
  <si>
    <t>Investment NPS: Alpha Bank</t>
  </si>
  <si>
    <t>Investment NPS: CEC</t>
  </si>
  <si>
    <t>Investment NPS: UniCredit Bank</t>
  </si>
  <si>
    <t>Investment NPS: OTP Bank</t>
  </si>
  <si>
    <t>Investment NPS: Garanti Bank</t>
  </si>
  <si>
    <t>Investment NPS: First Bank</t>
  </si>
  <si>
    <t>Investment NPS: Salt Bank</t>
  </si>
  <si>
    <t>Investment NPS: Banco Santander</t>
  </si>
  <si>
    <t>Investment NPS: Banco Sabadell</t>
  </si>
  <si>
    <t>Investment NPS: Caixabank</t>
  </si>
  <si>
    <t>Investment NPS: Bankinter</t>
  </si>
  <si>
    <t>Investment NPS: EVO Banco</t>
  </si>
  <si>
    <t>Investment NPS: Openbank</t>
  </si>
  <si>
    <t>Investment NPS: Bnext</t>
  </si>
  <si>
    <t>Investment NPS: Imagin Bank</t>
  </si>
  <si>
    <t>Investment NPS: Kutxa Bank</t>
  </si>
  <si>
    <t>Investment NPS: Akbank</t>
  </si>
  <si>
    <t>Investment NPS: Garanti Bankasi</t>
  </si>
  <si>
    <t>Investment NPS: Is Bankasi</t>
  </si>
  <si>
    <t>Investment NPS: Yapi Kredi Bankasi</t>
  </si>
  <si>
    <t>Investment NPS: Ziraat Bankasi</t>
  </si>
  <si>
    <t>Investment NPS: Halkbank</t>
  </si>
  <si>
    <t>Investment NPS: Sekerbank</t>
  </si>
  <si>
    <t>Investment NPS: Vakifbank</t>
  </si>
  <si>
    <t>Investment NPS: Denizbank</t>
  </si>
  <si>
    <t>Investment NPS: QNB Finansbank</t>
  </si>
  <si>
    <t>Investment NPS: Burganbank</t>
  </si>
  <si>
    <t>Investment NPS: Odeabank</t>
  </si>
  <si>
    <t>Investment NPS: Fibabanka</t>
  </si>
  <si>
    <t>Investment NPS: Enpara.com</t>
  </si>
  <si>
    <t>Bolero</t>
  </si>
  <si>
    <t>eToro</t>
  </si>
  <si>
    <t>DEGIRO</t>
  </si>
  <si>
    <t>Trade republic</t>
  </si>
  <si>
    <t>Scalable Capital</t>
  </si>
  <si>
    <t>Credit agricole</t>
  </si>
  <si>
    <t>Bper</t>
  </si>
  <si>
    <t>Banco BPM</t>
  </si>
  <si>
    <t>Credem</t>
  </si>
  <si>
    <t>Peaks</t>
  </si>
  <si>
    <t>Bux</t>
  </si>
  <si>
    <t>Brand new day</t>
  </si>
  <si>
    <t>Tradeville</t>
  </si>
  <si>
    <t>Interactive Brokers</t>
  </si>
  <si>
    <t>Saxobank</t>
  </si>
  <si>
    <t>BitPanda</t>
  </si>
  <si>
    <t>MyInvestor</t>
  </si>
  <si>
    <t>Indexa Capital</t>
  </si>
  <si>
    <t xml:space="preserve">Tradeville </t>
  </si>
  <si>
    <t>August 2025 - Jan 2026</t>
  </si>
  <si>
    <r>
      <t xml:space="preserve">January - 2026
</t>
    </r>
    <r>
      <rPr>
        <b/>
        <i/>
        <sz val="8"/>
        <rFont val="ING Me"/>
        <family val="3"/>
      </rPr>
      <t>(6 months rolling)</t>
    </r>
  </si>
  <si>
    <t>Aug 2025 - Jan 2026</t>
  </si>
  <si>
    <t>Investment NPS: Citi Handlowy</t>
  </si>
  <si>
    <t>January - 2026</t>
  </si>
  <si>
    <r>
      <t xml:space="preserve">January -
 2026
</t>
    </r>
    <r>
      <rPr>
        <b/>
        <i/>
        <sz val="8"/>
        <rFont val="ING Me"/>
        <family val="3"/>
      </rPr>
      <t>(6 months rolling)</t>
    </r>
  </si>
  <si>
    <t>Citi Handlowy</t>
  </si>
  <si>
    <t>Sep 2025 - Feb 2026</t>
  </si>
  <si>
    <r>
      <t xml:space="preserve">February - 2026
</t>
    </r>
    <r>
      <rPr>
        <b/>
        <i/>
        <sz val="8"/>
        <rFont val="ING Me"/>
        <family val="3"/>
      </rPr>
      <t>(6 months rolling)</t>
    </r>
  </si>
  <si>
    <r>
      <t xml:space="preserve">February -
 2026
</t>
    </r>
    <r>
      <rPr>
        <b/>
        <i/>
        <sz val="8"/>
        <rFont val="ING Me"/>
        <family val="3"/>
      </rPr>
      <t>(6 months rolling)</t>
    </r>
  </si>
  <si>
    <t>February - 2026</t>
  </si>
  <si>
    <t>Investment NPS: Türk Ekonomi Bankasi</t>
  </si>
  <si>
    <t>Currently running a test to check representativity</t>
  </si>
  <si>
    <t>Oct 2025 - Mar 2026</t>
  </si>
  <si>
    <r>
      <t xml:space="preserve">March - 
2026
</t>
    </r>
    <r>
      <rPr>
        <b/>
        <i/>
        <sz val="8"/>
        <rFont val="ING Me"/>
        <family val="3"/>
      </rPr>
      <t>(6 months rolling)</t>
    </r>
  </si>
  <si>
    <t>UniCredit (previously Aion Bank)</t>
  </si>
  <si>
    <t>March - 2026</t>
  </si>
  <si>
    <t>EVI Van Lanschot</t>
  </si>
  <si>
    <t>EVI van Lanschot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</si>
</sst>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
    <numFmt numFmtId="165" formatCode="_-* #,##0.00_-;\-* #,##0.00_-;_-* &quot;-&quot;??_-;_-@_-"/>
    <numFmt numFmtId="166" formatCode="0.0%"/>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20"/>
      <color rgb="FF808080"/>
      <name val="Calibri"/>
      <family val="2"/>
      <scheme val="minor"/>
    </font>
    <font>
      <i/>
      <sz val="11"/>
      <color theme="1"/>
      <name val="Calibri"/>
      <family val="2"/>
      <scheme val="minor"/>
    </font>
    <font>
      <sz val="8"/>
      <name val="Calibri"/>
      <family val="2"/>
      <scheme val="minor"/>
    </font>
    <font>
      <b/>
      <sz val="11"/>
      <color rgb="FF333333"/>
      <name val="ING Me"/>
      <family val="3"/>
    </font>
    <font>
      <b/>
      <sz val="11"/>
      <color theme="0"/>
      <name val="ING Me"/>
      <family val="3"/>
    </font>
    <font>
      <sz val="11"/>
      <color rgb="FF333333"/>
      <name val="ING Me"/>
      <family val="3"/>
    </font>
    <font>
      <sz val="11"/>
      <color rgb="FF767676"/>
      <name val="ING Me"/>
      <family val="3"/>
    </font>
    <font>
      <sz val="11"/>
      <color theme="1"/>
      <name val="ING Me"/>
      <family val="3"/>
    </font>
    <font>
      <b/>
      <sz val="11"/>
      <name val="ING Me"/>
      <family val="3"/>
    </font>
    <font>
      <u/>
      <sz val="11"/>
      <color theme="10"/>
      <name val="Calibri"/>
      <family val="2"/>
    </font>
    <font>
      <sz val="11"/>
      <color theme="0"/>
      <name val="Calibri"/>
      <family val="2"/>
      <scheme val="minor"/>
    </font>
    <font>
      <b/>
      <u/>
      <sz val="11"/>
      <color rgb="FF333333"/>
      <name val="ING Me"/>
      <family val="3"/>
    </font>
    <font>
      <b/>
      <i/>
      <sz val="8"/>
      <name val="ING Me"/>
      <family val="3"/>
    </font>
    <font>
      <b/>
      <sz val="11"/>
      <color theme="1"/>
      <name val="ING Me"/>
      <family val="3"/>
    </font>
    <font>
      <b/>
      <sz val="10"/>
      <color theme="1"/>
      <name val="ING Me"/>
      <family val="3"/>
    </font>
    <font>
      <sz val="10"/>
      <color theme="1"/>
      <name val="ING Me"/>
      <family val="3"/>
    </font>
    <font>
      <sz val="11"/>
      <color theme="0"/>
      <name val="ING Me"/>
      <family val="3"/>
    </font>
    <font>
      <b/>
      <sz val="11"/>
      <color theme="1" tint="0.34998626667073579"/>
      <name val="ING Me"/>
      <family val="3"/>
    </font>
    <font>
      <sz val="12"/>
      <color theme="0"/>
      <name val="ING Me"/>
      <family val="3"/>
    </font>
    <font>
      <sz val="12"/>
      <color rgb="FFFF6200"/>
      <name val="ING Me"/>
      <family val="3"/>
    </font>
    <font>
      <sz val="12"/>
      <color rgb="FF000000"/>
      <name val="ING Me"/>
      <family val="3"/>
    </font>
    <font>
      <b/>
      <i/>
      <sz val="8"/>
      <color theme="0"/>
      <name val="ING Me"/>
      <family val="3"/>
    </font>
    <font>
      <sz val="11"/>
      <color theme="2"/>
      <name val="ING Me"/>
      <family val="3"/>
    </font>
    <font>
      <sz val="11"/>
      <color rgb="FF333333"/>
      <name val="ING Me"/>
    </font>
    <font>
      <sz val="11"/>
      <color rgb="FF767676"/>
      <name val="ING Me"/>
    </font>
    <font>
      <b/>
      <sz val="11"/>
      <color theme="1"/>
      <name val="ING Me"/>
    </font>
  </fonts>
  <fills count="21">
    <fill>
      <patternFill patternType="none"/>
    </fill>
    <fill>
      <patternFill patternType="gray125"/>
    </fill>
    <fill>
      <patternFill patternType="solid">
        <fgColor rgb="FFC0D9D7"/>
        <bgColor indexed="64"/>
      </patternFill>
    </fill>
    <fill>
      <patternFill patternType="solid">
        <fgColor rgb="FF418C86"/>
        <bgColor indexed="64"/>
      </patternFill>
    </fill>
    <fill>
      <patternFill patternType="solid">
        <fgColor rgb="FF80B3AF"/>
        <bgColor indexed="64"/>
      </patternFill>
    </fill>
    <fill>
      <patternFill patternType="solid">
        <fgColor rgb="FFF5CFD3"/>
        <bgColor indexed="64"/>
      </patternFill>
    </fill>
    <fill>
      <patternFill patternType="solid">
        <fgColor rgb="FFEA9FA7"/>
        <bgColor indexed="64"/>
      </patternFill>
    </fill>
    <fill>
      <patternFill patternType="solid">
        <fgColor rgb="FFE06E7B"/>
        <bgColor indexed="64"/>
      </patternFill>
    </fill>
    <fill>
      <patternFill patternType="solid">
        <fgColor rgb="FFD53E4F"/>
        <bgColor indexed="64"/>
      </patternFill>
    </fill>
    <fill>
      <patternFill patternType="solid">
        <fgColor rgb="FF01665E"/>
        <bgColor indexed="64"/>
      </patternFill>
    </fill>
    <fill>
      <patternFill patternType="solid">
        <fgColor theme="0"/>
        <bgColor indexed="64"/>
      </patternFill>
    </fill>
    <fill>
      <patternFill patternType="solid">
        <fgColor theme="0" tint="-4.9989318521683403E-2"/>
        <bgColor indexed="64"/>
      </patternFill>
    </fill>
    <fill>
      <patternFill patternType="solid">
        <fgColor rgb="FF60A6DA"/>
        <bgColor indexed="64"/>
      </patternFill>
    </fill>
    <fill>
      <patternFill patternType="solid">
        <fgColor rgb="FFFF6200"/>
        <bgColor indexed="64"/>
      </patternFill>
    </fill>
    <fill>
      <patternFill patternType="solid">
        <fgColor theme="2"/>
        <bgColor indexed="64"/>
      </patternFill>
    </fill>
    <fill>
      <patternFill patternType="solid">
        <fgColor rgb="FF00206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8"/>
        <bgColor indexed="64"/>
      </patternFill>
    </fill>
    <fill>
      <patternFill patternType="solid">
        <fgColor theme="4"/>
        <bgColor indexed="64"/>
      </patternFill>
    </fill>
    <fill>
      <patternFill patternType="solid">
        <fgColor theme="6"/>
        <bgColor indexed="64"/>
      </patternFill>
    </fill>
  </fills>
  <borders count="4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top/>
      <bottom style="thin">
        <color auto="1"/>
      </bottom>
      <diagonal/>
    </border>
    <border>
      <left/>
      <right style="medium">
        <color indexed="64"/>
      </right>
      <top/>
      <bottom style="thin">
        <color indexed="64"/>
      </bottom>
      <diagonal/>
    </border>
    <border>
      <left style="thin">
        <color indexed="64"/>
      </left>
      <right/>
      <top/>
      <bottom style="thin">
        <color indexed="64"/>
      </bottom>
      <diagonal/>
    </border>
    <border>
      <left style="medium">
        <color indexed="64"/>
      </left>
      <right/>
      <top/>
      <bottom style="thin">
        <color auto="1"/>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s>
  <cellStyleXfs count="5">
    <xf numFmtId="0" fontId="0" fillId="0" borderId="0"/>
    <xf numFmtId="9" fontId="1" fillId="0" borderId="0" applyFont="0" applyFill="0" applyBorder="0" applyAlignment="0" applyProtection="0"/>
    <xf numFmtId="0" fontId="12" fillId="0" borderId="0" applyNumberFormat="0" applyFill="0" applyBorder="0" applyAlignment="0" applyProtection="0">
      <alignment vertical="top"/>
      <protection locked="0"/>
    </xf>
    <xf numFmtId="43" fontId="1" fillId="0" borderId="0" applyFont="0" applyFill="0" applyBorder="0" applyAlignment="0" applyProtection="0"/>
    <xf numFmtId="165" fontId="1" fillId="0" borderId="0" applyFont="0" applyFill="0" applyBorder="0" applyAlignment="0" applyProtection="0"/>
  </cellStyleXfs>
  <cellXfs count="193">
    <xf numFmtId="0" fontId="0" fillId="0" borderId="0" xfId="0"/>
    <xf numFmtId="1" fontId="0" fillId="0" borderId="0" xfId="0" applyNumberFormat="1"/>
    <xf numFmtId="0" fontId="0" fillId="10" borderId="0" xfId="0" applyFill="1"/>
    <xf numFmtId="1" fontId="0" fillId="8" borderId="0" xfId="0" applyNumberFormat="1" applyFill="1"/>
    <xf numFmtId="0" fontId="6" fillId="12" borderId="3" xfId="0" applyFont="1" applyFill="1" applyBorder="1" applyAlignment="1">
      <alignment horizontal="left"/>
    </xf>
    <xf numFmtId="9" fontId="7" fillId="13" borderId="3" xfId="1" applyFont="1" applyFill="1" applyBorder="1" applyAlignment="1">
      <alignment horizontal="left"/>
    </xf>
    <xf numFmtId="0" fontId="8" fillId="10" borderId="3" xfId="0" applyFont="1" applyFill="1" applyBorder="1"/>
    <xf numFmtId="0" fontId="8" fillId="10" borderId="0" xfId="0" applyFont="1" applyFill="1"/>
    <xf numFmtId="0" fontId="8" fillId="10" borderId="0" xfId="0" applyFont="1" applyFill="1" applyAlignment="1">
      <alignment horizontal="left"/>
    </xf>
    <xf numFmtId="0" fontId="3" fillId="0" borderId="0" xfId="0" applyFont="1"/>
    <xf numFmtId="0" fontId="2" fillId="0" borderId="0" xfId="0" applyFont="1" applyAlignment="1">
      <alignment horizontal="left"/>
    </xf>
    <xf numFmtId="0" fontId="4" fillId="0" borderId="0" xfId="0" applyFont="1" applyAlignment="1">
      <alignment horizontal="left" wrapText="1"/>
    </xf>
    <xf numFmtId="0" fontId="2" fillId="0" borderId="1" xfId="0" applyFont="1" applyBorder="1" applyAlignment="1">
      <alignment horizontal="center"/>
    </xf>
    <xf numFmtId="0" fontId="0" fillId="0" borderId="0" xfId="0" applyAlignment="1">
      <alignment horizontal="center" wrapText="1"/>
    </xf>
    <xf numFmtId="0" fontId="0" fillId="0" borderId="0" xfId="0" applyAlignment="1">
      <alignment horizontal="left" wrapText="1"/>
    </xf>
    <xf numFmtId="1" fontId="0" fillId="0" borderId="0" xfId="0" applyNumberFormat="1" applyAlignment="1">
      <alignment horizontal="right"/>
    </xf>
    <xf numFmtId="0" fontId="2" fillId="0" borderId="0" xfId="0" applyFont="1" applyAlignment="1">
      <alignment horizontal="left" wrapText="1"/>
    </xf>
    <xf numFmtId="9" fontId="2" fillId="0" borderId="0" xfId="0" applyNumberFormat="1" applyFont="1"/>
    <xf numFmtId="9" fontId="0" fillId="0" borderId="0" xfId="0" applyNumberFormat="1"/>
    <xf numFmtId="9" fontId="0" fillId="4" borderId="0" xfId="0" applyNumberFormat="1" applyFill="1"/>
    <xf numFmtId="9" fontId="0" fillId="2" borderId="0" xfId="0" applyNumberFormat="1" applyFill="1"/>
    <xf numFmtId="9" fontId="0" fillId="6" borderId="0" xfId="0" applyNumberFormat="1" applyFill="1"/>
    <xf numFmtId="9" fontId="0" fillId="3" borderId="0" xfId="0" applyNumberFormat="1" applyFill="1"/>
    <xf numFmtId="9" fontId="0" fillId="5" borderId="0" xfId="0" applyNumberFormat="1" applyFill="1"/>
    <xf numFmtId="9" fontId="0" fillId="7" borderId="0" xfId="0" applyNumberFormat="1" applyFill="1"/>
    <xf numFmtId="9" fontId="0" fillId="8" borderId="0" xfId="0" applyNumberFormat="1" applyFill="1"/>
    <xf numFmtId="9" fontId="0" fillId="9" borderId="0" xfId="0" applyNumberFormat="1" applyFill="1"/>
    <xf numFmtId="0" fontId="8" fillId="10" borderId="9" xfId="0" applyFont="1" applyFill="1" applyBorder="1" applyAlignment="1">
      <alignment horizontal="left"/>
    </xf>
    <xf numFmtId="0" fontId="8" fillId="10" borderId="6" xfId="0" applyFont="1" applyFill="1" applyBorder="1"/>
    <xf numFmtId="0" fontId="0" fillId="10" borderId="9" xfId="0" applyFill="1" applyBorder="1"/>
    <xf numFmtId="0" fontId="14" fillId="10" borderId="0" xfId="0" applyFont="1" applyFill="1" applyAlignment="1">
      <alignment horizontal="left"/>
    </xf>
    <xf numFmtId="0" fontId="10" fillId="10" borderId="0" xfId="0" applyFont="1" applyFill="1"/>
    <xf numFmtId="0" fontId="11" fillId="11" borderId="3" xfId="0" applyFont="1" applyFill="1" applyBorder="1" applyAlignment="1">
      <alignment horizontal="center" vertical="center"/>
    </xf>
    <xf numFmtId="0" fontId="10" fillId="10" borderId="14" xfId="0" applyFont="1" applyFill="1" applyBorder="1"/>
    <xf numFmtId="0" fontId="16" fillId="10" borderId="0" xfId="0" applyFont="1" applyFill="1"/>
    <xf numFmtId="0" fontId="17" fillId="10" borderId="0" xfId="0" applyFont="1" applyFill="1"/>
    <xf numFmtId="0" fontId="18" fillId="10" borderId="0" xfId="0" applyFont="1" applyFill="1"/>
    <xf numFmtId="0" fontId="8" fillId="10" borderId="9" xfId="0" applyFont="1" applyFill="1" applyBorder="1"/>
    <xf numFmtId="49" fontId="11" fillId="11" borderId="18" xfId="1" applyNumberFormat="1" applyFont="1" applyFill="1" applyBorder="1" applyAlignment="1">
      <alignment horizontal="center" vertical="center" wrapText="1"/>
    </xf>
    <xf numFmtId="0" fontId="6" fillId="12" borderId="12" xfId="1" applyNumberFormat="1" applyFont="1" applyFill="1" applyBorder="1" applyAlignment="1">
      <alignment horizontal="center" vertical="center"/>
    </xf>
    <xf numFmtId="1" fontId="6" fillId="12" borderId="12" xfId="1" applyNumberFormat="1" applyFont="1" applyFill="1" applyBorder="1" applyAlignment="1">
      <alignment horizontal="center" vertical="center"/>
    </xf>
    <xf numFmtId="0" fontId="6" fillId="10" borderId="6" xfId="0" applyFont="1" applyFill="1" applyBorder="1"/>
    <xf numFmtId="9" fontId="6" fillId="10" borderId="12" xfId="1" applyFont="1" applyFill="1" applyBorder="1" applyAlignment="1">
      <alignment horizontal="center" vertical="center"/>
    </xf>
    <xf numFmtId="9" fontId="8" fillId="10" borderId="12" xfId="1" applyFont="1" applyFill="1" applyBorder="1" applyAlignment="1">
      <alignment horizontal="center" vertical="center"/>
    </xf>
    <xf numFmtId="0" fontId="8" fillId="10" borderId="6" xfId="0" applyFont="1" applyFill="1" applyBorder="1" applyAlignment="1">
      <alignment horizontal="left" vertical="top"/>
    </xf>
    <xf numFmtId="0" fontId="8" fillId="10" borderId="17" xfId="0" applyFont="1" applyFill="1" applyBorder="1" applyAlignment="1">
      <alignment horizontal="left" vertical="top"/>
    </xf>
    <xf numFmtId="0" fontId="8" fillId="10" borderId="5" xfId="0" applyFont="1" applyFill="1" applyBorder="1"/>
    <xf numFmtId="0" fontId="6" fillId="12" borderId="13" xfId="1" applyNumberFormat="1" applyFont="1" applyFill="1" applyBorder="1" applyAlignment="1">
      <alignment horizontal="center" vertical="center"/>
    </xf>
    <xf numFmtId="2" fontId="10" fillId="10" borderId="0" xfId="0" applyNumberFormat="1" applyFont="1" applyFill="1"/>
    <xf numFmtId="2" fontId="8" fillId="10" borderId="6" xfId="0" applyNumberFormat="1" applyFont="1" applyFill="1" applyBorder="1"/>
    <xf numFmtId="0" fontId="8" fillId="10" borderId="16" xfId="0" applyFont="1" applyFill="1" applyBorder="1"/>
    <xf numFmtId="1" fontId="8" fillId="10" borderId="12" xfId="1" applyNumberFormat="1" applyFont="1" applyFill="1" applyBorder="1" applyAlignment="1">
      <alignment horizontal="center" vertical="center"/>
    </xf>
    <xf numFmtId="0" fontId="8" fillId="10" borderId="15" xfId="0" applyFont="1" applyFill="1" applyBorder="1"/>
    <xf numFmtId="0" fontId="0" fillId="10" borderId="14" xfId="0" applyFill="1" applyBorder="1"/>
    <xf numFmtId="49" fontId="11" fillId="11" borderId="19" xfId="1" applyNumberFormat="1" applyFont="1" applyFill="1" applyBorder="1" applyAlignment="1">
      <alignment horizontal="center" vertical="center" wrapText="1"/>
    </xf>
    <xf numFmtId="0" fontId="11" fillId="11" borderId="25" xfId="0" applyFont="1" applyFill="1" applyBorder="1" applyAlignment="1">
      <alignment horizontal="center" vertical="center"/>
    </xf>
    <xf numFmtId="0" fontId="6" fillId="14" borderId="6" xfId="0" applyFont="1" applyFill="1" applyBorder="1" applyAlignment="1">
      <alignment horizontal="left" vertical="top"/>
    </xf>
    <xf numFmtId="0" fontId="6" fillId="14" borderId="15" xfId="0" applyFont="1" applyFill="1" applyBorder="1" applyAlignment="1">
      <alignment horizontal="left" vertical="top"/>
    </xf>
    <xf numFmtId="0" fontId="8" fillId="10" borderId="17" xfId="0" applyFont="1" applyFill="1" applyBorder="1"/>
    <xf numFmtId="1" fontId="9" fillId="10" borderId="2" xfId="1" applyNumberFormat="1" applyFont="1" applyFill="1" applyBorder="1" applyAlignment="1">
      <alignment horizontal="center" vertical="center"/>
    </xf>
    <xf numFmtId="1" fontId="10" fillId="14" borderId="12" xfId="1" applyNumberFormat="1" applyFont="1" applyFill="1" applyBorder="1" applyAlignment="1">
      <alignment horizontal="center" vertical="center"/>
    </xf>
    <xf numFmtId="1" fontId="10" fillId="14" borderId="20" xfId="1" applyNumberFormat="1" applyFont="1" applyFill="1" applyBorder="1" applyAlignment="1">
      <alignment horizontal="center" vertical="center"/>
    </xf>
    <xf numFmtId="1" fontId="10" fillId="10" borderId="0" xfId="0" applyNumberFormat="1" applyFont="1" applyFill="1"/>
    <xf numFmtId="0" fontId="6" fillId="12" borderId="4" xfId="1" applyNumberFormat="1" applyFont="1" applyFill="1" applyBorder="1" applyAlignment="1">
      <alignment horizontal="center" vertical="center"/>
    </xf>
    <xf numFmtId="1" fontId="8" fillId="10" borderId="4" xfId="1" applyNumberFormat="1" applyFont="1" applyFill="1" applyBorder="1" applyAlignment="1">
      <alignment horizontal="center" vertical="center"/>
    </xf>
    <xf numFmtId="1" fontId="8" fillId="10" borderId="2" xfId="1" applyNumberFormat="1" applyFont="1" applyFill="1" applyBorder="1" applyAlignment="1">
      <alignment horizontal="center" vertical="center"/>
    </xf>
    <xf numFmtId="0" fontId="6" fillId="12" borderId="2" xfId="1" applyNumberFormat="1" applyFont="1" applyFill="1" applyBorder="1" applyAlignment="1">
      <alignment horizontal="center" vertical="center"/>
    </xf>
    <xf numFmtId="0" fontId="11" fillId="10" borderId="0" xfId="0" applyFont="1" applyFill="1" applyAlignment="1">
      <alignment horizontal="center" vertical="center"/>
    </xf>
    <xf numFmtId="0" fontId="6" fillId="10" borderId="0" xfId="0" applyFont="1" applyFill="1" applyAlignment="1">
      <alignment horizontal="left"/>
    </xf>
    <xf numFmtId="9" fontId="7" fillId="10" borderId="0" xfId="1" applyFont="1" applyFill="1" applyBorder="1" applyAlignment="1">
      <alignment horizontal="left"/>
    </xf>
    <xf numFmtId="0" fontId="8" fillId="10" borderId="3" xfId="0" applyFont="1" applyFill="1" applyBorder="1" applyAlignment="1">
      <alignment horizontal="left"/>
    </xf>
    <xf numFmtId="164" fontId="8" fillId="10" borderId="3" xfId="0" applyNumberFormat="1" applyFont="1" applyFill="1" applyBorder="1"/>
    <xf numFmtId="1" fontId="8" fillId="10" borderId="20" xfId="1" applyNumberFormat="1" applyFont="1" applyFill="1" applyBorder="1" applyAlignment="1">
      <alignment horizontal="center" vertical="center"/>
    </xf>
    <xf numFmtId="1" fontId="8" fillId="10" borderId="28" xfId="1" applyNumberFormat="1" applyFont="1" applyFill="1" applyBorder="1" applyAlignment="1">
      <alignment horizontal="center" vertical="center"/>
    </xf>
    <xf numFmtId="9" fontId="8" fillId="10" borderId="15" xfId="1" applyFont="1" applyFill="1" applyBorder="1" applyAlignment="1">
      <alignment horizontal="center" vertical="center"/>
    </xf>
    <xf numFmtId="49" fontId="11" fillId="11" borderId="8" xfId="1" applyNumberFormat="1" applyFont="1" applyFill="1" applyBorder="1" applyAlignment="1">
      <alignment horizontal="center" vertical="center" wrapText="1"/>
    </xf>
    <xf numFmtId="1" fontId="8" fillId="10" borderId="0" xfId="1" applyNumberFormat="1" applyFont="1" applyFill="1" applyBorder="1" applyAlignment="1">
      <alignment horizontal="center" vertical="center"/>
    </xf>
    <xf numFmtId="1" fontId="8" fillId="14" borderId="12" xfId="1" applyNumberFormat="1" applyFont="1" applyFill="1" applyBorder="1" applyAlignment="1">
      <alignment horizontal="center" vertical="center"/>
    </xf>
    <xf numFmtId="1" fontId="8" fillId="12" borderId="12" xfId="1" applyNumberFormat="1" applyFont="1" applyFill="1" applyBorder="1" applyAlignment="1">
      <alignment horizontal="center" vertical="center"/>
    </xf>
    <xf numFmtId="0" fontId="11" fillId="11" borderId="7" xfId="0" applyFont="1" applyFill="1" applyBorder="1" applyAlignment="1">
      <alignment horizontal="center" vertical="center"/>
    </xf>
    <xf numFmtId="166" fontId="10" fillId="10" borderId="0" xfId="0" applyNumberFormat="1" applyFont="1" applyFill="1"/>
    <xf numFmtId="166" fontId="6" fillId="12" borderId="13" xfId="1" applyNumberFormat="1" applyFont="1" applyFill="1" applyBorder="1" applyAlignment="1">
      <alignment horizontal="center" vertical="center"/>
    </xf>
    <xf numFmtId="166" fontId="6" fillId="12" borderId="12" xfId="1" applyNumberFormat="1" applyFont="1" applyFill="1" applyBorder="1" applyAlignment="1">
      <alignment horizontal="center" vertical="center"/>
    </xf>
    <xf numFmtId="166" fontId="10" fillId="10" borderId="14" xfId="0" applyNumberFormat="1" applyFont="1" applyFill="1" applyBorder="1"/>
    <xf numFmtId="0" fontId="8" fillId="10" borderId="6" xfId="0" applyFont="1" applyFill="1" applyBorder="1" applyAlignment="1">
      <alignment horizontal="center"/>
    </xf>
    <xf numFmtId="0" fontId="8" fillId="10" borderId="4" xfId="0" applyFont="1" applyFill="1" applyBorder="1" applyAlignment="1">
      <alignment horizontal="center"/>
    </xf>
    <xf numFmtId="9" fontId="7" fillId="18" borderId="6" xfId="1" applyFont="1" applyFill="1" applyBorder="1" applyAlignment="1">
      <alignment horizontal="left" vertical="top"/>
    </xf>
    <xf numFmtId="9" fontId="7" fillId="18" borderId="4" xfId="1" applyFont="1" applyFill="1" applyBorder="1" applyAlignment="1">
      <alignment horizontal="left" vertical="top"/>
    </xf>
    <xf numFmtId="9" fontId="7" fillId="18" borderId="24" xfId="1" applyFont="1" applyFill="1" applyBorder="1" applyAlignment="1">
      <alignment horizontal="left" vertical="top"/>
    </xf>
    <xf numFmtId="9" fontId="7" fillId="13" borderId="1" xfId="1" applyFont="1" applyFill="1" applyBorder="1" applyAlignment="1">
      <alignment horizontal="left" vertical="top"/>
    </xf>
    <xf numFmtId="0" fontId="7" fillId="16" borderId="6" xfId="0" applyFont="1" applyFill="1" applyBorder="1" applyAlignment="1">
      <alignment horizontal="left" vertical="top"/>
    </xf>
    <xf numFmtId="0" fontId="7" fillId="16" borderId="4" xfId="0" applyFont="1" applyFill="1" applyBorder="1" applyAlignment="1">
      <alignment horizontal="left" vertical="top"/>
    </xf>
    <xf numFmtId="0" fontId="7" fillId="16" borderId="24" xfId="0" applyFont="1" applyFill="1" applyBorder="1" applyAlignment="1">
      <alignment horizontal="left" vertical="top"/>
    </xf>
    <xf numFmtId="9" fontId="7" fillId="17" borderId="6" xfId="1" applyFont="1" applyFill="1" applyBorder="1" applyAlignment="1">
      <alignment horizontal="left" vertical="top"/>
    </xf>
    <xf numFmtId="9" fontId="7" fillId="17" borderId="4" xfId="1" applyFont="1" applyFill="1" applyBorder="1" applyAlignment="1">
      <alignment horizontal="left" vertical="top"/>
    </xf>
    <xf numFmtId="9" fontId="7" fillId="17" borderId="24" xfId="1" applyFont="1" applyFill="1" applyBorder="1" applyAlignment="1">
      <alignment horizontal="left" vertical="top"/>
    </xf>
    <xf numFmtId="0" fontId="7" fillId="15" borderId="21" xfId="0" applyFont="1" applyFill="1" applyBorder="1" applyAlignment="1">
      <alignment horizontal="left" vertical="top"/>
    </xf>
    <xf numFmtId="0" fontId="7" fillId="15" borderId="22" xfId="0" applyFont="1" applyFill="1" applyBorder="1" applyAlignment="1">
      <alignment horizontal="left" vertical="top"/>
    </xf>
    <xf numFmtId="0" fontId="7" fillId="15" borderId="23" xfId="0" applyFont="1" applyFill="1" applyBorder="1" applyAlignment="1">
      <alignment horizontal="left" vertical="top"/>
    </xf>
    <xf numFmtId="0" fontId="6" fillId="12" borderId="11" xfId="1" applyNumberFormat="1" applyFont="1" applyFill="1" applyBorder="1" applyAlignment="1">
      <alignment horizontal="left" vertical="top"/>
    </xf>
    <xf numFmtId="0" fontId="6" fillId="12" borderId="13" xfId="1" applyNumberFormat="1" applyFont="1" applyFill="1" applyBorder="1" applyAlignment="1">
      <alignment horizontal="left" vertical="top"/>
    </xf>
    <xf numFmtId="9" fontId="7" fillId="13" borderId="9" xfId="1" applyFont="1" applyFill="1" applyBorder="1" applyAlignment="1">
      <alignment horizontal="left" vertical="top"/>
    </xf>
    <xf numFmtId="0" fontId="0" fillId="10" borderId="29" xfId="0" applyFill="1" applyBorder="1"/>
    <xf numFmtId="0" fontId="10" fillId="10" borderId="29" xfId="0" applyFont="1" applyFill="1" applyBorder="1"/>
    <xf numFmtId="9" fontId="7" fillId="13" borderId="1" xfId="1" applyFont="1" applyFill="1" applyBorder="1" applyAlignment="1">
      <alignment horizontal="center" vertical="top"/>
    </xf>
    <xf numFmtId="0" fontId="10" fillId="10" borderId="4" xfId="0" applyFont="1" applyFill="1" applyBorder="1"/>
    <xf numFmtId="0" fontId="10" fillId="10" borderId="28" xfId="0" applyFont="1" applyFill="1" applyBorder="1"/>
    <xf numFmtId="1" fontId="8" fillId="10" borderId="13" xfId="1" applyNumberFormat="1" applyFont="1" applyFill="1" applyBorder="1" applyAlignment="1">
      <alignment horizontal="center" vertical="center"/>
    </xf>
    <xf numFmtId="9" fontId="20" fillId="14" borderId="5" xfId="1" applyFont="1" applyFill="1" applyBorder="1" applyAlignment="1">
      <alignment vertical="top"/>
    </xf>
    <xf numFmtId="0" fontId="10" fillId="10" borderId="24" xfId="0" applyFont="1" applyFill="1" applyBorder="1"/>
    <xf numFmtId="0" fontId="6" fillId="12" borderId="11" xfId="1" applyNumberFormat="1" applyFont="1" applyFill="1" applyBorder="1" applyAlignment="1">
      <alignment vertical="top"/>
    </xf>
    <xf numFmtId="0" fontId="6" fillId="12" borderId="13" xfId="1" applyNumberFormat="1" applyFont="1" applyFill="1" applyBorder="1" applyAlignment="1">
      <alignment vertical="top"/>
    </xf>
    <xf numFmtId="0" fontId="7" fillId="15" borderId="7" xfId="0" applyFont="1" applyFill="1" applyBorder="1" applyAlignment="1">
      <alignment vertical="top"/>
    </xf>
    <xf numFmtId="9" fontId="7" fillId="13" borderId="9" xfId="1" applyFont="1" applyFill="1" applyBorder="1" applyAlignment="1">
      <alignment vertical="top"/>
    </xf>
    <xf numFmtId="0" fontId="7" fillId="15" borderId="31" xfId="0" applyFont="1" applyFill="1" applyBorder="1" applyAlignment="1">
      <alignment horizontal="left" vertical="top"/>
    </xf>
    <xf numFmtId="0" fontId="21" fillId="19" borderId="0" xfId="0" applyFont="1" applyFill="1" applyAlignment="1">
      <alignment horizontal="left" vertical="center" readingOrder="1"/>
    </xf>
    <xf numFmtId="0" fontId="13" fillId="19" borderId="0" xfId="0" applyFont="1" applyFill="1"/>
    <xf numFmtId="0" fontId="0" fillId="10" borderId="0" xfId="0" applyFill="1" applyAlignment="1">
      <alignment wrapText="1"/>
    </xf>
    <xf numFmtId="0" fontId="22" fillId="10" borderId="0" xfId="0" applyFont="1" applyFill="1" applyAlignment="1">
      <alignment horizontal="left" vertical="center" readingOrder="1"/>
    </xf>
    <xf numFmtId="0" fontId="22" fillId="10" borderId="0" xfId="0" applyFont="1" applyFill="1" applyAlignment="1">
      <alignment horizontal="left" vertical="center" indent="2" readingOrder="1"/>
    </xf>
    <xf numFmtId="0" fontId="23" fillId="10" borderId="0" xfId="0" applyFont="1" applyFill="1" applyAlignment="1">
      <alignment horizontal="left" vertical="center" wrapText="1" readingOrder="1"/>
    </xf>
    <xf numFmtId="0" fontId="23" fillId="10" borderId="0" xfId="0" applyFont="1" applyFill="1" applyAlignment="1">
      <alignment horizontal="left" vertical="center" readingOrder="1"/>
    </xf>
    <xf numFmtId="0" fontId="22" fillId="10" borderId="0" xfId="0" applyFont="1" applyFill="1" applyAlignment="1">
      <alignment horizontal="left" vertical="center" wrapText="1" readingOrder="1"/>
    </xf>
    <xf numFmtId="3" fontId="0" fillId="10" borderId="0" xfId="0" applyNumberFormat="1" applyFill="1" applyAlignment="1">
      <alignment horizontal="center" wrapText="1"/>
    </xf>
    <xf numFmtId="3" fontId="0" fillId="10" borderId="0" xfId="0" applyNumberFormat="1" applyFill="1" applyAlignment="1">
      <alignment horizontal="center"/>
    </xf>
    <xf numFmtId="0" fontId="7" fillId="15" borderId="22" xfId="0" applyFont="1" applyFill="1" applyBorder="1" applyAlignment="1">
      <alignment horizontal="center" vertical="center" wrapText="1"/>
    </xf>
    <xf numFmtId="0" fontId="7" fillId="15" borderId="21" xfId="0" applyFont="1" applyFill="1" applyBorder="1" applyAlignment="1">
      <alignment horizontal="center" vertical="center"/>
    </xf>
    <xf numFmtId="1" fontId="10" fillId="14" borderId="11" xfId="1" applyNumberFormat="1" applyFont="1" applyFill="1" applyBorder="1" applyAlignment="1">
      <alignment horizontal="center" vertical="center"/>
    </xf>
    <xf numFmtId="0" fontId="7" fillId="15" borderId="25" xfId="0" applyFont="1" applyFill="1" applyBorder="1" applyAlignment="1">
      <alignment vertical="top"/>
    </xf>
    <xf numFmtId="0" fontId="6" fillId="14" borderId="17" xfId="0" applyFont="1" applyFill="1" applyBorder="1" applyAlignment="1">
      <alignment horizontal="left" vertical="top"/>
    </xf>
    <xf numFmtId="0" fontId="8" fillId="10" borderId="1" xfId="0" applyFont="1" applyFill="1" applyBorder="1" applyAlignment="1">
      <alignment horizontal="left" vertical="top"/>
    </xf>
    <xf numFmtId="0" fontId="6" fillId="12" borderId="10" xfId="1" applyNumberFormat="1" applyFont="1" applyFill="1" applyBorder="1" applyAlignment="1">
      <alignment vertical="top"/>
    </xf>
    <xf numFmtId="0" fontId="6" fillId="14" borderId="20" xfId="0" applyFont="1" applyFill="1" applyBorder="1" applyAlignment="1">
      <alignment horizontal="left" vertical="top"/>
    </xf>
    <xf numFmtId="0" fontId="8" fillId="10" borderId="14" xfId="0" applyFont="1" applyFill="1" applyBorder="1" applyAlignment="1">
      <alignment horizontal="left"/>
    </xf>
    <xf numFmtId="1" fontId="10" fillId="14" borderId="32" xfId="1" applyNumberFormat="1" applyFont="1" applyFill="1" applyBorder="1" applyAlignment="1">
      <alignment horizontal="center" vertical="center"/>
    </xf>
    <xf numFmtId="0" fontId="7" fillId="15" borderId="15" xfId="0" applyFont="1" applyFill="1" applyBorder="1" applyAlignment="1">
      <alignment vertical="top"/>
    </xf>
    <xf numFmtId="0" fontId="7" fillId="15" borderId="33" xfId="0" applyFont="1" applyFill="1" applyBorder="1" applyAlignment="1">
      <alignment vertical="top"/>
    </xf>
    <xf numFmtId="0" fontId="6" fillId="12" borderId="5" xfId="1" applyNumberFormat="1" applyFont="1" applyFill="1" applyBorder="1" applyAlignment="1">
      <alignment horizontal="center" vertical="center"/>
    </xf>
    <xf numFmtId="0" fontId="6" fillId="12" borderId="35" xfId="1" applyNumberFormat="1" applyFont="1" applyFill="1" applyBorder="1" applyAlignment="1">
      <alignment horizontal="center" vertical="center"/>
    </xf>
    <xf numFmtId="1" fontId="10" fillId="10" borderId="9" xfId="0" applyNumberFormat="1" applyFont="1" applyFill="1" applyBorder="1"/>
    <xf numFmtId="1" fontId="8" fillId="10" borderId="9" xfId="1" applyNumberFormat="1" applyFont="1" applyFill="1" applyBorder="1" applyAlignment="1">
      <alignment horizontal="center" vertical="center"/>
    </xf>
    <xf numFmtId="1" fontId="9" fillId="10" borderId="14" xfId="1" applyNumberFormat="1" applyFont="1" applyFill="1" applyBorder="1" applyAlignment="1">
      <alignment horizontal="center" vertical="center"/>
    </xf>
    <xf numFmtId="0" fontId="8" fillId="0" borderId="0" xfId="0" applyFont="1" applyAlignment="1">
      <alignment horizontal="left"/>
    </xf>
    <xf numFmtId="9" fontId="7" fillId="13" borderId="36" xfId="1" applyFont="1" applyFill="1" applyBorder="1" applyAlignment="1">
      <alignment horizontal="left"/>
    </xf>
    <xf numFmtId="0" fontId="8" fillId="10" borderId="35" xfId="0" applyFont="1" applyFill="1" applyBorder="1"/>
    <xf numFmtId="164" fontId="8" fillId="10" borderId="35" xfId="0" applyNumberFormat="1" applyFont="1" applyFill="1" applyBorder="1"/>
    <xf numFmtId="9" fontId="19" fillId="10" borderId="12" xfId="1" applyFont="1" applyFill="1" applyBorder="1" applyAlignment="1">
      <alignment horizontal="center" vertical="center"/>
    </xf>
    <xf numFmtId="1" fontId="25" fillId="14" borderId="12" xfId="1" applyNumberFormat="1" applyFont="1" applyFill="1" applyBorder="1" applyAlignment="1">
      <alignment horizontal="center" vertical="center"/>
    </xf>
    <xf numFmtId="9" fontId="2" fillId="7" borderId="0" xfId="0" applyNumberFormat="1" applyFont="1" applyFill="1"/>
    <xf numFmtId="9" fontId="2" fillId="4" borderId="0" xfId="0" applyNumberFormat="1" applyFont="1" applyFill="1"/>
    <xf numFmtId="9" fontId="2" fillId="9" borderId="0" xfId="0" applyNumberFormat="1" applyFont="1" applyFill="1"/>
    <xf numFmtId="9" fontId="2" fillId="3" borderId="0" xfId="0" applyNumberFormat="1" applyFont="1" applyFill="1"/>
    <xf numFmtId="9" fontId="2" fillId="8" borderId="0" xfId="0" applyNumberFormat="1" applyFont="1" applyFill="1"/>
    <xf numFmtId="9" fontId="2" fillId="2" borderId="0" xfId="0" applyNumberFormat="1" applyFont="1" applyFill="1"/>
    <xf numFmtId="9" fontId="2" fillId="5" borderId="0" xfId="0" applyNumberFormat="1" applyFont="1" applyFill="1"/>
    <xf numFmtId="9" fontId="2" fillId="6" borderId="0" xfId="0" applyNumberFormat="1" applyFont="1" applyFill="1"/>
    <xf numFmtId="9" fontId="7" fillId="13" borderId="37" xfId="1" applyFont="1" applyFill="1" applyBorder="1" applyAlignment="1">
      <alignment horizontal="left" vertical="top"/>
    </xf>
    <xf numFmtId="9" fontId="7" fillId="13" borderId="38" xfId="1" applyFont="1" applyFill="1" applyBorder="1" applyAlignment="1">
      <alignment horizontal="left" vertical="top"/>
    </xf>
    <xf numFmtId="9" fontId="19" fillId="13" borderId="37" xfId="1" applyFont="1" applyFill="1" applyBorder="1" applyAlignment="1">
      <alignment vertical="top"/>
    </xf>
    <xf numFmtId="9" fontId="7" fillId="13" borderId="37" xfId="1" applyFont="1" applyFill="1" applyBorder="1" applyAlignment="1">
      <alignment vertical="top"/>
    </xf>
    <xf numFmtId="0" fontId="8" fillId="10" borderId="39" xfId="0" applyFont="1" applyFill="1" applyBorder="1"/>
    <xf numFmtId="164" fontId="8" fillId="10" borderId="39" xfId="0" applyNumberFormat="1" applyFont="1" applyFill="1" applyBorder="1"/>
    <xf numFmtId="0" fontId="8" fillId="10" borderId="37" xfId="0" applyFont="1" applyFill="1" applyBorder="1" applyAlignment="1">
      <alignment horizontal="left" vertical="top"/>
    </xf>
    <xf numFmtId="9" fontId="7" fillId="13" borderId="40" xfId="1" applyFont="1" applyFill="1" applyBorder="1" applyAlignment="1">
      <alignment horizontal="left" vertical="top"/>
    </xf>
    <xf numFmtId="9" fontId="7" fillId="13" borderId="41" xfId="1" applyFont="1" applyFill="1" applyBorder="1" applyAlignment="1">
      <alignment horizontal="left" vertical="top"/>
    </xf>
    <xf numFmtId="9" fontId="7" fillId="18" borderId="41" xfId="1" applyFont="1" applyFill="1" applyBorder="1" applyAlignment="1">
      <alignment horizontal="left" vertical="top"/>
    </xf>
    <xf numFmtId="9" fontId="7" fillId="18" borderId="40" xfId="1" applyFont="1" applyFill="1" applyBorder="1" applyAlignment="1">
      <alignment horizontal="left" vertical="top"/>
    </xf>
    <xf numFmtId="1" fontId="10" fillId="14" borderId="42" xfId="1" applyNumberFormat="1" applyFont="1" applyFill="1" applyBorder="1" applyAlignment="1">
      <alignment horizontal="center" vertical="center"/>
    </xf>
    <xf numFmtId="1" fontId="2" fillId="0" borderId="0" xfId="0" applyNumberFormat="1" applyFont="1" applyAlignment="1">
      <alignment horizontal="right"/>
    </xf>
    <xf numFmtId="9" fontId="8" fillId="10" borderId="14" xfId="1" applyFont="1" applyFill="1" applyBorder="1" applyAlignment="1">
      <alignment horizontal="center" vertical="center"/>
    </xf>
    <xf numFmtId="0" fontId="2" fillId="0" borderId="1" xfId="0" applyFont="1" applyBorder="1"/>
    <xf numFmtId="1" fontId="26" fillId="10" borderId="5" xfId="1" applyNumberFormat="1" applyFont="1" applyFill="1" applyBorder="1" applyAlignment="1">
      <alignment horizontal="center" vertical="center"/>
    </xf>
    <xf numFmtId="1" fontId="26" fillId="10" borderId="4" xfId="1" applyNumberFormat="1" applyFont="1" applyFill="1" applyBorder="1" applyAlignment="1">
      <alignment horizontal="center" vertical="center"/>
    </xf>
    <xf numFmtId="1" fontId="27" fillId="10" borderId="35" xfId="1" applyNumberFormat="1" applyFont="1" applyFill="1" applyBorder="1" applyAlignment="1">
      <alignment horizontal="center" vertical="center"/>
    </xf>
    <xf numFmtId="1" fontId="28" fillId="10" borderId="5" xfId="1" applyNumberFormat="1" applyFont="1" applyFill="1" applyBorder="1" applyAlignment="1">
      <alignment horizontal="center" vertical="center"/>
    </xf>
    <xf numFmtId="1" fontId="28" fillId="10" borderId="4" xfId="1" applyNumberFormat="1" applyFont="1" applyFill="1" applyBorder="1" applyAlignment="1">
      <alignment horizontal="center" vertical="center"/>
    </xf>
    <xf numFmtId="1" fontId="28" fillId="10" borderId="35" xfId="1" applyNumberFormat="1" applyFont="1" applyFill="1" applyBorder="1" applyAlignment="1">
      <alignment horizontal="center" vertical="center"/>
    </xf>
    <xf numFmtId="0" fontId="10" fillId="10" borderId="9" xfId="0" applyFont="1" applyFill="1" applyBorder="1"/>
    <xf numFmtId="9" fontId="10" fillId="10" borderId="0" xfId="0" applyNumberFormat="1" applyFont="1" applyFill="1"/>
    <xf numFmtId="49" fontId="11" fillId="11" borderId="25" xfId="1" applyNumberFormat="1" applyFont="1" applyFill="1" applyBorder="1" applyAlignment="1">
      <alignment horizontal="center" vertical="center" wrapText="1"/>
    </xf>
    <xf numFmtId="49" fontId="11" fillId="11" borderId="26" xfId="1" applyNumberFormat="1" applyFont="1" applyFill="1" applyBorder="1" applyAlignment="1">
      <alignment horizontal="center" vertical="center" wrapText="1"/>
    </xf>
    <xf numFmtId="49" fontId="11" fillId="11" borderId="27" xfId="1" applyNumberFormat="1" applyFont="1" applyFill="1" applyBorder="1" applyAlignment="1">
      <alignment horizontal="center" vertical="center"/>
    </xf>
    <xf numFmtId="49" fontId="11" fillId="11" borderId="7" xfId="1" applyNumberFormat="1" applyFont="1" applyFill="1" applyBorder="1" applyAlignment="1">
      <alignment horizontal="center" vertical="center" wrapText="1"/>
    </xf>
    <xf numFmtId="49" fontId="11" fillId="11" borderId="30" xfId="1" applyNumberFormat="1" applyFont="1" applyFill="1" applyBorder="1" applyAlignment="1">
      <alignment horizontal="center" vertical="center" wrapText="1"/>
    </xf>
    <xf numFmtId="49" fontId="11" fillId="11" borderId="34" xfId="1" applyNumberFormat="1" applyFont="1" applyFill="1" applyBorder="1" applyAlignment="1">
      <alignment horizontal="center" vertical="center" wrapText="1"/>
    </xf>
    <xf numFmtId="1" fontId="8" fillId="20" borderId="6" xfId="1" applyNumberFormat="1" applyFont="1" applyFill="1" applyBorder="1" applyAlignment="1">
      <alignment horizontal="center" vertical="center"/>
    </xf>
    <xf numFmtId="1" fontId="8" fillId="20" borderId="4" xfId="1" applyNumberFormat="1" applyFont="1" applyFill="1" applyBorder="1" applyAlignment="1">
      <alignment horizontal="center" vertical="center"/>
    </xf>
    <xf numFmtId="0" fontId="2" fillId="0" borderId="1" xfId="0" applyFont="1" applyBorder="1" applyAlignment="1">
      <alignment horizontal="center"/>
    </xf>
    <xf numFmtId="1" fontId="6" fillId="20" borderId="17" xfId="1" applyNumberFormat="1" applyFont="1" applyFill="1" applyBorder="1" applyAlignment="1">
      <alignment horizontal="center" vertical="center" wrapText="1"/>
    </xf>
    <xf numFmtId="1" fontId="6" fillId="20" borderId="28" xfId="1" applyNumberFormat="1" applyFont="1" applyFill="1" applyBorder="1" applyAlignment="1">
      <alignment horizontal="center" vertical="center" wrapText="1"/>
    </xf>
    <xf numFmtId="1" fontId="6" fillId="20" borderId="9" xfId="1" applyNumberFormat="1" applyFont="1" applyFill="1" applyBorder="1" applyAlignment="1">
      <alignment horizontal="center" vertical="center" wrapText="1"/>
    </xf>
    <xf numFmtId="1" fontId="6" fillId="20" borderId="0" xfId="1" applyNumberFormat="1" applyFont="1" applyFill="1" applyBorder="1" applyAlignment="1">
      <alignment horizontal="center" vertical="center" wrapText="1"/>
    </xf>
    <xf numFmtId="1" fontId="16" fillId="10" borderId="0" xfId="0" applyNumberFormat="1" applyFont="1" applyFill="1"/>
  </cellXfs>
  <cellStyles count="5">
    <cellStyle name="Comma 2" xfId="3" xr:uid="{52EA92E9-A91F-48F7-9853-E2C91CF474D7}"/>
    <cellStyle name="Comma 2 2" xfId="4" xr:uid="{265D5AC0-F578-4DB3-A919-F718A703304B}"/>
    <cellStyle name="Hyperlink 2" xfId="2" xr:uid="{2E66EE49-CE61-4502-895C-702951FE2610}"/>
    <cellStyle name="Normal" xfId="0" builtinId="0"/>
    <cellStyle name="Percent" xfId="1" builtinId="5"/>
  </cellStyles>
  <dxfs count="1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9BC8E9"/>
      <color rgb="FF88BD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required (assum. NPS=65)</a:t>
            </a:r>
          </a:p>
        </c:rich>
      </c:tx>
      <c:overlay val="0"/>
      <c:spPr>
        <a:noFill/>
        <a:ln>
          <a:noFill/>
        </a:ln>
        <a:effectLst/>
      </c:spPr>
    </c:title>
    <c:autoTitleDeleted val="0"/>
    <c:plotArea>
      <c:layout/>
      <c:scatterChart>
        <c:scatterStyle val="lineMarker"/>
        <c:varyColors val="0"/>
        <c:ser>
          <c:idx val="0"/>
          <c:order val="0"/>
          <c:tx>
            <c:strRef>
              <c:f>'[1]country sigs'!$AP$84</c:f>
              <c:strCache>
                <c:ptCount val="1"/>
                <c:pt idx="0">
                  <c:v>Delta required (assum. NPS=65)</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'[1]country sigs'!$AO$85:$AO$93</c:f>
              <c:numCache>
                <c:formatCode>General</c:formatCode>
                <c:ptCount val="9"/>
                <c:pt idx="0">
                  <c:v>50</c:v>
                </c:pt>
                <c:pt idx="1">
                  <c:v>100</c:v>
                </c:pt>
                <c:pt idx="2">
                  <c:v>150</c:v>
                </c:pt>
                <c:pt idx="3">
                  <c:v>200</c:v>
                </c:pt>
                <c:pt idx="4">
                  <c:v>300</c:v>
                </c:pt>
                <c:pt idx="5">
                  <c:v>400</c:v>
                </c:pt>
                <c:pt idx="6">
                  <c:v>500</c:v>
                </c:pt>
                <c:pt idx="7">
                  <c:v>700</c:v>
                </c:pt>
                <c:pt idx="8">
                  <c:v>1000</c:v>
                </c:pt>
              </c:numCache>
            </c:numRef>
          </c:xVal>
          <c:yVal>
            <c:numRef>
              <c:f>'[1]country sigs'!$AP$85:$AP$93</c:f>
              <c:numCache>
                <c:formatCode>General</c:formatCode>
                <c:ptCount val="9"/>
                <c:pt idx="0">
                  <c:v>22.490452974540112</c:v>
                </c:pt>
                <c:pt idx="1">
                  <c:v>15.903151810254473</c:v>
                </c:pt>
                <c:pt idx="2">
                  <c:v>12.984869079047357</c:v>
                </c:pt>
                <c:pt idx="3">
                  <c:v>11.245226487270054</c:v>
                </c:pt>
                <c:pt idx="4">
                  <c:v>9.1816889786139058</c:v>
                </c:pt>
                <c:pt idx="5">
                  <c:v>7.9515759051272363</c:v>
                </c:pt>
                <c:pt idx="6">
                  <c:v>7.1121057008455644</c:v>
                </c:pt>
                <c:pt idx="7">
                  <c:v>6.0108263931485713</c:v>
                </c:pt>
                <c:pt idx="8">
                  <c:v>5.0290181695834049</c:v>
                </c:pt>
              </c:numCache>
            </c:numRef>
          </c:yVal>
          <c:smooth val="0"/>
          <c:extLst>
            <c:ext xmlns:c16="http://schemas.microsoft.com/office/drawing/2014/chart" uri="{C3380CC4-5D6E-409C-BE32-E72D297353CC}">
              <c16:uniqueId val="{00000000-06F7-4CB2-9F7E-BAE53D1DED5C}"/>
            </c:ext>
          </c:extLst>
        </c:ser>
        <c:dLbls>
          <c:showLegendKey val="0"/>
          <c:showVal val="0"/>
          <c:showCatName val="0"/>
          <c:showSerName val="0"/>
          <c:showPercent val="0"/>
          <c:showBubbleSize val="0"/>
        </c:dLbls>
        <c:axId val="650099008"/>
        <c:axId val="650102336"/>
      </c:scatterChart>
      <c:valAx>
        <c:axId val="65009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2336"/>
        <c:crosses val="autoZero"/>
        <c:crossBetween val="midCat"/>
      </c:valAx>
      <c:valAx>
        <c:axId val="6501023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99008"/>
        <c:crosses val="autoZero"/>
        <c:crossBetween val="midCat"/>
      </c:valAx>
    </c:plotArea>
    <c:plotVisOnly val="1"/>
    <c:dispBlanksAs val="gap"/>
    <c:showDLblsOverMax val="0"/>
  </c:chart>
  <c:spPr>
    <a:ln>
      <a:noFill/>
    </a:ln>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'[1]country sigs'!$AP$97</c:f>
              <c:strCache>
                <c:ptCount val="1"/>
                <c:pt idx="0">
                  <c:v>Delta required (assum. NPS=35)</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'[1]country sigs'!$AO$98:$AO$106</c:f>
              <c:numCache>
                <c:formatCode>General</c:formatCode>
                <c:ptCount val="9"/>
                <c:pt idx="0">
                  <c:v>50</c:v>
                </c:pt>
                <c:pt idx="1">
                  <c:v>100</c:v>
                </c:pt>
                <c:pt idx="2">
                  <c:v>150</c:v>
                </c:pt>
                <c:pt idx="3">
                  <c:v>200</c:v>
                </c:pt>
                <c:pt idx="4">
                  <c:v>300</c:v>
                </c:pt>
                <c:pt idx="5">
                  <c:v>400</c:v>
                </c:pt>
                <c:pt idx="6">
                  <c:v>500</c:v>
                </c:pt>
                <c:pt idx="7">
                  <c:v>700</c:v>
                </c:pt>
                <c:pt idx="8">
                  <c:v>1000</c:v>
                </c:pt>
              </c:numCache>
            </c:numRef>
          </c:xVal>
          <c:yVal>
            <c:numRef>
              <c:f>'[1]country sigs'!$AP$98:$AP$106</c:f>
              <c:numCache>
                <c:formatCode>General</c:formatCode>
                <c:ptCount val="9"/>
                <c:pt idx="0">
                  <c:v>28.065813724173399</c:v>
                </c:pt>
                <c:pt idx="1">
                  <c:v>19.845527203881481</c:v>
                </c:pt>
                <c:pt idx="2">
                  <c:v>16.203805108677404</c:v>
                </c:pt>
                <c:pt idx="3">
                  <c:v>14.032906862086703</c:v>
                </c:pt>
                <c:pt idx="4">
                  <c:v>11.457820473371015</c:v>
                </c:pt>
                <c:pt idx="5">
                  <c:v>9.9227636019407406</c:v>
                </c:pt>
                <c:pt idx="6">
                  <c:v>8.8751895754400643</c:v>
                </c:pt>
                <c:pt idx="7">
                  <c:v>7.5009042312053475</c:v>
                </c:pt>
                <c:pt idx="8">
                  <c:v>6.2757067331098275</c:v>
                </c:pt>
              </c:numCache>
            </c:numRef>
          </c:yVal>
          <c:smooth val="0"/>
          <c:extLst>
            <c:ext xmlns:c16="http://schemas.microsoft.com/office/drawing/2014/chart" uri="{C3380CC4-5D6E-409C-BE32-E72D297353CC}">
              <c16:uniqueId val="{00000000-3A87-4BE7-ADDA-1442514BFBB1}"/>
            </c:ext>
          </c:extLst>
        </c:ser>
        <c:dLbls>
          <c:showLegendKey val="0"/>
          <c:showVal val="0"/>
          <c:showCatName val="0"/>
          <c:showSerName val="0"/>
          <c:showPercent val="0"/>
          <c:showBubbleSize val="0"/>
        </c:dLbls>
        <c:axId val="650099008"/>
        <c:axId val="650102336"/>
      </c:scatterChart>
      <c:valAx>
        <c:axId val="65009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2336"/>
        <c:crosses val="autoZero"/>
        <c:crossBetween val="midCat"/>
      </c:valAx>
      <c:valAx>
        <c:axId val="6501023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990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'[1]country sigs'!$AP$108</c:f>
              <c:strCache>
                <c:ptCount val="1"/>
                <c:pt idx="0">
                  <c:v>Delta required (assum. NPS=0)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'[1]country sigs'!$AO$109:$AO$117</c:f>
              <c:numCache>
                <c:formatCode>General</c:formatCode>
                <c:ptCount val="9"/>
                <c:pt idx="0">
                  <c:v>50</c:v>
                </c:pt>
                <c:pt idx="1">
                  <c:v>100</c:v>
                </c:pt>
                <c:pt idx="2">
                  <c:v>150</c:v>
                </c:pt>
                <c:pt idx="3">
                  <c:v>200</c:v>
                </c:pt>
                <c:pt idx="4">
                  <c:v>300</c:v>
                </c:pt>
                <c:pt idx="5">
                  <c:v>400</c:v>
                </c:pt>
                <c:pt idx="6">
                  <c:v>500</c:v>
                </c:pt>
                <c:pt idx="7">
                  <c:v>700</c:v>
                </c:pt>
                <c:pt idx="8">
                  <c:v>1000</c:v>
                </c:pt>
              </c:numCache>
            </c:numRef>
          </c:xVal>
          <c:yVal>
            <c:numRef>
              <c:f>'[1]country sigs'!$AP$109:$AP$117</c:f>
              <c:numCache>
                <c:formatCode>General</c:formatCode>
                <c:ptCount val="9"/>
                <c:pt idx="0">
                  <c:v>30.441649101190315</c:v>
                </c:pt>
                <c:pt idx="1">
                  <c:v>21.525496509953047</c:v>
                </c:pt>
                <c:pt idx="2">
                  <c:v>17.575494303148336</c:v>
                </c:pt>
                <c:pt idx="3">
                  <c:v>15.220824550595143</c:v>
                </c:pt>
                <c:pt idx="4">
                  <c:v>12.427751204461725</c:v>
                </c:pt>
                <c:pt idx="5">
                  <c:v>10.762748254976524</c:v>
                </c:pt>
                <c:pt idx="6">
                  <c:v>9.6264946891378926</c:v>
                </c:pt>
                <c:pt idx="7">
                  <c:v>8.1358729446463567</c:v>
                </c:pt>
                <c:pt idx="8">
                  <c:v>6.8069596737456859</c:v>
                </c:pt>
              </c:numCache>
            </c:numRef>
          </c:yVal>
          <c:smooth val="0"/>
          <c:extLst>
            <c:ext xmlns:c16="http://schemas.microsoft.com/office/drawing/2014/chart" uri="{C3380CC4-5D6E-409C-BE32-E72D297353CC}">
              <c16:uniqueId val="{00000000-FCC1-4DDA-BC89-239E2C82AA50}"/>
            </c:ext>
          </c:extLst>
        </c:ser>
        <c:dLbls>
          <c:showLegendKey val="0"/>
          <c:showVal val="0"/>
          <c:showCatName val="0"/>
          <c:showSerName val="0"/>
          <c:showPercent val="0"/>
          <c:showBubbleSize val="0"/>
        </c:dLbls>
        <c:axId val="650099008"/>
        <c:axId val="650102336"/>
      </c:scatterChart>
      <c:valAx>
        <c:axId val="65009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2336"/>
        <c:crosses val="autoZero"/>
        <c:crossBetween val="midCat"/>
      </c:valAx>
      <c:valAx>
        <c:axId val="6501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990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33618</xdr:colOff>
      <xdr:row>46</xdr:row>
      <xdr:rowOff>139966</xdr:rowOff>
    </xdr:from>
    <xdr:to>
      <xdr:col>1</xdr:col>
      <xdr:colOff>3126778</xdr:colOff>
      <xdr:row>55</xdr:row>
      <xdr:rowOff>45944</xdr:rowOff>
    </xdr:to>
    <xdr:graphicFrame macro="">
      <xdr:nvGraphicFramePr>
        <xdr:cNvPr id="2" name="Chart 1">
          <a:extLst>
            <a:ext uri="{FF2B5EF4-FFF2-40B4-BE49-F238E27FC236}">
              <a16:creationId xmlns:a16="http://schemas.microsoft.com/office/drawing/2014/main" id="{BC4A57CB-C1A1-4E3D-BE4F-C5A9AB91C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33618</xdr:colOff>
      <xdr:row>37</xdr:row>
      <xdr:rowOff>129110</xdr:rowOff>
    </xdr:from>
    <xdr:to>
      <xdr:col>1</xdr:col>
      <xdr:colOff>3126778</xdr:colOff>
      <xdr:row>47</xdr:row>
      <xdr:rowOff>25333</xdr:rowOff>
    </xdr:to>
    <xdr:graphicFrame macro="">
      <xdr:nvGraphicFramePr>
        <xdr:cNvPr id="3" name="Chart 2">
          <a:extLst>
            <a:ext uri="{FF2B5EF4-FFF2-40B4-BE49-F238E27FC236}">
              <a16:creationId xmlns:a16="http://schemas.microsoft.com/office/drawing/2014/main" id="{D49831B3-0659-410F-B6AE-17D71631F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33618</xdr:colOff>
      <xdr:row>27</xdr:row>
      <xdr:rowOff>106397</xdr:rowOff>
    </xdr:from>
    <xdr:to>
      <xdr:col>1</xdr:col>
      <xdr:colOff>3124200</xdr:colOff>
      <xdr:row>38</xdr:row>
      <xdr:rowOff>14477</xdr:rowOff>
    </xdr:to>
    <xdr:graphicFrame macro="">
      <xdr:nvGraphicFramePr>
        <xdr:cNvPr id="4" name="Chart 3">
          <a:extLst>
            <a:ext uri="{FF2B5EF4-FFF2-40B4-BE49-F238E27FC236}">
              <a16:creationId xmlns:a16="http://schemas.microsoft.com/office/drawing/2014/main" id="{5FBE4B46-F867-4171-9984-98435E878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30480</xdr:colOff>
      <xdr:row>8</xdr:row>
      <xdr:rowOff>144780</xdr:rowOff>
    </xdr:from>
    <xdr:to>
      <xdr:col>5</xdr:col>
      <xdr:colOff>932592</xdr:colOff>
      <xdr:row>11</xdr:row>
      <xdr:rowOff>163830</xdr:rowOff>
    </xdr:to>
    <xdr:pic>
      <xdr:nvPicPr>
        <xdr:cNvPr id="5" name="Picture 4" descr="Afbeeldingsresultaat voor NPS berekenen">
          <a:extLst>
            <a:ext uri="{FF2B5EF4-FFF2-40B4-BE49-F238E27FC236}">
              <a16:creationId xmlns:a16="http://schemas.microsoft.com/office/drawing/2014/main" id="{10D035F2-94B3-4977-A399-AF8B0A5A7D9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88405" y="2135505"/>
          <a:ext cx="2978562"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L-Netherlands_Research/Documents/Research/Clients/ING_Brand_Tracking_2022_(p97511)/Report/Extra/220616_Sig_of_NPS/220616_Sig_of_NPS.xlsx" TargetMode="External"/><Relationship Id="rId1" Type="http://schemas.openxmlformats.org/officeDocument/2006/relationships/externalLinkPath" Target="/sites/ML-Netherlands_Research/Documents/Research/Clients/ING_Brand_Tracking_2022_(p97511)/Report/Extra/220616_Sig_of_NPS/220616_Sig_of_N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PS_Q4_RollingAverageOverview"/>
      <sheetName val="Overview"/>
      <sheetName val="Australia"/>
      <sheetName val="country sigs"/>
      <sheetName val="Non-rolling scores AU"/>
      <sheetName val="Output AU"/>
      <sheetName val="Belgium"/>
      <sheetName val="Non-rolling scores BE"/>
      <sheetName val="Output BE"/>
      <sheetName val="Germany"/>
      <sheetName val="Non-rolling scores DE"/>
      <sheetName val="Output DE"/>
      <sheetName val="Italy"/>
      <sheetName val="Non-rolling scores IT"/>
      <sheetName val="Output IT"/>
      <sheetName val="Luxembourg"/>
      <sheetName val="Non-rolling scores LX"/>
      <sheetName val="Output LX"/>
      <sheetName val="Netherlands"/>
      <sheetName val="Non-rolling scores NL"/>
      <sheetName val="Output NL"/>
      <sheetName val="Poland"/>
      <sheetName val="Non-rolling scores PL"/>
      <sheetName val="Output PL"/>
      <sheetName val="Romania"/>
      <sheetName val="Non-rolling scores RO"/>
      <sheetName val="Output RO"/>
      <sheetName val="Spain"/>
      <sheetName val="Non-rolling scores ES"/>
      <sheetName val="Output ES"/>
      <sheetName val="Turkey"/>
      <sheetName val="Non-rolling scores TR"/>
      <sheetName val="Output TR"/>
      <sheetName val="Philippines"/>
      <sheetName val="Non-rolling scores PH"/>
      <sheetName val="Output PH"/>
    </sheetNames>
    <sheetDataSet>
      <sheetData sheetId="0"/>
      <sheetData sheetId="1"/>
      <sheetData sheetId="2"/>
      <sheetData sheetId="3">
        <row r="84">
          <cell r="AP84" t="str">
            <v>Delta required (assum. NPS=65)</v>
          </cell>
        </row>
        <row r="85">
          <cell r="AO85">
            <v>50</v>
          </cell>
          <cell r="AP85">
            <v>22.490452974540112</v>
          </cell>
        </row>
        <row r="86">
          <cell r="AO86">
            <v>100</v>
          </cell>
          <cell r="AP86">
            <v>15.903151810254473</v>
          </cell>
        </row>
        <row r="87">
          <cell r="AO87">
            <v>150</v>
          </cell>
          <cell r="AP87">
            <v>12.984869079047357</v>
          </cell>
        </row>
        <row r="88">
          <cell r="AO88">
            <v>200</v>
          </cell>
          <cell r="AP88">
            <v>11.245226487270054</v>
          </cell>
        </row>
        <row r="89">
          <cell r="AO89">
            <v>300</v>
          </cell>
          <cell r="AP89">
            <v>9.1816889786139058</v>
          </cell>
        </row>
        <row r="90">
          <cell r="AO90">
            <v>400</v>
          </cell>
          <cell r="AP90">
            <v>7.9515759051272363</v>
          </cell>
        </row>
        <row r="91">
          <cell r="AO91">
            <v>500</v>
          </cell>
          <cell r="AP91">
            <v>7.1121057008455644</v>
          </cell>
        </row>
        <row r="92">
          <cell r="AO92">
            <v>700</v>
          </cell>
          <cell r="AP92">
            <v>6.0108263931485713</v>
          </cell>
        </row>
        <row r="93">
          <cell r="AO93">
            <v>1000</v>
          </cell>
          <cell r="AP93">
            <v>5.0290181695834049</v>
          </cell>
        </row>
        <row r="97">
          <cell r="AP97" t="str">
            <v>Delta required (assum. NPS=35)</v>
          </cell>
        </row>
        <row r="98">
          <cell r="AO98">
            <v>50</v>
          </cell>
          <cell r="AP98">
            <v>28.065813724173399</v>
          </cell>
        </row>
        <row r="99">
          <cell r="AO99">
            <v>100</v>
          </cell>
          <cell r="AP99">
            <v>19.845527203881481</v>
          </cell>
        </row>
        <row r="100">
          <cell r="AO100">
            <v>150</v>
          </cell>
          <cell r="AP100">
            <v>16.203805108677404</v>
          </cell>
        </row>
        <row r="101">
          <cell r="AO101">
            <v>200</v>
          </cell>
          <cell r="AP101">
            <v>14.032906862086703</v>
          </cell>
        </row>
        <row r="102">
          <cell r="AO102">
            <v>300</v>
          </cell>
          <cell r="AP102">
            <v>11.457820473371015</v>
          </cell>
        </row>
        <row r="103">
          <cell r="AO103">
            <v>400</v>
          </cell>
          <cell r="AP103">
            <v>9.9227636019407406</v>
          </cell>
        </row>
        <row r="104">
          <cell r="AO104">
            <v>500</v>
          </cell>
          <cell r="AP104">
            <v>8.8751895754400643</v>
          </cell>
        </row>
        <row r="105">
          <cell r="AO105">
            <v>700</v>
          </cell>
          <cell r="AP105">
            <v>7.5009042312053475</v>
          </cell>
        </row>
        <row r="106">
          <cell r="AO106">
            <v>1000</v>
          </cell>
          <cell r="AP106">
            <v>6.2757067331098275</v>
          </cell>
        </row>
        <row r="108">
          <cell r="AP108" t="str">
            <v>Delta required (assum. NPS=0)</v>
          </cell>
        </row>
        <row r="109">
          <cell r="AO109">
            <v>50</v>
          </cell>
          <cell r="AP109">
            <v>30.441649101190315</v>
          </cell>
        </row>
        <row r="110">
          <cell r="AO110">
            <v>100</v>
          </cell>
          <cell r="AP110">
            <v>21.525496509953047</v>
          </cell>
        </row>
        <row r="111">
          <cell r="AO111">
            <v>150</v>
          </cell>
          <cell r="AP111">
            <v>17.575494303148336</v>
          </cell>
        </row>
        <row r="112">
          <cell r="AO112">
            <v>200</v>
          </cell>
          <cell r="AP112">
            <v>15.220824550595143</v>
          </cell>
        </row>
        <row r="113">
          <cell r="AO113">
            <v>300</v>
          </cell>
          <cell r="AP113">
            <v>12.427751204461725</v>
          </cell>
        </row>
        <row r="114">
          <cell r="AO114">
            <v>400</v>
          </cell>
          <cell r="AP114">
            <v>10.762748254976524</v>
          </cell>
        </row>
        <row r="115">
          <cell r="AO115">
            <v>500</v>
          </cell>
          <cell r="AP115">
            <v>9.6264946891378926</v>
          </cell>
        </row>
        <row r="116">
          <cell r="AO116">
            <v>700</v>
          </cell>
          <cell r="AP116">
            <v>8.1358729446463567</v>
          </cell>
        </row>
        <row r="117">
          <cell r="AO117">
            <v>1000</v>
          </cell>
          <cell r="AP117">
            <v>6.8069596737456859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C008-4014-448B-B382-4BF93265E9A8}">
  <sheetPr codeName="Sheet1">
    <tabColor rgb="FFFFFF00"/>
  </sheetPr>
  <dimension ref="B1:F39"/>
  <sheetViews>
    <sheetView workbookViewId="0">
      <selection activeCell="B11" sqref="B11"/>
    </sheetView>
  </sheetViews>
  <sheetFormatPr defaultColWidth="8.81640625" defaultRowHeight="14.5" x14ac:dyDescent="0.35"/>
  <cols>
    <col min="1" max="1" width="2.54296875" style="2" customWidth="1"/>
    <col min="2" max="2" width="79.453125" style="2" customWidth="1"/>
    <col min="3" max="3" width="11.81640625" style="2" customWidth="1"/>
    <col min="4" max="6" width="15.54296875" style="2" customWidth="1"/>
    <col min="7" max="7" width="11.81640625" style="2" customWidth="1"/>
    <col min="8" max="16384" width="8.81640625" style="2"/>
  </cols>
  <sheetData>
    <row r="1" spans="2:2" s="116" customFormat="1" ht="16" x14ac:dyDescent="0.35">
      <c r="B1" s="115" t="s">
        <v>0</v>
      </c>
    </row>
    <row r="2" spans="2:2" s="117" customFormat="1" x14ac:dyDescent="0.35"/>
    <row r="3" spans="2:2" ht="16" x14ac:dyDescent="0.35">
      <c r="B3" s="118" t="s">
        <v>1</v>
      </c>
    </row>
    <row r="4" spans="2:2" ht="16" x14ac:dyDescent="0.35">
      <c r="B4" s="119" t="s">
        <v>2</v>
      </c>
    </row>
    <row r="5" spans="2:2" ht="16" x14ac:dyDescent="0.35">
      <c r="B5" s="119" t="s">
        <v>3</v>
      </c>
    </row>
    <row r="6" spans="2:2" ht="16" x14ac:dyDescent="0.35">
      <c r="B6" s="119" t="s">
        <v>4</v>
      </c>
    </row>
    <row r="7" spans="2:2" s="117" customFormat="1" ht="32" x14ac:dyDescent="0.35">
      <c r="B7" s="120" t="s">
        <v>5</v>
      </c>
    </row>
    <row r="8" spans="2:2" ht="16" x14ac:dyDescent="0.35">
      <c r="B8" s="121"/>
    </row>
    <row r="10" spans="2:2" s="117" customFormat="1" ht="16" x14ac:dyDescent="0.35">
      <c r="B10" s="118" t="s">
        <v>6</v>
      </c>
    </row>
    <row r="11" spans="2:2" s="117" customFormat="1" ht="64" x14ac:dyDescent="0.35">
      <c r="B11" s="122" t="s">
        <v>7</v>
      </c>
    </row>
    <row r="12" spans="2:2" s="117" customFormat="1" ht="64" x14ac:dyDescent="0.35">
      <c r="B12" s="122" t="s">
        <v>8</v>
      </c>
    </row>
    <row r="13" spans="2:2" s="117" customFormat="1" x14ac:dyDescent="0.35"/>
    <row r="14" spans="2:2" s="117" customFormat="1" x14ac:dyDescent="0.35"/>
    <row r="15" spans="2:2" s="117" customFormat="1" ht="16" x14ac:dyDescent="0.35">
      <c r="B15" s="122" t="s">
        <v>9</v>
      </c>
    </row>
    <row r="16" spans="2:2" ht="64" x14ac:dyDescent="0.35">
      <c r="B16" s="120" t="s">
        <v>10</v>
      </c>
    </row>
    <row r="18" spans="2:6" ht="15" customHeight="1" x14ac:dyDescent="0.35"/>
    <row r="19" spans="2:6" s="116" customFormat="1" ht="16" x14ac:dyDescent="0.35">
      <c r="B19" s="115" t="s">
        <v>11</v>
      </c>
    </row>
    <row r="21" spans="2:6" ht="16" x14ac:dyDescent="0.35">
      <c r="B21" s="122" t="s">
        <v>12</v>
      </c>
    </row>
    <row r="22" spans="2:6" ht="62.15" customHeight="1" x14ac:dyDescent="0.35">
      <c r="B22" s="120" t="s">
        <v>13</v>
      </c>
    </row>
    <row r="23" spans="2:6" ht="16" x14ac:dyDescent="0.35">
      <c r="B23" s="120"/>
    </row>
    <row r="24" spans="2:6" ht="102" customHeight="1" x14ac:dyDescent="0.35">
      <c r="B24" s="120" t="s">
        <v>14</v>
      </c>
    </row>
    <row r="25" spans="2:6" ht="32" x14ac:dyDescent="0.35">
      <c r="B25" s="120" t="s">
        <v>15</v>
      </c>
    </row>
    <row r="27" spans="2:6" ht="16" x14ac:dyDescent="0.35">
      <c r="B27" s="118" t="s">
        <v>16</v>
      </c>
    </row>
    <row r="30" spans="2:6" ht="29" x14ac:dyDescent="0.35">
      <c r="C30" s="117" t="s">
        <v>17</v>
      </c>
      <c r="D30" s="123" t="s">
        <v>18</v>
      </c>
      <c r="E30" s="123" t="s">
        <v>19</v>
      </c>
      <c r="F30" s="123" t="s">
        <v>20</v>
      </c>
    </row>
    <row r="31" spans="2:6" x14ac:dyDescent="0.35">
      <c r="C31" s="2">
        <v>50</v>
      </c>
      <c r="D31" s="124">
        <v>30.441649101190315</v>
      </c>
      <c r="E31" s="124">
        <v>28.065813724173399</v>
      </c>
      <c r="F31" s="124">
        <v>22.490452974540112</v>
      </c>
    </row>
    <row r="32" spans="2:6" x14ac:dyDescent="0.35">
      <c r="C32" s="2">
        <v>100</v>
      </c>
      <c r="D32" s="124">
        <v>21.525496509953047</v>
      </c>
      <c r="E32" s="124">
        <v>19.845527203881481</v>
      </c>
      <c r="F32" s="124">
        <v>15.903151810254473</v>
      </c>
    </row>
    <row r="33" spans="3:6" x14ac:dyDescent="0.35">
      <c r="C33" s="2">
        <v>150</v>
      </c>
      <c r="D33" s="124">
        <v>17.575494303148336</v>
      </c>
      <c r="E33" s="124">
        <v>16.203805108677404</v>
      </c>
      <c r="F33" s="124">
        <v>12.984869079047357</v>
      </c>
    </row>
    <row r="34" spans="3:6" x14ac:dyDescent="0.35">
      <c r="C34" s="2">
        <v>200</v>
      </c>
      <c r="D34" s="124">
        <v>15.220824550595143</v>
      </c>
      <c r="E34" s="124">
        <v>14.032906862086703</v>
      </c>
      <c r="F34" s="124">
        <v>11.245226487270054</v>
      </c>
    </row>
    <row r="35" spans="3:6" x14ac:dyDescent="0.35">
      <c r="C35" s="2">
        <v>300</v>
      </c>
      <c r="D35" s="124">
        <v>12.427751204461725</v>
      </c>
      <c r="E35" s="124">
        <v>11.457820473371015</v>
      </c>
      <c r="F35" s="124">
        <v>9.1816889786139058</v>
      </c>
    </row>
    <row r="36" spans="3:6" x14ac:dyDescent="0.35">
      <c r="C36" s="117">
        <v>400</v>
      </c>
      <c r="D36" s="123">
        <v>10.762748254976524</v>
      </c>
      <c r="E36" s="123">
        <v>9.9227636019407406</v>
      </c>
      <c r="F36" s="123">
        <v>7.9515759051272363</v>
      </c>
    </row>
    <row r="37" spans="3:6" x14ac:dyDescent="0.35">
      <c r="C37" s="117">
        <v>500</v>
      </c>
      <c r="D37" s="123">
        <v>9.6264946891378926</v>
      </c>
      <c r="E37" s="123">
        <v>8.8751895754400643</v>
      </c>
      <c r="F37" s="123">
        <v>7.1121057008455644</v>
      </c>
    </row>
    <row r="38" spans="3:6" x14ac:dyDescent="0.35">
      <c r="C38" s="117">
        <v>700</v>
      </c>
      <c r="D38" s="123">
        <v>8.1358729446463567</v>
      </c>
      <c r="E38" s="123">
        <v>7.5009042312053475</v>
      </c>
      <c r="F38" s="123">
        <v>6.0108263931485713</v>
      </c>
    </row>
    <row r="39" spans="3:6" x14ac:dyDescent="0.35">
      <c r="C39" s="117">
        <v>1000</v>
      </c>
      <c r="D39" s="123">
        <v>6.8069596737456859</v>
      </c>
      <c r="E39" s="123">
        <v>6.2757067331098275</v>
      </c>
      <c r="F39" s="123">
        <v>5.0290181695834049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C7DA-C58A-442A-A363-14B2455762D1}">
  <sheetPr codeName="Sheet3">
    <tabColor theme="5"/>
  </sheetPr>
  <dimension ref="B1:F75"/>
  <sheetViews>
    <sheetView zoomScale="80" zoomScaleNormal="80" workbookViewId="0">
      <pane xSplit="2" ySplit="2" topLeftCell="C3" activePane="bottomRight" state="frozen"/>
      <selection activeCell="C6" sqref="C6"/>
      <selection pane="topRight" activeCell="C6" sqref="C6"/>
      <selection pane="bottomLeft" activeCell="C6" sqref="C6"/>
      <selection pane="bottomRight" activeCell="C6" sqref="C6"/>
    </sheetView>
  </sheetViews>
  <sheetFormatPr defaultColWidth="9.453125" defaultRowHeight="14.5" x14ac:dyDescent="0.35"/>
  <cols>
    <col min="1" max="1" width="1.54296875" style="31" customWidth="1"/>
    <col min="2" max="2" width="60.7265625" style="8" customWidth="1"/>
    <col min="3" max="3" width="1.54296875" style="8" customWidth="1"/>
    <col min="4" max="4" width="14" style="31" customWidth="1"/>
    <col min="5" max="6" width="14.1796875" style="31" customWidth="1"/>
    <col min="7" max="7" width="1.7265625" style="31" customWidth="1"/>
    <col min="8" max="16384" width="9.453125" style="31"/>
  </cols>
  <sheetData>
    <row r="1" spans="2:6" ht="6.75" customHeight="1" thickBot="1" x14ac:dyDescent="0.4">
      <c r="B1" s="30"/>
      <c r="C1" s="30"/>
    </row>
    <row r="2" spans="2:6" ht="15" thickBot="1" x14ac:dyDescent="0.4">
      <c r="B2" s="32" t="s">
        <v>556</v>
      </c>
      <c r="C2" s="67"/>
      <c r="D2" s="179" t="s">
        <v>469</v>
      </c>
      <c r="E2" s="180"/>
      <c r="F2" s="181"/>
    </row>
    <row r="4" spans="2:6" x14ac:dyDescent="0.35">
      <c r="B4" s="4" t="s">
        <v>21</v>
      </c>
      <c r="C4" s="68"/>
      <c r="D4" s="66" t="s">
        <v>22</v>
      </c>
      <c r="E4" s="63" t="s">
        <v>23</v>
      </c>
      <c r="F4" s="66" t="s">
        <v>24</v>
      </c>
    </row>
    <row r="5" spans="2:6" x14ac:dyDescent="0.35">
      <c r="B5" s="5" t="s">
        <v>25</v>
      </c>
      <c r="C5" s="69"/>
      <c r="D5" s="65" t="e">
        <f>'Australia (quarter)'!C6</f>
        <v>#REF!</v>
      </c>
      <c r="E5" s="64" t="e">
        <f>'Australia (quarter)'!C49</f>
        <v>#REF!</v>
      </c>
      <c r="F5" s="59" t="e">
        <f>'Australia (quarter)'!C56</f>
        <v>#REF!</v>
      </c>
    </row>
    <row r="6" spans="2:6" x14ac:dyDescent="0.35">
      <c r="B6" s="6" t="s">
        <v>26</v>
      </c>
      <c r="C6" s="7"/>
      <c r="D6" s="65" t="e">
        <f>'Australia (quarter)'!C14</f>
        <v>#REF!</v>
      </c>
      <c r="E6" s="64" t="e">
        <f>'Australia (quarter)'!C50</f>
        <v>#REF!</v>
      </c>
      <c r="F6" s="59" t="e">
        <f>'Australia (quarter)'!C57</f>
        <v>#REF!</v>
      </c>
    </row>
    <row r="7" spans="2:6" x14ac:dyDescent="0.35">
      <c r="B7" s="6" t="s">
        <v>27</v>
      </c>
      <c r="C7" s="7"/>
      <c r="D7" s="65" t="e">
        <f>'Australia (quarter)'!C21</f>
        <v>#REF!</v>
      </c>
      <c r="E7" s="64" t="e">
        <f>'Australia (quarter)'!C51</f>
        <v>#REF!</v>
      </c>
      <c r="F7" s="59" t="e">
        <f>'Australia (quarter)'!C58</f>
        <v>#REF!</v>
      </c>
    </row>
    <row r="8" spans="2:6" x14ac:dyDescent="0.35">
      <c r="B8" s="6" t="s">
        <v>28</v>
      </c>
      <c r="C8" s="7"/>
      <c r="D8" s="65" t="e">
        <f>'Australia (quarter)'!C28</f>
        <v>#REF!</v>
      </c>
      <c r="E8" s="64" t="e">
        <f>'Australia (quarter)'!C52</f>
        <v>#REF!</v>
      </c>
      <c r="F8" s="59" t="e">
        <f>'Australia (quarter)'!C59</f>
        <v>#REF!</v>
      </c>
    </row>
    <row r="9" spans="2:6" s="34" customFormat="1" x14ac:dyDescent="0.35">
      <c r="B9" s="6" t="s">
        <v>29</v>
      </c>
      <c r="C9" s="7"/>
      <c r="D9" s="65" t="e">
        <f>'Australia (quarter)'!C35</f>
        <v>#REF!</v>
      </c>
      <c r="E9" s="64" t="e">
        <f>'Australia (quarter)'!C53</f>
        <v>#REF!</v>
      </c>
      <c r="F9" s="59" t="e">
        <f>'Australia (quarter)'!C60</f>
        <v>#REF!</v>
      </c>
    </row>
    <row r="10" spans="2:6" x14ac:dyDescent="0.35">
      <c r="B10" s="7"/>
      <c r="C10" s="7"/>
      <c r="D10" s="62"/>
      <c r="E10" s="62"/>
    </row>
    <row r="11" spans="2:6" x14ac:dyDescent="0.35">
      <c r="B11" s="4" t="s">
        <v>30</v>
      </c>
      <c r="C11" s="68"/>
      <c r="D11" s="66" t="s">
        <v>22</v>
      </c>
      <c r="E11" s="63" t="s">
        <v>23</v>
      </c>
      <c r="F11" s="66" t="s">
        <v>24</v>
      </c>
    </row>
    <row r="12" spans="2:6" x14ac:dyDescent="0.35">
      <c r="B12" s="5" t="s">
        <v>31</v>
      </c>
      <c r="C12" s="69"/>
      <c r="D12" s="65" t="e">
        <f>'Belgium (quarter)'!C35</f>
        <v>#REF!</v>
      </c>
      <c r="E12" s="64" t="e">
        <f>'Belgium (quarter)'!C41</f>
        <v>#REF!</v>
      </c>
      <c r="F12" s="59" t="e">
        <f>'Belgium (quarter)'!C47</f>
        <v>#REF!</v>
      </c>
    </row>
    <row r="13" spans="2:6" x14ac:dyDescent="0.35">
      <c r="B13" s="6" t="s">
        <v>32</v>
      </c>
      <c r="C13" s="7"/>
      <c r="D13" s="65" t="e">
        <f>'Belgium (quarter)'!C36</f>
        <v>#REF!</v>
      </c>
      <c r="E13" s="64" t="e">
        <f>'Belgium (quarter)'!C42</f>
        <v>#REF!</v>
      </c>
      <c r="F13" s="59" t="e">
        <f>'Belgium (quarter)'!C48</f>
        <v>#REF!</v>
      </c>
    </row>
    <row r="14" spans="2:6" x14ac:dyDescent="0.35">
      <c r="B14" s="6" t="s">
        <v>33</v>
      </c>
      <c r="C14" s="7"/>
      <c r="D14" s="65" t="e">
        <f>'Belgium (quarter)'!C37</f>
        <v>#REF!</v>
      </c>
      <c r="E14" s="64" t="e">
        <f>'Belgium (quarter)'!C43</f>
        <v>#REF!</v>
      </c>
      <c r="F14" s="59" t="e">
        <f>'Belgium (quarter)'!C49</f>
        <v>#REF!</v>
      </c>
    </row>
    <row r="15" spans="2:6" x14ac:dyDescent="0.35">
      <c r="B15" s="6" t="s">
        <v>34</v>
      </c>
      <c r="C15" s="7"/>
      <c r="D15" s="65" t="e">
        <f>'Belgium (quarter)'!C38</f>
        <v>#REF!</v>
      </c>
      <c r="E15" s="64" t="e">
        <f>'Belgium (quarter)'!C44</f>
        <v>#REF!</v>
      </c>
      <c r="F15" s="59" t="e">
        <f>'Belgium (quarter)'!C50</f>
        <v>#REF!</v>
      </c>
    </row>
    <row r="17" spans="2:6" x14ac:dyDescent="0.35">
      <c r="B17" s="4" t="s">
        <v>35</v>
      </c>
      <c r="C17" s="68"/>
      <c r="D17" s="66" t="s">
        <v>22</v>
      </c>
      <c r="E17" s="63" t="s">
        <v>23</v>
      </c>
      <c r="F17" s="66" t="s">
        <v>24</v>
      </c>
    </row>
    <row r="18" spans="2:6" x14ac:dyDescent="0.35">
      <c r="B18" s="5" t="s">
        <v>31</v>
      </c>
      <c r="C18" s="69"/>
      <c r="D18" s="65" t="e">
        <f>'Germany (quarter)'!C6</f>
        <v>#REF!</v>
      </c>
      <c r="E18" s="64" t="e">
        <f>'Germany (quarter)'!C57</f>
        <v>#REF!</v>
      </c>
      <c r="F18" s="59" t="e">
        <f>'Germany (quarter)'!C65</f>
        <v>#REF!</v>
      </c>
    </row>
    <row r="19" spans="2:6" x14ac:dyDescent="0.35">
      <c r="B19" s="6" t="s">
        <v>36</v>
      </c>
      <c r="C19" s="7"/>
      <c r="D19" s="65" t="e">
        <f>'Germany (quarter)'!C14</f>
        <v>#REF!</v>
      </c>
      <c r="E19" s="64" t="e">
        <f>'Germany (quarter)'!C58</f>
        <v>#REF!</v>
      </c>
      <c r="F19" s="59" t="e">
        <f>'Germany (quarter)'!C66</f>
        <v>#REF!</v>
      </c>
    </row>
    <row r="20" spans="2:6" x14ac:dyDescent="0.35">
      <c r="B20" s="6" t="s">
        <v>37</v>
      </c>
      <c r="C20" s="7"/>
      <c r="D20" s="65" t="e">
        <f>'Germany (quarter)'!C21</f>
        <v>#REF!</v>
      </c>
      <c r="E20" s="64" t="e">
        <f>'Germany (quarter)'!C59</f>
        <v>#REF!</v>
      </c>
      <c r="F20" s="59" t="e">
        <f>'Germany (quarter)'!C67</f>
        <v>#REF!</v>
      </c>
    </row>
    <row r="21" spans="2:6" x14ac:dyDescent="0.35">
      <c r="B21" s="6" t="s">
        <v>38</v>
      </c>
      <c r="C21" s="7"/>
      <c r="D21" s="65" t="e">
        <f>'Germany (quarter)'!C28</f>
        <v>#REF!</v>
      </c>
      <c r="E21" s="64" t="e">
        <f>'Germany (quarter)'!C60</f>
        <v>#REF!</v>
      </c>
      <c r="F21" s="59" t="e">
        <f>'Germany (quarter)'!C68</f>
        <v>#REF!</v>
      </c>
    </row>
    <row r="22" spans="2:6" x14ac:dyDescent="0.35">
      <c r="B22" s="6" t="s">
        <v>39</v>
      </c>
      <c r="C22" s="7"/>
      <c r="D22" s="65" t="e">
        <f>'Germany (quarter)'!C35</f>
        <v>#REF!</v>
      </c>
      <c r="E22" s="64" t="e">
        <f>'Germany (quarter)'!C61</f>
        <v>#REF!</v>
      </c>
      <c r="F22" s="59" t="e">
        <f>'Germany (quarter)'!C69</f>
        <v>#REF!</v>
      </c>
    </row>
    <row r="23" spans="2:6" x14ac:dyDescent="0.35">
      <c r="B23" s="6" t="s">
        <v>40</v>
      </c>
      <c r="C23" s="7"/>
      <c r="D23" s="65" t="e">
        <f>'Germany (quarter)'!C42</f>
        <v>#REF!</v>
      </c>
      <c r="E23" s="64" t="e">
        <f>'Germany (quarter)'!C62</f>
        <v>#REF!</v>
      </c>
      <c r="F23" s="59" t="e">
        <f>'Germany (quarter)'!C70</f>
        <v>#REF!</v>
      </c>
    </row>
    <row r="25" spans="2:6" x14ac:dyDescent="0.35">
      <c r="B25" s="4" t="s">
        <v>41</v>
      </c>
      <c r="C25" s="68"/>
      <c r="D25" s="66" t="s">
        <v>22</v>
      </c>
      <c r="E25" s="63" t="s">
        <v>23</v>
      </c>
      <c r="F25" s="66" t="s">
        <v>24</v>
      </c>
    </row>
    <row r="26" spans="2:6" x14ac:dyDescent="0.35">
      <c r="B26" s="5" t="s">
        <v>25</v>
      </c>
      <c r="C26" s="69"/>
      <c r="D26" s="65" t="e">
        <f>'Italy (quarter)'!C6</f>
        <v>#REF!</v>
      </c>
      <c r="E26" s="64" t="e">
        <f>'Italy (quarter)'!C57</f>
        <v>#REF!</v>
      </c>
      <c r="F26" s="59" t="e">
        <f>'Italy (quarter)'!C65</f>
        <v>#REF!</v>
      </c>
    </row>
    <row r="27" spans="2:6" x14ac:dyDescent="0.35">
      <c r="B27" s="6" t="s">
        <v>42</v>
      </c>
      <c r="C27" s="7"/>
      <c r="D27" s="65" t="e">
        <f>'Italy (quarter)'!C14</f>
        <v>#REF!</v>
      </c>
      <c r="E27" s="64" t="e">
        <f>'Italy (quarter)'!C58</f>
        <v>#REF!</v>
      </c>
      <c r="F27" s="59" t="e">
        <f>'Italy (quarter)'!C66</f>
        <v>#REF!</v>
      </c>
    </row>
    <row r="28" spans="2:6" x14ac:dyDescent="0.35">
      <c r="B28" s="6" t="s">
        <v>100</v>
      </c>
      <c r="C28" s="7"/>
      <c r="D28" s="65" t="e">
        <f>'Italy (quarter)'!C21</f>
        <v>#REF!</v>
      </c>
      <c r="E28" s="64" t="e">
        <f>'Italy (quarter)'!C59</f>
        <v>#REF!</v>
      </c>
      <c r="F28" s="59" t="e">
        <f>'Italy (quarter)'!C67</f>
        <v>#REF!</v>
      </c>
    </row>
    <row r="29" spans="2:6" x14ac:dyDescent="0.35">
      <c r="B29" s="6" t="s">
        <v>44</v>
      </c>
      <c r="C29" s="7"/>
      <c r="D29" s="65" t="e">
        <f>'Italy (quarter)'!C28</f>
        <v>#REF!</v>
      </c>
      <c r="E29" s="64" t="e">
        <f>'Italy (quarter)'!C60</f>
        <v>#REF!</v>
      </c>
      <c r="F29" s="59" t="e">
        <f>'Italy (quarter)'!C68</f>
        <v>#REF!</v>
      </c>
    </row>
    <row r="30" spans="2:6" x14ac:dyDescent="0.35">
      <c r="B30" s="6" t="s">
        <v>45</v>
      </c>
      <c r="C30" s="7"/>
      <c r="D30" s="65" t="e">
        <f>'Italy (quarter)'!C35</f>
        <v>#REF!</v>
      </c>
      <c r="E30" s="64" t="e">
        <f>'Italy (quarter)'!C61</f>
        <v>#REF!</v>
      </c>
      <c r="F30" s="59" t="e">
        <f>'Italy (quarter)'!C69</f>
        <v>#REF!</v>
      </c>
    </row>
    <row r="31" spans="2:6" x14ac:dyDescent="0.35">
      <c r="B31" s="6" t="s">
        <v>46</v>
      </c>
      <c r="C31" s="7"/>
      <c r="D31" s="65" t="e">
        <f>'Italy (quarter)'!C42</f>
        <v>#REF!</v>
      </c>
      <c r="E31" s="65" t="e">
        <f>'Italy (quarter)'!C62</f>
        <v>#REF!</v>
      </c>
      <c r="F31" s="59" t="e">
        <f>'Italy (quarter)'!C70</f>
        <v>#REF!</v>
      </c>
    </row>
    <row r="32" spans="2:6" hidden="1" x14ac:dyDescent="0.35"/>
    <row r="33" spans="2:6" hidden="1" x14ac:dyDescent="0.35">
      <c r="B33" s="4" t="s">
        <v>47</v>
      </c>
      <c r="C33" s="68"/>
      <c r="D33" s="66" t="s">
        <v>22</v>
      </c>
      <c r="E33" s="63" t="s">
        <v>23</v>
      </c>
      <c r="F33" s="66" t="s">
        <v>24</v>
      </c>
    </row>
    <row r="34" spans="2:6" hidden="1" x14ac:dyDescent="0.35">
      <c r="B34" s="5" t="s">
        <v>25</v>
      </c>
      <c r="C34" s="69"/>
      <c r="D34" s="65" t="e">
        <f>#REF!</f>
        <v>#REF!</v>
      </c>
      <c r="E34" s="64" t="e">
        <f>#REF!</f>
        <v>#REF!</v>
      </c>
      <c r="F34" s="59" t="e">
        <f>#REF!</f>
        <v>#REF!</v>
      </c>
    </row>
    <row r="35" spans="2:6" hidden="1" x14ac:dyDescent="0.35">
      <c r="B35" s="6" t="s">
        <v>48</v>
      </c>
      <c r="C35" s="7"/>
      <c r="D35" s="65" t="e">
        <f>#REF!</f>
        <v>#REF!</v>
      </c>
      <c r="E35" s="64" t="e">
        <f>#REF!</f>
        <v>#REF!</v>
      </c>
      <c r="F35" s="59" t="e">
        <f>#REF!</f>
        <v>#REF!</v>
      </c>
    </row>
    <row r="36" spans="2:6" hidden="1" x14ac:dyDescent="0.35">
      <c r="B36" s="6" t="s">
        <v>49</v>
      </c>
      <c r="C36" s="7"/>
      <c r="D36" s="65" t="e">
        <f>#REF!</f>
        <v>#REF!</v>
      </c>
      <c r="E36" s="64" t="e">
        <f>#REF!</f>
        <v>#REF!</v>
      </c>
      <c r="F36" s="59" t="e">
        <f>#REF!</f>
        <v>#REF!</v>
      </c>
    </row>
    <row r="37" spans="2:6" hidden="1" x14ac:dyDescent="0.35">
      <c r="B37" s="6" t="s">
        <v>50</v>
      </c>
      <c r="C37" s="7"/>
      <c r="D37" s="65" t="e">
        <f>#REF!</f>
        <v>#REF!</v>
      </c>
      <c r="E37" s="64" t="e">
        <f>#REF!</f>
        <v>#REF!</v>
      </c>
      <c r="F37" s="59" t="e">
        <f>#REF!</f>
        <v>#REF!</v>
      </c>
    </row>
    <row r="38" spans="2:6" hidden="1" x14ac:dyDescent="0.35">
      <c r="B38" s="6" t="s">
        <v>51</v>
      </c>
      <c r="C38" s="7"/>
      <c r="D38" s="65" t="e">
        <f>#REF!</f>
        <v>#REF!</v>
      </c>
      <c r="E38" s="64" t="e">
        <f>#REF!</f>
        <v>#REF!</v>
      </c>
      <c r="F38" s="59" t="e">
        <f>#REF!</f>
        <v>#REF!</v>
      </c>
    </row>
    <row r="39" spans="2:6" hidden="1" x14ac:dyDescent="0.35">
      <c r="B39" s="6" t="s">
        <v>52</v>
      </c>
      <c r="C39" s="7"/>
      <c r="D39" s="65" t="e">
        <f>#REF!</f>
        <v>#REF!</v>
      </c>
      <c r="E39" s="64" t="e">
        <f>#REF!</f>
        <v>#REF!</v>
      </c>
      <c r="F39" s="59" t="e">
        <f>#REF!</f>
        <v>#REF!</v>
      </c>
    </row>
    <row r="41" spans="2:6" x14ac:dyDescent="0.35">
      <c r="B41" s="4" t="s">
        <v>53</v>
      </c>
      <c r="C41" s="68"/>
      <c r="D41" s="66" t="s">
        <v>22</v>
      </c>
      <c r="E41" s="63" t="s">
        <v>23</v>
      </c>
      <c r="F41" s="66" t="s">
        <v>24</v>
      </c>
    </row>
    <row r="42" spans="2:6" x14ac:dyDescent="0.35">
      <c r="B42" s="5" t="s">
        <v>25</v>
      </c>
      <c r="C42" s="69"/>
      <c r="D42" s="65" t="e">
        <f>'Netherlands (quarter)'!C35</f>
        <v>#REF!</v>
      </c>
      <c r="E42" s="64" t="e">
        <f>'Netherlands (quarter)'!C41</f>
        <v>#REF!</v>
      </c>
      <c r="F42" s="59" t="e">
        <f>'Netherlands (quarter)'!C47</f>
        <v>#REF!</v>
      </c>
    </row>
    <row r="43" spans="2:6" x14ac:dyDescent="0.35">
      <c r="B43" s="6" t="s">
        <v>54</v>
      </c>
      <c r="C43" s="7"/>
      <c r="D43" s="65" t="e">
        <f>'Netherlands (quarter)'!C36</f>
        <v>#REF!</v>
      </c>
      <c r="E43" s="64" t="e">
        <f>'Netherlands (quarter)'!C42</f>
        <v>#REF!</v>
      </c>
      <c r="F43" s="59" t="e">
        <f>'Netherlands (quarter)'!C48</f>
        <v>#REF!</v>
      </c>
    </row>
    <row r="44" spans="2:6" x14ac:dyDescent="0.35">
      <c r="B44" s="6" t="s">
        <v>55</v>
      </c>
      <c r="C44" s="7"/>
      <c r="D44" s="65" t="e">
        <f>'Netherlands (quarter)'!C37</f>
        <v>#REF!</v>
      </c>
      <c r="E44" s="64" t="e">
        <f>'Netherlands (quarter)'!C43</f>
        <v>#REF!</v>
      </c>
      <c r="F44" s="59" t="e">
        <f>'Netherlands (quarter)'!C49</f>
        <v>#REF!</v>
      </c>
    </row>
    <row r="45" spans="2:6" hidden="1" x14ac:dyDescent="0.35">
      <c r="B45" s="6" t="s">
        <v>56</v>
      </c>
      <c r="C45" s="7"/>
      <c r="D45" s="65" t="e">
        <f>'Netherlands (quarter)'!#REF!</f>
        <v>#REF!</v>
      </c>
      <c r="E45" s="64" t="e">
        <f>'Netherlands (quarter)'!#REF!</f>
        <v>#REF!</v>
      </c>
      <c r="F45" s="59" t="e">
        <f>'Netherlands (quarter)'!#REF!</f>
        <v>#REF!</v>
      </c>
    </row>
    <row r="46" spans="2:6" x14ac:dyDescent="0.35">
      <c r="B46" s="6" t="s">
        <v>465</v>
      </c>
      <c r="C46" s="7"/>
      <c r="D46" s="65" t="e">
        <f>'Netherlands (quarter)'!C38</f>
        <v>#REF!</v>
      </c>
      <c r="E46" s="64" t="e">
        <f>'Netherlands (quarter)'!C44</f>
        <v>#REF!</v>
      </c>
      <c r="F46" s="59" t="e">
        <f>'Netherlands (quarter)'!C50</f>
        <v>#REF!</v>
      </c>
    </row>
    <row r="48" spans="2:6" x14ac:dyDescent="0.35">
      <c r="B48" s="4" t="s">
        <v>57</v>
      </c>
      <c r="C48" s="68"/>
      <c r="D48" s="66" t="s">
        <v>22</v>
      </c>
      <c r="E48" s="63" t="s">
        <v>23</v>
      </c>
      <c r="F48" s="66" t="s">
        <v>24</v>
      </c>
    </row>
    <row r="49" spans="2:6" x14ac:dyDescent="0.35">
      <c r="B49" s="5" t="s">
        <v>25</v>
      </c>
      <c r="C49" s="69"/>
      <c r="D49" s="65" t="e">
        <f>'Poland (quarter)'!C49</f>
        <v>#REF!</v>
      </c>
      <c r="E49" s="64" t="e">
        <f>'Poland (quarter)'!C57</f>
        <v>#REF!</v>
      </c>
      <c r="F49" s="59" t="e">
        <f>'Poland (quarter)'!C65</f>
        <v>#REF!</v>
      </c>
    </row>
    <row r="50" spans="2:6" x14ac:dyDescent="0.35">
      <c r="B50" s="6" t="s">
        <v>439</v>
      </c>
      <c r="C50" s="7"/>
      <c r="D50" s="65" t="e">
        <f>'Poland (quarter)'!C50</f>
        <v>#REF!</v>
      </c>
      <c r="E50" s="64" t="e">
        <f>'Poland (quarter)'!C58</f>
        <v>#REF!</v>
      </c>
      <c r="F50" s="59" t="e">
        <f>'Poland (quarter)'!C66</f>
        <v>#REF!</v>
      </c>
    </row>
    <row r="51" spans="2:6" x14ac:dyDescent="0.35">
      <c r="B51" s="6" t="s">
        <v>58</v>
      </c>
      <c r="C51" s="7"/>
      <c r="D51" s="65" t="e">
        <f>'Poland (quarter)'!C51</f>
        <v>#REF!</v>
      </c>
      <c r="E51" s="64" t="e">
        <f>'Poland (quarter)'!C59</f>
        <v>#REF!</v>
      </c>
      <c r="F51" s="59" t="e">
        <f>'Poland (quarter)'!C67</f>
        <v>#REF!</v>
      </c>
    </row>
    <row r="52" spans="2:6" x14ac:dyDescent="0.35">
      <c r="B52" s="6" t="s">
        <v>59</v>
      </c>
      <c r="C52" s="7"/>
      <c r="D52" s="65" t="e">
        <f>'Poland (quarter)'!C52</f>
        <v>#REF!</v>
      </c>
      <c r="E52" s="64" t="e">
        <f>'Poland (quarter)'!C60</f>
        <v>#REF!</v>
      </c>
      <c r="F52" s="59" t="e">
        <f>'Poland (quarter)'!C68</f>
        <v>#REF!</v>
      </c>
    </row>
    <row r="53" spans="2:6" x14ac:dyDescent="0.35">
      <c r="B53" s="6" t="s">
        <v>60</v>
      </c>
      <c r="C53" s="7"/>
      <c r="D53" s="65" t="e">
        <f>'Poland (quarter)'!C53</f>
        <v>#REF!</v>
      </c>
      <c r="E53" s="64" t="e">
        <f>'Poland (quarter)'!C61</f>
        <v>#REF!</v>
      </c>
      <c r="F53" s="59" t="e">
        <f>'Poland (quarter)'!C69</f>
        <v>#REF!</v>
      </c>
    </row>
    <row r="54" spans="2:6" x14ac:dyDescent="0.35">
      <c r="B54" s="6" t="s">
        <v>61</v>
      </c>
      <c r="C54" s="7"/>
      <c r="D54" s="65" t="e">
        <f>'Poland (quarter)'!C54</f>
        <v>#REF!</v>
      </c>
      <c r="E54" s="64" t="e">
        <f>'Poland (quarter)'!C62</f>
        <v>#REF!</v>
      </c>
      <c r="F54" s="59" t="e">
        <f>'Poland (quarter)'!C70</f>
        <v>#REF!</v>
      </c>
    </row>
    <row r="56" spans="2:6" x14ac:dyDescent="0.35">
      <c r="B56" s="4" t="s">
        <v>62</v>
      </c>
      <c r="C56" s="68"/>
      <c r="D56" s="66" t="s">
        <v>22</v>
      </c>
      <c r="E56" s="63" t="s">
        <v>23</v>
      </c>
      <c r="F56" s="66" t="s">
        <v>24</v>
      </c>
    </row>
    <row r="57" spans="2:6" x14ac:dyDescent="0.35">
      <c r="B57" s="5" t="s">
        <v>25</v>
      </c>
      <c r="C57" s="69"/>
      <c r="D57" s="65" t="e">
        <f>'Romania (quarter)'!C42</f>
        <v>#REF!</v>
      </c>
      <c r="E57" s="64" t="e">
        <f>'Romania (quarter)'!C49</f>
        <v>#REF!</v>
      </c>
      <c r="F57" s="59" t="e">
        <f>'Romania (quarter)'!C56</f>
        <v>#REF!</v>
      </c>
    </row>
    <row r="58" spans="2:6" x14ac:dyDescent="0.35">
      <c r="B58" s="70" t="s">
        <v>63</v>
      </c>
      <c r="C58" s="7"/>
      <c r="D58" s="65" t="e">
        <f>'Romania (quarter)'!C43</f>
        <v>#REF!</v>
      </c>
      <c r="E58" s="64" t="e">
        <f>'Romania (quarter)'!C50</f>
        <v>#REF!</v>
      </c>
      <c r="F58" s="59" t="e">
        <f>'Romania (quarter)'!C57</f>
        <v>#REF!</v>
      </c>
    </row>
    <row r="59" spans="2:6" x14ac:dyDescent="0.35">
      <c r="B59" s="70" t="s">
        <v>64</v>
      </c>
      <c r="C59" s="7"/>
      <c r="D59" s="65" t="e">
        <f>'Romania (quarter)'!C44</f>
        <v>#REF!</v>
      </c>
      <c r="E59" s="64" t="e">
        <f>'Romania (quarter)'!C51</f>
        <v>#REF!</v>
      </c>
      <c r="F59" s="59" t="e">
        <f>'Romania (quarter)'!C58</f>
        <v>#REF!</v>
      </c>
    </row>
    <row r="60" spans="2:6" x14ac:dyDescent="0.35">
      <c r="B60" s="70" t="s">
        <v>65</v>
      </c>
      <c r="C60" s="7"/>
      <c r="D60" s="65" t="e">
        <f>'Romania (quarter)'!C45</f>
        <v>#REF!</v>
      </c>
      <c r="E60" s="64" t="e">
        <f>'Romania (quarter)'!C52</f>
        <v>#REF!</v>
      </c>
      <c r="F60" s="59" t="e">
        <f>'Romania (quarter)'!C59</f>
        <v>#REF!</v>
      </c>
    </row>
    <row r="61" spans="2:6" x14ac:dyDescent="0.35">
      <c r="B61" s="70" t="s">
        <v>66</v>
      </c>
      <c r="C61" s="7"/>
      <c r="D61" s="65" t="e">
        <f>'Romania (quarter)'!C46</f>
        <v>#REF!</v>
      </c>
      <c r="E61" s="64" t="e">
        <f>'Romania (quarter)'!C53</f>
        <v>#REF!</v>
      </c>
      <c r="F61" s="59" t="e">
        <f>'Romania (quarter)'!C60</f>
        <v>#REF!</v>
      </c>
    </row>
    <row r="63" spans="2:6" x14ac:dyDescent="0.35">
      <c r="B63" s="4" t="s">
        <v>67</v>
      </c>
      <c r="C63" s="68"/>
      <c r="D63" s="66" t="s">
        <v>22</v>
      </c>
      <c r="E63" s="63" t="s">
        <v>23</v>
      </c>
      <c r="F63" s="66" t="s">
        <v>24</v>
      </c>
    </row>
    <row r="64" spans="2:6" x14ac:dyDescent="0.35">
      <c r="B64" s="5" t="s">
        <v>25</v>
      </c>
      <c r="C64" s="69"/>
      <c r="D64" s="65" t="e">
        <f>'Spain (quarter)'!C42</f>
        <v>#REF!</v>
      </c>
      <c r="E64" s="64" t="e">
        <f>'Spain (quarter)'!C49</f>
        <v>#REF!</v>
      </c>
      <c r="F64" s="59" t="e">
        <f>'Spain (quarter)'!C56</f>
        <v>#REF!</v>
      </c>
    </row>
    <row r="65" spans="2:6" x14ac:dyDescent="0.35">
      <c r="B65" s="71" t="s">
        <v>68</v>
      </c>
      <c r="C65" s="7"/>
      <c r="D65" s="65" t="e">
        <f>'Spain (quarter)'!C43</f>
        <v>#REF!</v>
      </c>
      <c r="E65" s="64" t="e">
        <f>'Spain (quarter)'!C50</f>
        <v>#REF!</v>
      </c>
      <c r="F65" s="59" t="e">
        <f>'Spain (quarter)'!C57</f>
        <v>#REF!</v>
      </c>
    </row>
    <row r="66" spans="2:6" x14ac:dyDescent="0.35">
      <c r="B66" s="71" t="s">
        <v>69</v>
      </c>
      <c r="C66" s="7"/>
      <c r="D66" s="65" t="e">
        <f>'Spain (quarter)'!C44</f>
        <v>#REF!</v>
      </c>
      <c r="E66" s="64" t="e">
        <f>'Spain (quarter)'!C51</f>
        <v>#REF!</v>
      </c>
      <c r="F66" s="59" t="e">
        <f>'Spain (quarter)'!C58</f>
        <v>#REF!</v>
      </c>
    </row>
    <row r="67" spans="2:6" x14ac:dyDescent="0.35">
      <c r="B67" s="71" t="s">
        <v>70</v>
      </c>
      <c r="C67" s="7"/>
      <c r="D67" s="65" t="e">
        <f>'Spain (quarter)'!C45</f>
        <v>#REF!</v>
      </c>
      <c r="E67" s="64" t="e">
        <f>'Spain (quarter)'!C52</f>
        <v>#REF!</v>
      </c>
      <c r="F67" s="59" t="e">
        <f>'Spain (quarter)'!C59</f>
        <v>#REF!</v>
      </c>
    </row>
    <row r="68" spans="2:6" x14ac:dyDescent="0.35">
      <c r="B68" s="71" t="s">
        <v>71</v>
      </c>
      <c r="C68" s="7"/>
      <c r="D68" s="65" t="e">
        <f>'Spain (quarter)'!C46</f>
        <v>#REF!</v>
      </c>
      <c r="E68" s="64" t="e">
        <f>'Spain (quarter)'!C53</f>
        <v>#REF!</v>
      </c>
      <c r="F68" s="59" t="e">
        <f>'Spain (quarter)'!C60</f>
        <v>#REF!</v>
      </c>
    </row>
    <row r="70" spans="2:6" x14ac:dyDescent="0.35">
      <c r="B70" s="4" t="s">
        <v>72</v>
      </c>
      <c r="C70" s="68"/>
      <c r="D70" s="66" t="s">
        <v>22</v>
      </c>
      <c r="E70" s="63" t="s">
        <v>23</v>
      </c>
      <c r="F70" s="66" t="s">
        <v>24</v>
      </c>
    </row>
    <row r="71" spans="2:6" x14ac:dyDescent="0.35">
      <c r="B71" s="5" t="s">
        <v>25</v>
      </c>
      <c r="C71" s="69"/>
      <c r="D71" s="65" t="e">
        <f>'Turkey (quarter)'!C42</f>
        <v>#REF!</v>
      </c>
      <c r="E71" s="64" t="e">
        <f>'Turkey (quarter)'!C49</f>
        <v>#REF!</v>
      </c>
      <c r="F71" s="59" t="e">
        <f>'Turkey (quarter)'!C56</f>
        <v>#REF!</v>
      </c>
    </row>
    <row r="72" spans="2:6" x14ac:dyDescent="0.35">
      <c r="B72" s="70" t="s">
        <v>73</v>
      </c>
      <c r="C72" s="7"/>
      <c r="D72" s="65" t="e">
        <f>'Turkey (quarter)'!C43</f>
        <v>#REF!</v>
      </c>
      <c r="E72" s="64" t="e">
        <f>'Turkey (quarter)'!C50</f>
        <v>#REF!</v>
      </c>
      <c r="F72" s="59" t="e">
        <f>'Turkey (quarter)'!C57</f>
        <v>#REF!</v>
      </c>
    </row>
    <row r="73" spans="2:6" x14ac:dyDescent="0.35">
      <c r="B73" s="70" t="s">
        <v>74</v>
      </c>
      <c r="C73" s="7"/>
      <c r="D73" s="65" t="e">
        <f>'Turkey (quarter)'!C44</f>
        <v>#REF!</v>
      </c>
      <c r="E73" s="64" t="e">
        <f>'Turkey (quarter)'!C51</f>
        <v>#REF!</v>
      </c>
      <c r="F73" s="59" t="e">
        <f>'Turkey (quarter)'!C58</f>
        <v>#REF!</v>
      </c>
    </row>
    <row r="74" spans="2:6" x14ac:dyDescent="0.35">
      <c r="B74" s="70" t="s">
        <v>75</v>
      </c>
      <c r="C74" s="7"/>
      <c r="D74" s="65" t="e">
        <f>'Turkey (quarter)'!C45</f>
        <v>#REF!</v>
      </c>
      <c r="E74" s="64" t="e">
        <f>'Turkey (quarter)'!C52</f>
        <v>#REF!</v>
      </c>
      <c r="F74" s="59" t="e">
        <f>'Turkey (quarter)'!C59</f>
        <v>#REF!</v>
      </c>
    </row>
    <row r="75" spans="2:6" x14ac:dyDescent="0.35">
      <c r="B75" s="70" t="s">
        <v>76</v>
      </c>
      <c r="C75" s="7"/>
      <c r="D75" s="65" t="e">
        <f>'Turkey (quarter)'!C46</f>
        <v>#REF!</v>
      </c>
      <c r="E75" s="64" t="e">
        <f>'Turkey (quarter)'!C53</f>
        <v>#REF!</v>
      </c>
      <c r="F75" s="59" t="e">
        <f>'Turkey (quarter)'!C60</f>
        <v>#REF!</v>
      </c>
    </row>
  </sheetData>
  <mergeCells count="1">
    <mergeCell ref="D2:F2"/>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80C6-8CF0-4417-9F4E-8D30B6089AA6}">
  <sheetPr codeName="Sheet2">
    <tabColor theme="5"/>
  </sheetPr>
  <dimension ref="B1:L173"/>
  <sheetViews>
    <sheetView tabSelected="1"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zeroHeight="1" x14ac:dyDescent="0.35"/>
  <cols>
    <col min="1" max="1" width="1.54296875" style="31" customWidth="1"/>
    <col min="2" max="2" width="54" style="8" bestFit="1" customWidth="1"/>
    <col min="3" max="3" width="9.453125" style="171"/>
    <col min="4" max="4" width="19.1796875" style="172" bestFit="1" customWidth="1"/>
    <col min="5" max="5" width="9.453125" style="173"/>
    <col min="6" max="6" width="9.453125" style="171"/>
    <col min="7" max="7" width="19.1796875" style="172" bestFit="1" customWidth="1"/>
    <col min="8" max="8" width="9.453125" style="173"/>
    <col min="9" max="9" width="9.453125" style="171"/>
    <col min="10" max="10" width="19.1796875" style="172" bestFit="1" customWidth="1"/>
    <col min="11" max="11" width="9.453125" style="173"/>
    <col min="12" max="16384" width="9.453125" style="31"/>
  </cols>
  <sheetData>
    <row r="1" spans="2:12" ht="6.75" customHeight="1" thickBot="1" x14ac:dyDescent="0.4">
      <c r="B1" s="30"/>
      <c r="C1" s="31"/>
      <c r="D1" s="31"/>
      <c r="E1" s="31"/>
      <c r="F1" s="31"/>
      <c r="G1" s="31"/>
      <c r="H1" s="31"/>
      <c r="I1" s="31"/>
      <c r="J1" s="31"/>
      <c r="K1" s="31"/>
    </row>
    <row r="2" spans="2:12" ht="41.25" customHeight="1" x14ac:dyDescent="0.35">
      <c r="B2" s="32" t="s">
        <v>556</v>
      </c>
      <c r="C2" s="182" t="s">
        <v>638</v>
      </c>
      <c r="D2" s="183"/>
      <c r="E2" s="184"/>
      <c r="F2" s="182" t="s">
        <v>644</v>
      </c>
      <c r="G2" s="183"/>
      <c r="H2" s="184"/>
      <c r="I2" s="182" t="s">
        <v>650</v>
      </c>
      <c r="J2" s="183"/>
      <c r="K2" s="184"/>
    </row>
    <row r="3" spans="2:12" x14ac:dyDescent="0.35">
      <c r="C3" s="31"/>
      <c r="D3" s="31"/>
      <c r="E3" s="33"/>
      <c r="F3" s="31"/>
      <c r="G3" s="31"/>
      <c r="H3" s="33"/>
      <c r="I3" s="31"/>
      <c r="J3" s="31"/>
      <c r="K3" s="33"/>
    </row>
    <row r="4" spans="2:12" x14ac:dyDescent="0.35">
      <c r="B4" s="4" t="s">
        <v>21</v>
      </c>
      <c r="C4" s="137" t="s">
        <v>22</v>
      </c>
      <c r="D4" s="63" t="s">
        <v>23</v>
      </c>
      <c r="E4" s="138" t="s">
        <v>24</v>
      </c>
      <c r="F4" s="137" t="s">
        <v>22</v>
      </c>
      <c r="G4" s="63" t="s">
        <v>23</v>
      </c>
      <c r="H4" s="138" t="s">
        <v>24</v>
      </c>
      <c r="I4" s="137" t="s">
        <v>22</v>
      </c>
      <c r="J4" s="63" t="s">
        <v>23</v>
      </c>
      <c r="K4" s="138" t="s">
        <v>24</v>
      </c>
    </row>
    <row r="5" spans="2:12" x14ac:dyDescent="0.35">
      <c r="B5" s="6" t="s">
        <v>27</v>
      </c>
      <c r="C5" s="174">
        <f>'Australia (Month)'!C42</f>
        <v>43.719344107770993</v>
      </c>
      <c r="D5" s="175">
        <f>RANK(C5,$C$5:$C$22,0)</f>
        <v>3</v>
      </c>
      <c r="E5" s="176">
        <f>'Australia (Month)'!C57</f>
        <v>331</v>
      </c>
      <c r="F5" s="174">
        <f>'Australia (Month)'!D42</f>
        <v>42.72414002181165</v>
      </c>
      <c r="G5" s="175">
        <f>RANK(F5,$F$5:$F$22,0)</f>
        <v>2</v>
      </c>
      <c r="H5" s="176">
        <f>'Australia (Month)'!D57</f>
        <v>401</v>
      </c>
      <c r="I5" s="174">
        <f>'Australia (Month)'!E42</f>
        <v>43.929885675580593</v>
      </c>
      <c r="J5" s="175">
        <f>RANK(I5,$I$5:$I$22,0)</f>
        <v>1</v>
      </c>
      <c r="K5" s="176">
        <f>'Australia (Month)'!E57</f>
        <v>391</v>
      </c>
    </row>
    <row r="6" spans="2:12" x14ac:dyDescent="0.35">
      <c r="B6" s="6" t="s">
        <v>26</v>
      </c>
      <c r="C6" s="174">
        <f>'Australia (Month)'!C24</f>
        <v>44.621824545878482</v>
      </c>
      <c r="D6" s="175">
        <f>RANK(C6,$C$5:$C$22,0)</f>
        <v>2</v>
      </c>
      <c r="E6" s="176">
        <f>'Australia (Month)'!C39</f>
        <v>124</v>
      </c>
      <c r="F6" s="174">
        <f>'Australia (Month)'!D24</f>
        <v>42.48852795603203</v>
      </c>
      <c r="G6" s="175">
        <f>RANK(F6,$F$5:$F$22,0)</f>
        <v>3</v>
      </c>
      <c r="H6" s="176">
        <f>'Australia (Month)'!D39</f>
        <v>157</v>
      </c>
      <c r="I6" s="174">
        <f>'Australia (Month)'!E24</f>
        <v>38.373294993657318</v>
      </c>
      <c r="J6" s="175">
        <f>RANK(I6,$I$5:$I$22,0)</f>
        <v>2</v>
      </c>
      <c r="K6" s="176">
        <f>'Australia (Month)'!E39</f>
        <v>149</v>
      </c>
    </row>
    <row r="7" spans="2:12" x14ac:dyDescent="0.35">
      <c r="B7" s="6" t="s">
        <v>29</v>
      </c>
      <c r="C7" s="174">
        <f>'Australia (Month)'!C78</f>
        <v>50.112198676038702</v>
      </c>
      <c r="D7" s="175">
        <f>RANK(C7,$C$5:$C$22,0)</f>
        <v>1</v>
      </c>
      <c r="E7" s="176">
        <f>'Australia (Month)'!C93</f>
        <v>113</v>
      </c>
      <c r="F7" s="174">
        <f>'Australia (Month)'!D78</f>
        <v>44.665324173376497</v>
      </c>
      <c r="G7" s="175">
        <f>RANK(F7,$F$5:$F$22,0)</f>
        <v>1</v>
      </c>
      <c r="H7" s="176">
        <f>'Australia (Month)'!D93</f>
        <v>141</v>
      </c>
      <c r="I7" s="174">
        <f>'Australia (Month)'!E78</f>
        <v>37.664560734000382</v>
      </c>
      <c r="J7" s="175">
        <f>RANK(I7,$I$5:$I$22,0)</f>
        <v>3</v>
      </c>
      <c r="K7" s="176">
        <f>'Australia (Month)'!E93</f>
        <v>137</v>
      </c>
    </row>
    <row r="8" spans="2:12" x14ac:dyDescent="0.35">
      <c r="B8" s="6" t="s">
        <v>28</v>
      </c>
      <c r="C8" s="174">
        <f>'Australia (Month)'!C60</f>
        <v>31.411083736109731</v>
      </c>
      <c r="D8" s="175">
        <f>RANK(C8,$C$5:$C$22,0)</f>
        <v>4</v>
      </c>
      <c r="E8" s="176">
        <f>'Australia (Month)'!C75</f>
        <v>104</v>
      </c>
      <c r="F8" s="174">
        <f>'Australia (Month)'!D60</f>
        <v>29.606532622579561</v>
      </c>
      <c r="G8" s="175">
        <f>RANK(F8,$F$5:$F$22,0)</f>
        <v>4</v>
      </c>
      <c r="H8" s="176">
        <f>'Australia (Month)'!D75</f>
        <v>120</v>
      </c>
      <c r="I8" s="174">
        <f>'Australia (Month)'!E60</f>
        <v>29.562952844438659</v>
      </c>
      <c r="J8" s="175">
        <f>RANK(I8,$I$5:$I$22,0)</f>
        <v>4</v>
      </c>
      <c r="K8" s="176">
        <f>'Australia (Month)'!E75</f>
        <v>117</v>
      </c>
    </row>
    <row r="9" spans="2:12" s="34" customFormat="1" x14ac:dyDescent="0.35">
      <c r="B9" s="5" t="s">
        <v>25</v>
      </c>
      <c r="C9" s="174">
        <f>'Australia (Month)'!C6</f>
        <v>17.404864634445641</v>
      </c>
      <c r="D9" s="175">
        <f>RANK(C9,$C$5:$C$22,0)</f>
        <v>5</v>
      </c>
      <c r="E9" s="176">
        <f>'Australia (Month)'!C21</f>
        <v>42</v>
      </c>
      <c r="F9" s="174">
        <f>'Australia (Month)'!D6</f>
        <v>20.861557045422568</v>
      </c>
      <c r="G9" s="175">
        <f>RANK(F9,$F$5:$F$22,0)</f>
        <v>5</v>
      </c>
      <c r="H9" s="176">
        <f>'Australia (Month)'!D21</f>
        <v>53</v>
      </c>
      <c r="I9" s="174">
        <f>'Australia (Month)'!E6</f>
        <v>13.98320714742195</v>
      </c>
      <c r="J9" s="175">
        <f>RANK(I9,$I$5:$I$22,0)</f>
        <v>5</v>
      </c>
      <c r="K9" s="176">
        <f>'Australia (Month)'!E21</f>
        <v>48</v>
      </c>
      <c r="L9" s="192"/>
    </row>
    <row r="10" spans="2:12" s="36" customFormat="1" x14ac:dyDescent="0.35">
      <c r="B10" s="6" t="s">
        <v>77</v>
      </c>
      <c r="C10" s="171" t="str">
        <f>'Australia (Month)'!C96</f>
        <v>Low N</v>
      </c>
      <c r="D10" s="172" t="s">
        <v>43</v>
      </c>
      <c r="E10" s="173">
        <f>'Australia (Month)'!C111</f>
        <v>39</v>
      </c>
      <c r="F10" s="171" t="str">
        <f>'Australia (Month)'!D96</f>
        <v>Low N</v>
      </c>
      <c r="G10" s="172" t="s">
        <v>43</v>
      </c>
      <c r="H10" s="173">
        <f>'Australia (Month)'!D111</f>
        <v>53</v>
      </c>
      <c r="I10" s="171" t="str">
        <f>'Australia (Month)'!E96</f>
        <v>Low N</v>
      </c>
      <c r="J10" s="172" t="s">
        <v>43</v>
      </c>
      <c r="K10" s="173">
        <f>'Australia (Month)'!E111</f>
        <v>52</v>
      </c>
    </row>
    <row r="11" spans="2:12" s="36" customFormat="1" x14ac:dyDescent="0.35">
      <c r="B11" s="6" t="s">
        <v>78</v>
      </c>
      <c r="C11" s="171" t="str">
        <f>'Australia (Month)'!C114</f>
        <v>Low N</v>
      </c>
      <c r="D11" s="172" t="s">
        <v>43</v>
      </c>
      <c r="E11" s="173">
        <f>'Australia (Month)'!C129</f>
        <v>19</v>
      </c>
      <c r="F11" s="171" t="str">
        <f>'Australia (Month)'!D114</f>
        <v>Low N</v>
      </c>
      <c r="G11" s="172" t="s">
        <v>43</v>
      </c>
      <c r="H11" s="173">
        <f>'Australia (Month)'!D129</f>
        <v>25</v>
      </c>
      <c r="I11" s="171" t="str">
        <f>'Australia (Month)'!E114</f>
        <v>Low N</v>
      </c>
      <c r="J11" s="172" t="s">
        <v>43</v>
      </c>
      <c r="K11" s="173">
        <f>'Australia (Month)'!E129</f>
        <v>25</v>
      </c>
    </row>
    <row r="12" spans="2:12" s="36" customFormat="1" x14ac:dyDescent="0.35">
      <c r="B12" s="6" t="s">
        <v>79</v>
      </c>
      <c r="C12" s="171" t="str">
        <f>'Australia (Month)'!C132</f>
        <v>Low N</v>
      </c>
      <c r="D12" s="172" t="s">
        <v>43</v>
      </c>
      <c r="E12" s="173">
        <f>'Australia (Month)'!C147</f>
        <v>25</v>
      </c>
      <c r="F12" s="171" t="str">
        <f>'Australia (Month)'!D132</f>
        <v>Low N</v>
      </c>
      <c r="G12" s="172" t="s">
        <v>43</v>
      </c>
      <c r="H12" s="173">
        <f>'Australia (Month)'!D147</f>
        <v>31</v>
      </c>
      <c r="I12" s="171" t="str">
        <f>'Australia (Month)'!E132</f>
        <v>Low N</v>
      </c>
      <c r="J12" s="172" t="s">
        <v>43</v>
      </c>
      <c r="K12" s="173">
        <f>'Australia (Month)'!E147</f>
        <v>26</v>
      </c>
    </row>
    <row r="13" spans="2:12" s="36" customFormat="1" x14ac:dyDescent="0.35">
      <c r="B13" s="6" t="s">
        <v>80</v>
      </c>
      <c r="C13" s="171" t="str">
        <f>'Australia (Month)'!C150</f>
        <v>Low N</v>
      </c>
      <c r="D13" s="172" t="s">
        <v>43</v>
      </c>
      <c r="E13" s="173">
        <f>'Australia (Month)'!C165</f>
        <v>13</v>
      </c>
      <c r="F13" s="171" t="str">
        <f>'Australia (Month)'!D150</f>
        <v>Low N</v>
      </c>
      <c r="G13" s="172" t="s">
        <v>43</v>
      </c>
      <c r="H13" s="173">
        <f>'Australia (Month)'!D165</f>
        <v>14</v>
      </c>
      <c r="I13" s="171" t="str">
        <f>'Australia (Month)'!E150</f>
        <v>Low N</v>
      </c>
      <c r="J13" s="172" t="s">
        <v>43</v>
      </c>
      <c r="K13" s="173">
        <f>'Australia (Month)'!E165</f>
        <v>13</v>
      </c>
    </row>
    <row r="14" spans="2:12" s="36" customFormat="1" x14ac:dyDescent="0.35">
      <c r="B14" s="6" t="s">
        <v>81</v>
      </c>
      <c r="C14" s="171" t="str">
        <f>'Australia (Month)'!C168</f>
        <v>Low N</v>
      </c>
      <c r="D14" s="172" t="s">
        <v>43</v>
      </c>
      <c r="E14" s="173">
        <f>'Australia (Month)'!C183</f>
        <v>34</v>
      </c>
      <c r="F14" s="171" t="str">
        <f>'Australia (Month)'!D168</f>
        <v>Low N</v>
      </c>
      <c r="G14" s="172" t="s">
        <v>43</v>
      </c>
      <c r="H14" s="173">
        <f>'Australia (Month)'!D183</f>
        <v>43</v>
      </c>
      <c r="I14" s="171" t="str">
        <f>'Australia (Month)'!E168</f>
        <v>Low N</v>
      </c>
      <c r="J14" s="172" t="s">
        <v>43</v>
      </c>
      <c r="K14" s="173">
        <f>'Australia (Month)'!E183</f>
        <v>40</v>
      </c>
    </row>
    <row r="15" spans="2:12" s="36" customFormat="1" x14ac:dyDescent="0.35">
      <c r="B15" s="6" t="s">
        <v>82</v>
      </c>
      <c r="C15" s="171" t="str">
        <f>'Australia (Month)'!C186</f>
        <v>Low N</v>
      </c>
      <c r="D15" s="172" t="s">
        <v>43</v>
      </c>
      <c r="E15" s="173">
        <f>'Australia (Month)'!C201</f>
        <v>53</v>
      </c>
      <c r="F15" s="171" t="str">
        <f>'Australia (Month)'!D186</f>
        <v>Low N</v>
      </c>
      <c r="G15" s="172" t="s">
        <v>43</v>
      </c>
      <c r="H15" s="173">
        <f>'Australia (Month)'!D201</f>
        <v>67</v>
      </c>
      <c r="I15" s="171" t="str">
        <f>'Australia (Month)'!E186</f>
        <v>Low N</v>
      </c>
      <c r="J15" s="172" t="s">
        <v>43</v>
      </c>
      <c r="K15" s="173">
        <f>'Australia (Month)'!E201</f>
        <v>49</v>
      </c>
    </row>
    <row r="16" spans="2:12" s="36" customFormat="1" x14ac:dyDescent="0.35">
      <c r="B16" s="6" t="s">
        <v>83</v>
      </c>
      <c r="C16" s="171" t="str">
        <f>'Australia (Month)'!C204</f>
        <v>Low N</v>
      </c>
      <c r="D16" s="172" t="s">
        <v>43</v>
      </c>
      <c r="E16" s="173">
        <f>'Australia (Month)'!C219</f>
        <v>55</v>
      </c>
      <c r="F16" s="171" t="str">
        <f>'Australia (Month)'!D204</f>
        <v>Low N</v>
      </c>
      <c r="G16" s="172" t="s">
        <v>43</v>
      </c>
      <c r="H16" s="173">
        <f>'Australia (Month)'!D219</f>
        <v>68</v>
      </c>
      <c r="I16" s="171" t="str">
        <f>'Australia (Month)'!E204</f>
        <v>Low N</v>
      </c>
      <c r="J16" s="172" t="s">
        <v>43</v>
      </c>
      <c r="K16" s="173">
        <f>'Australia (Month)'!E219</f>
        <v>65</v>
      </c>
    </row>
    <row r="17" spans="2:12" s="36" customFormat="1" x14ac:dyDescent="0.35">
      <c r="B17" s="6" t="s">
        <v>84</v>
      </c>
      <c r="C17" s="171" t="str">
        <f>'Australia (Month)'!C222</f>
        <v>Low N</v>
      </c>
      <c r="D17" s="172" t="s">
        <v>43</v>
      </c>
      <c r="E17" s="173">
        <f>'Australia (Month)'!C237</f>
        <v>13</v>
      </c>
      <c r="F17" s="171" t="str">
        <f>'Australia (Month)'!D222</f>
        <v>Low N</v>
      </c>
      <c r="G17" s="172" t="s">
        <v>43</v>
      </c>
      <c r="H17" s="173">
        <f>'Australia (Month)'!D237</f>
        <v>16</v>
      </c>
      <c r="I17" s="171" t="str">
        <f>'Australia (Month)'!E222</f>
        <v>Low N</v>
      </c>
      <c r="J17" s="172" t="s">
        <v>43</v>
      </c>
      <c r="K17" s="173">
        <f>'Australia (Month)'!E237</f>
        <v>15</v>
      </c>
    </row>
    <row r="18" spans="2:12" s="36" customFormat="1" x14ac:dyDescent="0.35">
      <c r="B18" s="6" t="s">
        <v>85</v>
      </c>
      <c r="C18" s="171" t="str">
        <f>'Australia (Month)'!C240</f>
        <v>Low N</v>
      </c>
      <c r="D18" s="172" t="s">
        <v>43</v>
      </c>
      <c r="E18" s="173">
        <f>'Australia (Month)'!C255</f>
        <v>34</v>
      </c>
      <c r="F18" s="171" t="str">
        <f>'Australia (Month)'!D240</f>
        <v>Low N</v>
      </c>
      <c r="G18" s="172" t="s">
        <v>43</v>
      </c>
      <c r="H18" s="173">
        <f>'Australia (Month)'!D255</f>
        <v>39</v>
      </c>
      <c r="I18" s="171" t="str">
        <f>'Australia (Month)'!E240</f>
        <v>Low N</v>
      </c>
      <c r="J18" s="172" t="s">
        <v>43</v>
      </c>
      <c r="K18" s="173">
        <f>'Australia (Month)'!E255</f>
        <v>34</v>
      </c>
    </row>
    <row r="19" spans="2:12" s="36" customFormat="1" x14ac:dyDescent="0.35">
      <c r="B19" s="6" t="s">
        <v>86</v>
      </c>
      <c r="C19" s="171" t="str">
        <f>'Australia (Month)'!C258</f>
        <v>Low N</v>
      </c>
      <c r="D19" s="172" t="s">
        <v>43</v>
      </c>
      <c r="E19" s="173">
        <f>'Australia (Month)'!C273</f>
        <v>32</v>
      </c>
      <c r="F19" s="171" t="str">
        <f>'Australia (Month)'!D258</f>
        <v>Low N</v>
      </c>
      <c r="G19" s="172" t="s">
        <v>43</v>
      </c>
      <c r="H19" s="173">
        <f>'Australia (Month)'!D273</f>
        <v>39</v>
      </c>
      <c r="I19" s="171" t="str">
        <f>'Australia (Month)'!E258</f>
        <v>Low N</v>
      </c>
      <c r="J19" s="172" t="s">
        <v>43</v>
      </c>
      <c r="K19" s="173">
        <f>'Australia (Month)'!E273</f>
        <v>33</v>
      </c>
    </row>
    <row r="20" spans="2:12" s="36" customFormat="1" x14ac:dyDescent="0.35">
      <c r="B20" s="6" t="s">
        <v>87</v>
      </c>
      <c r="C20" s="171" t="str">
        <f>'Australia (Month)'!C276</f>
        <v>Low N</v>
      </c>
      <c r="D20" s="172" t="s">
        <v>43</v>
      </c>
      <c r="E20" s="173">
        <f>'Australia (Month)'!C291</f>
        <v>14</v>
      </c>
      <c r="F20" s="171" t="str">
        <f>'Australia (Month)'!D276</f>
        <v>Low N</v>
      </c>
      <c r="G20" s="172" t="s">
        <v>43</v>
      </c>
      <c r="H20" s="173">
        <f>'Australia (Month)'!D291</f>
        <v>15</v>
      </c>
      <c r="I20" s="171" t="str">
        <f>'Australia (Month)'!E276</f>
        <v>Low N</v>
      </c>
      <c r="J20" s="172" t="s">
        <v>43</v>
      </c>
      <c r="K20" s="173">
        <f>'Australia (Month)'!E291</f>
        <v>19</v>
      </c>
    </row>
    <row r="21" spans="2:12" s="36" customFormat="1" x14ac:dyDescent="0.35">
      <c r="B21" s="6" t="s">
        <v>105</v>
      </c>
      <c r="C21" s="171" t="str">
        <f>'Australia (Month)'!C294</f>
        <v>Low N</v>
      </c>
      <c r="D21" s="172" t="s">
        <v>43</v>
      </c>
      <c r="E21" s="173">
        <f>'Australia (Month)'!C309</f>
        <v>30</v>
      </c>
      <c r="F21" s="171" t="str">
        <f>'Australia (Month)'!D294</f>
        <v>Low N</v>
      </c>
      <c r="G21" s="172" t="s">
        <v>43</v>
      </c>
      <c r="H21" s="173">
        <f>'Australia (Month)'!D309</f>
        <v>40</v>
      </c>
      <c r="I21" s="171" t="str">
        <f>'Australia (Month)'!E294</f>
        <v>Low N</v>
      </c>
      <c r="J21" s="172" t="s">
        <v>43</v>
      </c>
      <c r="K21" s="173">
        <f>'Australia (Month)'!E309</f>
        <v>42</v>
      </c>
    </row>
    <row r="22" spans="2:12" s="36" customFormat="1" x14ac:dyDescent="0.35">
      <c r="B22" s="6" t="s">
        <v>449</v>
      </c>
      <c r="C22" s="171" t="str">
        <f>'Australia (Month)'!C312</f>
        <v>Low N</v>
      </c>
      <c r="D22" s="172" t="s">
        <v>43</v>
      </c>
      <c r="E22" s="173">
        <f>'Australia (Month)'!C327</f>
        <v>13</v>
      </c>
      <c r="F22" s="171" t="str">
        <f>'Australia (Month)'!D312</f>
        <v>Low N</v>
      </c>
      <c r="G22" s="172" t="s">
        <v>43</v>
      </c>
      <c r="H22" s="173">
        <f>'Australia (Month)'!D327</f>
        <v>14</v>
      </c>
      <c r="I22" s="171" t="str">
        <f>'Australia (Month)'!E312</f>
        <v>Low N</v>
      </c>
      <c r="J22" s="172" t="s">
        <v>43</v>
      </c>
      <c r="K22" s="173">
        <f>'Australia (Month)'!E327</f>
        <v>14</v>
      </c>
    </row>
    <row r="23" spans="2:12" x14ac:dyDescent="0.35">
      <c r="B23" s="7"/>
      <c r="C23" s="139"/>
      <c r="D23" s="62"/>
      <c r="E23" s="33"/>
      <c r="F23" s="139"/>
      <c r="G23" s="62"/>
      <c r="H23" s="33"/>
      <c r="I23" s="139"/>
      <c r="J23" s="62"/>
      <c r="K23" s="33"/>
    </row>
    <row r="24" spans="2:12" x14ac:dyDescent="0.35">
      <c r="B24" s="4" t="s">
        <v>30</v>
      </c>
      <c r="C24" s="137" t="s">
        <v>22</v>
      </c>
      <c r="D24" s="63" t="s">
        <v>23</v>
      </c>
      <c r="E24" s="138" t="s">
        <v>24</v>
      </c>
      <c r="F24" s="137" t="s">
        <v>22</v>
      </c>
      <c r="G24" s="63" t="s">
        <v>23</v>
      </c>
      <c r="H24" s="138" t="s">
        <v>24</v>
      </c>
      <c r="I24" s="137" t="s">
        <v>22</v>
      </c>
      <c r="J24" s="63" t="s">
        <v>23</v>
      </c>
      <c r="K24" s="138" t="s">
        <v>24</v>
      </c>
    </row>
    <row r="25" spans="2:12" x14ac:dyDescent="0.35">
      <c r="B25" s="70" t="s">
        <v>105</v>
      </c>
      <c r="C25" s="171" t="str">
        <f>'Belgium (Month)'!C204</f>
        <v>Low N</v>
      </c>
      <c r="D25" s="172" t="s">
        <v>43</v>
      </c>
      <c r="E25" s="173">
        <f>'Belgium (Month)'!C219</f>
        <v>84</v>
      </c>
      <c r="F25" s="174">
        <f>'Belgium (Month)'!D204</f>
        <v>27.184115320660698</v>
      </c>
      <c r="G25" s="175">
        <f t="shared" ref="G25:G36" si="0">RANK(F25,$F$25:$F$40,0)</f>
        <v>1</v>
      </c>
      <c r="H25" s="176">
        <f>'Belgium (Month)'!D219</f>
        <v>108</v>
      </c>
      <c r="I25" s="174">
        <f>'Belgium (Month)'!E204</f>
        <v>29.562701066441381</v>
      </c>
      <c r="J25" s="175">
        <f t="shared" ref="J25:J36" si="1">RANK(I25,$I$25:$I$40,0)</f>
        <v>1</v>
      </c>
      <c r="K25" s="176">
        <f>'Belgium (Month)'!E219</f>
        <v>115</v>
      </c>
    </row>
    <row r="26" spans="2:12" x14ac:dyDescent="0.35">
      <c r="B26" s="70" t="s">
        <v>94</v>
      </c>
      <c r="C26" s="174">
        <f>'Belgium (Month)'!C186</f>
        <v>19.82658120178964</v>
      </c>
      <c r="D26" s="175">
        <f t="shared" ref="D26:D36" si="2">RANK(C26,$C$25:$C$40,0)</f>
        <v>1</v>
      </c>
      <c r="E26" s="176">
        <f>'Belgium (Month)'!C201</f>
        <v>131</v>
      </c>
      <c r="F26" s="174">
        <f>'Belgium (Month)'!D186</f>
        <v>20.382305614540279</v>
      </c>
      <c r="G26" s="175">
        <f t="shared" si="0"/>
        <v>2</v>
      </c>
      <c r="H26" s="176">
        <f>'Belgium (Month)'!D201</f>
        <v>152</v>
      </c>
      <c r="I26" s="174">
        <f>'Belgium (Month)'!E186</f>
        <v>25.261651798080141</v>
      </c>
      <c r="J26" s="175">
        <f t="shared" si="1"/>
        <v>2</v>
      </c>
      <c r="K26" s="176">
        <f>'Belgium (Month)'!E201</f>
        <v>148</v>
      </c>
    </row>
    <row r="27" spans="2:12" x14ac:dyDescent="0.35">
      <c r="B27" s="70" t="s">
        <v>88</v>
      </c>
      <c r="C27" s="174">
        <f>'Belgium (Month)'!C78</f>
        <v>8.6148019206357382</v>
      </c>
      <c r="D27" s="175">
        <f t="shared" si="2"/>
        <v>7</v>
      </c>
      <c r="E27" s="176">
        <f>'Belgium (Month)'!C93</f>
        <v>315</v>
      </c>
      <c r="F27" s="174">
        <f>'Belgium (Month)'!D78</f>
        <v>10.9198031603021</v>
      </c>
      <c r="G27" s="175">
        <f t="shared" si="0"/>
        <v>5</v>
      </c>
      <c r="H27" s="176">
        <f>'Belgium (Month)'!D93</f>
        <v>378</v>
      </c>
      <c r="I27" s="174">
        <f>'Belgium (Month)'!E78</f>
        <v>16.83435468960025</v>
      </c>
      <c r="J27" s="175">
        <f t="shared" si="1"/>
        <v>3</v>
      </c>
      <c r="K27" s="176">
        <f>'Belgium (Month)'!E93</f>
        <v>366</v>
      </c>
    </row>
    <row r="28" spans="2:12" x14ac:dyDescent="0.35">
      <c r="B28" s="70" t="s">
        <v>33</v>
      </c>
      <c r="C28" s="174">
        <f>'Belgium (Month)'!C42</f>
        <v>13.642025767151541</v>
      </c>
      <c r="D28" s="175">
        <f t="shared" si="2"/>
        <v>4</v>
      </c>
      <c r="E28" s="176">
        <f>'Belgium (Month)'!C57</f>
        <v>455</v>
      </c>
      <c r="F28" s="174">
        <f>'Belgium (Month)'!D42</f>
        <v>10.354230277473119</v>
      </c>
      <c r="G28" s="175">
        <f t="shared" si="0"/>
        <v>7</v>
      </c>
      <c r="H28" s="176">
        <f>'Belgium (Month)'!D57</f>
        <v>546</v>
      </c>
      <c r="I28" s="174">
        <f>'Belgium (Month)'!E42</f>
        <v>14.946106885873361</v>
      </c>
      <c r="J28" s="175">
        <f t="shared" si="1"/>
        <v>4</v>
      </c>
      <c r="K28" s="176">
        <f>'Belgium (Month)'!E57</f>
        <v>532</v>
      </c>
    </row>
    <row r="29" spans="2:12" x14ac:dyDescent="0.35">
      <c r="B29" s="70" t="s">
        <v>34</v>
      </c>
      <c r="C29" s="174">
        <f>'Belgium (Month)'!C60</f>
        <v>13.918666583356289</v>
      </c>
      <c r="D29" s="175">
        <f t="shared" si="2"/>
        <v>3</v>
      </c>
      <c r="E29" s="176">
        <f>'Belgium (Month)'!C75</f>
        <v>420</v>
      </c>
      <c r="F29" s="174">
        <f>'Belgium (Month)'!D60</f>
        <v>14.392066958161561</v>
      </c>
      <c r="G29" s="175">
        <f t="shared" si="0"/>
        <v>3</v>
      </c>
      <c r="H29" s="176">
        <f>'Belgium (Month)'!D75</f>
        <v>508</v>
      </c>
      <c r="I29" s="174">
        <f>'Belgium (Month)'!E60</f>
        <v>13.32833881794706</v>
      </c>
      <c r="J29" s="175">
        <f t="shared" si="1"/>
        <v>5</v>
      </c>
      <c r="K29" s="176">
        <f>'Belgium (Month)'!E75</f>
        <v>496</v>
      </c>
    </row>
    <row r="30" spans="2:12" x14ac:dyDescent="0.35">
      <c r="B30" s="70" t="s">
        <v>32</v>
      </c>
      <c r="C30" s="174">
        <f>'Belgium (Month)'!C24</f>
        <v>14.414706416767689</v>
      </c>
      <c r="D30" s="175">
        <f t="shared" si="2"/>
        <v>2</v>
      </c>
      <c r="E30" s="176">
        <f>'Belgium (Month)'!C39</f>
        <v>451</v>
      </c>
      <c r="F30" s="174">
        <f>'Belgium (Month)'!D24</f>
        <v>12.472743778921251</v>
      </c>
      <c r="G30" s="175">
        <f t="shared" si="0"/>
        <v>4</v>
      </c>
      <c r="H30" s="176">
        <f>'Belgium (Month)'!D39</f>
        <v>544</v>
      </c>
      <c r="I30" s="174">
        <f>'Belgium (Month)'!E24</f>
        <v>12.901733222234331</v>
      </c>
      <c r="J30" s="175">
        <f t="shared" si="1"/>
        <v>6</v>
      </c>
      <c r="K30" s="176">
        <f>'Belgium (Month)'!E39</f>
        <v>530</v>
      </c>
    </row>
    <row r="31" spans="2:12" x14ac:dyDescent="0.35">
      <c r="B31" s="70" t="s">
        <v>90</v>
      </c>
      <c r="C31" s="174">
        <f>'Belgium (Month)'!C114</f>
        <v>9.2041352943783377</v>
      </c>
      <c r="D31" s="175">
        <f t="shared" si="2"/>
        <v>6</v>
      </c>
      <c r="E31" s="176">
        <f>'Belgium (Month)'!C129</f>
        <v>150</v>
      </c>
      <c r="F31" s="174">
        <f>'Belgium (Month)'!D114</f>
        <v>9.5530681407096534</v>
      </c>
      <c r="G31" s="175">
        <f t="shared" si="0"/>
        <v>8</v>
      </c>
      <c r="H31" s="176">
        <f>'Belgium (Month)'!D129</f>
        <v>180</v>
      </c>
      <c r="I31" s="174">
        <f>'Belgium (Month)'!E114</f>
        <v>8.821965475040745</v>
      </c>
      <c r="J31" s="175">
        <f t="shared" si="1"/>
        <v>7</v>
      </c>
      <c r="K31" s="176">
        <f>'Belgium (Month)'!E129</f>
        <v>192</v>
      </c>
    </row>
    <row r="32" spans="2:12" x14ac:dyDescent="0.35">
      <c r="B32" s="5" t="s">
        <v>31</v>
      </c>
      <c r="C32" s="174">
        <f>'Belgium (Month)'!C6</f>
        <v>11.54589279023962</v>
      </c>
      <c r="D32" s="175">
        <f t="shared" si="2"/>
        <v>5</v>
      </c>
      <c r="E32" s="176">
        <f>'Belgium (Month)'!C21</f>
        <v>219</v>
      </c>
      <c r="F32" s="174">
        <f>'Belgium (Month)'!D6</f>
        <v>10.76303716500048</v>
      </c>
      <c r="G32" s="175">
        <f t="shared" si="0"/>
        <v>6</v>
      </c>
      <c r="H32" s="176">
        <f>'Belgium (Month)'!D21</f>
        <v>268</v>
      </c>
      <c r="I32" s="174">
        <f>'Belgium (Month)'!E6</f>
        <v>8.5654767030891978</v>
      </c>
      <c r="J32" s="175">
        <f t="shared" si="1"/>
        <v>8</v>
      </c>
      <c r="K32" s="176">
        <f>'Belgium (Month)'!E21</f>
        <v>275</v>
      </c>
      <c r="L32" s="192"/>
    </row>
    <row r="33" spans="2:12" x14ac:dyDescent="0.35">
      <c r="B33" s="70" t="s">
        <v>617</v>
      </c>
      <c r="C33" s="174">
        <f>'Belgium (Month)'!C258</f>
        <v>2.454929155882362</v>
      </c>
      <c r="D33" s="175">
        <f t="shared" si="2"/>
        <v>8</v>
      </c>
      <c r="E33" s="176">
        <f>'Belgium (Month)'!C273</f>
        <v>153</v>
      </c>
      <c r="F33" s="174">
        <f>'Belgium (Month)'!D258</f>
        <v>6.4150402243131239</v>
      </c>
      <c r="G33" s="175">
        <f t="shared" si="0"/>
        <v>9</v>
      </c>
      <c r="H33" s="176">
        <f>'Belgium (Month)'!D273</f>
        <v>196</v>
      </c>
      <c r="I33" s="174">
        <f>'Belgium (Month)'!E258</f>
        <v>7.9080324697887141</v>
      </c>
      <c r="J33" s="175">
        <f t="shared" si="1"/>
        <v>9</v>
      </c>
      <c r="K33" s="176">
        <f>'Belgium (Month)'!E273</f>
        <v>206</v>
      </c>
      <c r="L33" s="192"/>
    </row>
    <row r="34" spans="2:12" x14ac:dyDescent="0.35">
      <c r="B34" s="70" t="s">
        <v>615</v>
      </c>
      <c r="C34" s="174">
        <f>'Belgium (Month)'!C222</f>
        <v>1.3757744567623531</v>
      </c>
      <c r="D34" s="175">
        <f t="shared" si="2"/>
        <v>9</v>
      </c>
      <c r="E34" s="176">
        <f>'Belgium (Month)'!C237</f>
        <v>308</v>
      </c>
      <c r="F34" s="174">
        <f>'Belgium (Month)'!D222</f>
        <v>0.98354694129705444</v>
      </c>
      <c r="G34" s="175">
        <f t="shared" si="0"/>
        <v>10</v>
      </c>
      <c r="H34" s="176">
        <f>'Belgium (Month)'!D237</f>
        <v>402</v>
      </c>
      <c r="I34" s="174">
        <f>'Belgium (Month)'!E222</f>
        <v>2.0424660627381459</v>
      </c>
      <c r="J34" s="175">
        <f t="shared" si="1"/>
        <v>10</v>
      </c>
      <c r="K34" s="176">
        <f>'Belgium (Month)'!E237</f>
        <v>419</v>
      </c>
    </row>
    <row r="35" spans="2:12" x14ac:dyDescent="0.35">
      <c r="B35" s="70" t="s">
        <v>618</v>
      </c>
      <c r="C35" s="174">
        <f>'Belgium (Month)'!C276</f>
        <v>0.67753147073433617</v>
      </c>
      <c r="D35" s="175">
        <f t="shared" si="2"/>
        <v>10</v>
      </c>
      <c r="E35" s="176">
        <f>'Belgium (Month)'!C291</f>
        <v>162</v>
      </c>
      <c r="F35" s="174">
        <f>'Belgium (Month)'!D276</f>
        <v>-2.245181062457402</v>
      </c>
      <c r="G35" s="175">
        <f t="shared" si="0"/>
        <v>12</v>
      </c>
      <c r="H35" s="176">
        <f>'Belgium (Month)'!D291</f>
        <v>221</v>
      </c>
      <c r="I35" s="174">
        <f>'Belgium (Month)'!E276</f>
        <v>0.54808894789421425</v>
      </c>
      <c r="J35" s="175">
        <f t="shared" si="1"/>
        <v>11</v>
      </c>
      <c r="K35" s="176">
        <f>'Belgium (Month)'!E291</f>
        <v>233</v>
      </c>
    </row>
    <row r="36" spans="2:12" x14ac:dyDescent="0.35">
      <c r="B36" s="70" t="s">
        <v>616</v>
      </c>
      <c r="C36" s="174">
        <f>'Belgium (Month)'!C240</f>
        <v>9.1775789349896036E-3</v>
      </c>
      <c r="D36" s="175">
        <f t="shared" si="2"/>
        <v>11</v>
      </c>
      <c r="E36" s="176">
        <f>'Belgium (Month)'!C255</f>
        <v>148</v>
      </c>
      <c r="F36" s="174">
        <f>'Belgium (Month)'!D240</f>
        <v>-1.0766290618547101</v>
      </c>
      <c r="G36" s="175">
        <f t="shared" si="0"/>
        <v>11</v>
      </c>
      <c r="H36" s="176">
        <f>'Belgium (Month)'!D255</f>
        <v>191</v>
      </c>
      <c r="I36" s="174">
        <f>'Belgium (Month)'!E240</f>
        <v>-0.54086286115555648</v>
      </c>
      <c r="J36" s="175">
        <f t="shared" si="1"/>
        <v>12</v>
      </c>
      <c r="K36" s="176">
        <f>'Belgium (Month)'!E255</f>
        <v>196</v>
      </c>
    </row>
    <row r="37" spans="2:12" x14ac:dyDescent="0.35">
      <c r="B37" s="70" t="s">
        <v>89</v>
      </c>
      <c r="C37" s="171" t="str">
        <f>'Belgium (Month)'!C96</f>
        <v>Low N</v>
      </c>
      <c r="D37" s="172" t="s">
        <v>43</v>
      </c>
      <c r="E37" s="173">
        <f>'Belgium (Month)'!C111</f>
        <v>55</v>
      </c>
      <c r="F37" s="171" t="str">
        <f>'Belgium (Month)'!D96</f>
        <v>Low N</v>
      </c>
      <c r="G37" s="172" t="s">
        <v>43</v>
      </c>
      <c r="H37" s="173">
        <f>'Belgium (Month)'!D111</f>
        <v>64</v>
      </c>
      <c r="I37" s="171" t="str">
        <f>'Belgium (Month)'!E96</f>
        <v>Low N</v>
      </c>
      <c r="J37" s="172" t="s">
        <v>43</v>
      </c>
      <c r="K37" s="173">
        <f>'Belgium (Month)'!E111</f>
        <v>67</v>
      </c>
    </row>
    <row r="38" spans="2:12" x14ac:dyDescent="0.35">
      <c r="B38" s="70" t="s">
        <v>91</v>
      </c>
      <c r="C38" s="171" t="str">
        <f>'Belgium (Month)'!C132</f>
        <v>Low N</v>
      </c>
      <c r="D38" s="172" t="s">
        <v>43</v>
      </c>
      <c r="E38" s="173">
        <f>'Belgium (Month)'!C147</f>
        <v>64</v>
      </c>
      <c r="F38" s="171" t="str">
        <f>'Belgium (Month)'!D132</f>
        <v>Low N</v>
      </c>
      <c r="G38" s="172" t="s">
        <v>43</v>
      </c>
      <c r="H38" s="173">
        <f>'Belgium (Month)'!D147</f>
        <v>72</v>
      </c>
      <c r="I38" s="171" t="str">
        <f>'Belgium (Month)'!E132</f>
        <v>Low N</v>
      </c>
      <c r="J38" s="172" t="s">
        <v>43</v>
      </c>
      <c r="K38" s="173">
        <f>'Belgium (Month)'!E147</f>
        <v>68</v>
      </c>
    </row>
    <row r="39" spans="2:12" x14ac:dyDescent="0.35">
      <c r="B39" s="70" t="s">
        <v>92</v>
      </c>
      <c r="C39" s="171" t="str">
        <f>'Belgium (Month)'!C150</f>
        <v>Low N</v>
      </c>
      <c r="D39" s="172" t="s">
        <v>43</v>
      </c>
      <c r="E39" s="173">
        <f>'Belgium (Month)'!C165</f>
        <v>47</v>
      </c>
      <c r="F39" s="171" t="str">
        <f>'Belgium (Month)'!D150</f>
        <v>Low N</v>
      </c>
      <c r="G39" s="172" t="s">
        <v>43</v>
      </c>
      <c r="H39" s="173">
        <f>'Belgium (Month)'!D165</f>
        <v>57</v>
      </c>
      <c r="I39" s="171" t="str">
        <f>'Belgium (Month)'!E150</f>
        <v>Low N</v>
      </c>
      <c r="J39" s="172" t="s">
        <v>43</v>
      </c>
      <c r="K39" s="173">
        <f>'Belgium (Month)'!E165</f>
        <v>53</v>
      </c>
    </row>
    <row r="40" spans="2:12" x14ac:dyDescent="0.35">
      <c r="B40" s="70" t="s">
        <v>93</v>
      </c>
      <c r="C40" s="171" t="str">
        <f>'Belgium (Month)'!C168</f>
        <v>Low N</v>
      </c>
      <c r="D40" s="172" t="s">
        <v>43</v>
      </c>
      <c r="E40" s="173">
        <f>'Belgium (Month)'!C183</f>
        <v>26</v>
      </c>
      <c r="F40" s="171" t="str">
        <f>'Belgium (Month)'!D168</f>
        <v>Low N</v>
      </c>
      <c r="G40" s="172" t="s">
        <v>43</v>
      </c>
      <c r="H40" s="173">
        <f>'Belgium (Month)'!D183</f>
        <v>33</v>
      </c>
      <c r="I40" s="171" t="str">
        <f>'Belgium (Month)'!E168</f>
        <v>Low N</v>
      </c>
      <c r="J40" s="172" t="s">
        <v>43</v>
      </c>
      <c r="K40" s="173">
        <f>'Belgium (Month)'!E183</f>
        <v>36</v>
      </c>
    </row>
    <row r="41" spans="2:12" x14ac:dyDescent="0.35">
      <c r="B41" s="68"/>
      <c r="C41" s="139"/>
      <c r="D41" s="62"/>
      <c r="E41" s="33"/>
      <c r="F41" s="139"/>
      <c r="G41" s="62"/>
      <c r="H41" s="33"/>
      <c r="I41" s="139"/>
      <c r="J41" s="62"/>
      <c r="K41" s="33"/>
    </row>
    <row r="42" spans="2:12" x14ac:dyDescent="0.35">
      <c r="B42" s="4" t="s">
        <v>35</v>
      </c>
      <c r="C42" s="137" t="s">
        <v>22</v>
      </c>
      <c r="D42" s="63" t="s">
        <v>23</v>
      </c>
      <c r="E42" s="138" t="s">
        <v>24</v>
      </c>
      <c r="F42" s="137" t="s">
        <v>22</v>
      </c>
      <c r="G42" s="63" t="s">
        <v>23</v>
      </c>
      <c r="H42" s="138" t="s">
        <v>24</v>
      </c>
      <c r="I42" s="137" t="s">
        <v>22</v>
      </c>
      <c r="J42" s="63" t="s">
        <v>23</v>
      </c>
      <c r="K42" s="138" t="s">
        <v>24</v>
      </c>
    </row>
    <row r="43" spans="2:12" x14ac:dyDescent="0.35">
      <c r="B43" s="6" t="s">
        <v>105</v>
      </c>
      <c r="C43" s="171" t="str">
        <f>'Germany (Month)'!C222</f>
        <v>Low N</v>
      </c>
      <c r="D43" s="172" t="s">
        <v>43</v>
      </c>
      <c r="E43" s="173">
        <f>'Germany (Month)'!C237</f>
        <v>92</v>
      </c>
      <c r="F43" s="174">
        <f>'Germany (Month)'!D222</f>
        <v>56.272618826988747</v>
      </c>
      <c r="G43" s="175">
        <f>RANK(F43,$F$43:$F$58,0)</f>
        <v>1</v>
      </c>
      <c r="H43" s="176">
        <f>'Germany (Month)'!D237</f>
        <v>116</v>
      </c>
      <c r="I43" s="174">
        <f>'Germany (Month)'!E222</f>
        <v>50.896528480971199</v>
      </c>
      <c r="J43" s="175">
        <f t="shared" ref="J43:J50" si="3">RANK(I43,$I$43:$I$58,0)</f>
        <v>1</v>
      </c>
      <c r="K43" s="176">
        <f>'Germany (Month)'!E237</f>
        <v>106</v>
      </c>
    </row>
    <row r="44" spans="2:12" x14ac:dyDescent="0.35">
      <c r="B44" s="6" t="s">
        <v>450</v>
      </c>
      <c r="C44" s="174">
        <f>'Germany (Month)'!C240</f>
        <v>46.022213108630723</v>
      </c>
      <c r="D44" s="175">
        <f>RANK(C44,$C$43:$C$58,0)</f>
        <v>1</v>
      </c>
      <c r="E44" s="176">
        <f>'Germany (Month)'!C255</f>
        <v>287</v>
      </c>
      <c r="F44" s="174">
        <f>'Germany (Month)'!D240</f>
        <v>46.071079549405447</v>
      </c>
      <c r="G44" s="175">
        <f>RANK(F44,$F$43:$F$58,0)</f>
        <v>2</v>
      </c>
      <c r="H44" s="176">
        <f>'Germany (Month)'!D255</f>
        <v>337</v>
      </c>
      <c r="I44" s="174">
        <f>'Germany (Month)'!E240</f>
        <v>46.852005314838671</v>
      </c>
      <c r="J44" s="175">
        <f t="shared" si="3"/>
        <v>2</v>
      </c>
      <c r="K44" s="176">
        <f>'Germany (Month)'!E255</f>
        <v>343</v>
      </c>
    </row>
    <row r="45" spans="2:12" x14ac:dyDescent="0.35">
      <c r="B45" s="5" t="s">
        <v>25</v>
      </c>
      <c r="C45" s="174">
        <f>'Germany (Month)'!C6</f>
        <v>37.351546859310353</v>
      </c>
      <c r="D45" s="175">
        <f>RANK(C45,$C$43:$C$58,0)</f>
        <v>2</v>
      </c>
      <c r="E45" s="176">
        <f>'Germany (Month)'!C21</f>
        <v>210</v>
      </c>
      <c r="F45" s="174">
        <f>'Germany (Month)'!D6</f>
        <v>40.748368028466011</v>
      </c>
      <c r="G45" s="175">
        <f>RANK(F45,$F$43:$F$58,0)</f>
        <v>3</v>
      </c>
      <c r="H45" s="176">
        <f>'Germany (Month)'!D21</f>
        <v>255</v>
      </c>
      <c r="I45" s="174">
        <f>'Germany (Month)'!E6</f>
        <v>38.608389558796581</v>
      </c>
      <c r="J45" s="175">
        <f t="shared" si="3"/>
        <v>3</v>
      </c>
      <c r="K45" s="176">
        <f>'Germany (Month)'!E21</f>
        <v>256</v>
      </c>
      <c r="L45" s="192"/>
    </row>
    <row r="46" spans="2:12" x14ac:dyDescent="0.35">
      <c r="B46" s="6" t="s">
        <v>39</v>
      </c>
      <c r="C46" s="174">
        <f>'Germany (Month)'!C78</f>
        <v>32.435296647624263</v>
      </c>
      <c r="D46" s="175">
        <f>RANK(C46,$C$43:$C$58,0)</f>
        <v>3</v>
      </c>
      <c r="E46" s="176">
        <f>'Germany (Month)'!C93</f>
        <v>383</v>
      </c>
      <c r="F46" s="174">
        <f>'Germany (Month)'!D78</f>
        <v>32.793777779036489</v>
      </c>
      <c r="G46" s="175">
        <f>RANK(F46,$F$43:$F$58,0)</f>
        <v>4</v>
      </c>
      <c r="H46" s="176">
        <f>'Germany (Month)'!D93</f>
        <v>452</v>
      </c>
      <c r="I46" s="174">
        <f>'Germany (Month)'!E78</f>
        <v>36.593051737760042</v>
      </c>
      <c r="J46" s="175">
        <f t="shared" si="3"/>
        <v>4</v>
      </c>
      <c r="K46" s="176">
        <f>'Germany (Month)'!E93</f>
        <v>436</v>
      </c>
    </row>
    <row r="47" spans="2:12" x14ac:dyDescent="0.35">
      <c r="B47" s="6" t="s">
        <v>95</v>
      </c>
      <c r="C47" s="171" t="str">
        <f>'Germany (Month)'!C114</f>
        <v>Low N</v>
      </c>
      <c r="D47" s="172" t="s">
        <v>43</v>
      </c>
      <c r="E47" s="173">
        <f>'Germany (Month)'!C129</f>
        <v>87</v>
      </c>
      <c r="F47" s="171" t="str">
        <f>'Germany (Month)'!D114</f>
        <v>Low N</v>
      </c>
      <c r="G47" s="172" t="s">
        <v>43</v>
      </c>
      <c r="H47" s="173">
        <f>'Germany (Month)'!D129</f>
        <v>97</v>
      </c>
      <c r="I47" s="174">
        <f>'Germany (Month)'!E114</f>
        <v>25.4422745408521</v>
      </c>
      <c r="J47" s="175">
        <f t="shared" si="3"/>
        <v>5</v>
      </c>
      <c r="K47" s="176">
        <f>'Germany (Month)'!E129</f>
        <v>108</v>
      </c>
    </row>
    <row r="48" spans="2:12" x14ac:dyDescent="0.35">
      <c r="B48" s="6" t="s">
        <v>36</v>
      </c>
      <c r="C48" s="171" t="str">
        <f>'Germany (Month)'!C24</f>
        <v>Low N</v>
      </c>
      <c r="D48" s="172" t="s">
        <v>43</v>
      </c>
      <c r="E48" s="173">
        <f>'Germany (Month)'!C39</f>
        <v>91</v>
      </c>
      <c r="F48" s="174">
        <f>'Germany (Month)'!D24</f>
        <v>27.770398017461559</v>
      </c>
      <c r="G48" s="175">
        <f>RANK(F48,$F$43:$F$58,0)</f>
        <v>5</v>
      </c>
      <c r="H48" s="176">
        <f>'Germany (Month)'!D39</f>
        <v>106</v>
      </c>
      <c r="I48" s="174">
        <f>'Germany (Month)'!E24</f>
        <v>25.112410531131701</v>
      </c>
      <c r="J48" s="175">
        <f t="shared" si="3"/>
        <v>6</v>
      </c>
      <c r="K48" s="176">
        <f>'Germany (Month)'!E39</f>
        <v>109</v>
      </c>
    </row>
    <row r="49" spans="2:12" x14ac:dyDescent="0.35">
      <c r="B49" s="6" t="s">
        <v>91</v>
      </c>
      <c r="C49" s="174">
        <f>'Germany (Month)'!C150</f>
        <v>25.0110064169866</v>
      </c>
      <c r="D49" s="175">
        <f>RANK(C49,$C$43:$C$58,0)</f>
        <v>4</v>
      </c>
      <c r="E49" s="176">
        <f>'Germany (Month)'!C165</f>
        <v>136</v>
      </c>
      <c r="F49" s="174">
        <f>'Germany (Month)'!D150</f>
        <v>23.588999556663151</v>
      </c>
      <c r="G49" s="175">
        <f>RANK(F49,$F$43:$F$58,0)</f>
        <v>6</v>
      </c>
      <c r="H49" s="176">
        <f>'Germany (Month)'!D165</f>
        <v>157</v>
      </c>
      <c r="I49" s="174">
        <f>'Germany (Month)'!E150</f>
        <v>23.17245832882066</v>
      </c>
      <c r="J49" s="175">
        <f t="shared" si="3"/>
        <v>7</v>
      </c>
      <c r="K49" s="176">
        <f>'Germany (Month)'!E165</f>
        <v>149</v>
      </c>
    </row>
    <row r="50" spans="2:12" x14ac:dyDescent="0.35">
      <c r="B50" s="6" t="s">
        <v>40</v>
      </c>
      <c r="C50" s="174">
        <f>'Germany (Month)'!C96</f>
        <v>22.486678241554522</v>
      </c>
      <c r="D50" s="175">
        <f>RANK(C50,$C$43:$C$58,0)</f>
        <v>5</v>
      </c>
      <c r="E50" s="176">
        <f>'Germany (Month)'!C111</f>
        <v>177</v>
      </c>
      <c r="F50" s="174">
        <f>'Germany (Month)'!D96</f>
        <v>23.11837878615361</v>
      </c>
      <c r="G50" s="175">
        <f>RANK(F50,$F$43:$F$58,0)</f>
        <v>7</v>
      </c>
      <c r="H50" s="176">
        <f>'Germany (Month)'!D111</f>
        <v>215</v>
      </c>
      <c r="I50" s="174">
        <f>'Germany (Month)'!E96</f>
        <v>22.281993158377261</v>
      </c>
      <c r="J50" s="175">
        <f t="shared" si="3"/>
        <v>8</v>
      </c>
      <c r="K50" s="176">
        <f>'Germany (Month)'!E111</f>
        <v>217</v>
      </c>
    </row>
    <row r="51" spans="2:12" x14ac:dyDescent="0.35">
      <c r="B51" s="6" t="s">
        <v>37</v>
      </c>
      <c r="C51" s="171" t="str">
        <f>'Germany (Month)'!C42</f>
        <v>Low N</v>
      </c>
      <c r="D51" s="172" t="s">
        <v>43</v>
      </c>
      <c r="E51" s="173">
        <f>'Germany (Month)'!C57</f>
        <v>47</v>
      </c>
      <c r="F51" s="171" t="str">
        <f>'Germany (Month)'!D42</f>
        <v>Low N</v>
      </c>
      <c r="G51" s="172" t="s">
        <v>43</v>
      </c>
      <c r="H51" s="173">
        <f>'Germany (Month)'!D57</f>
        <v>52</v>
      </c>
      <c r="I51" s="171" t="str">
        <f>'Germany (Month)'!E42</f>
        <v>Low N</v>
      </c>
      <c r="J51" s="172" t="s">
        <v>43</v>
      </c>
      <c r="K51" s="173">
        <f>'Germany (Month)'!E57</f>
        <v>60</v>
      </c>
    </row>
    <row r="52" spans="2:12" x14ac:dyDescent="0.35">
      <c r="B52" s="6" t="s">
        <v>38</v>
      </c>
      <c r="C52" s="171" t="str">
        <f>'Germany (Month)'!C60</f>
        <v>Low N</v>
      </c>
      <c r="D52" s="172" t="s">
        <v>43</v>
      </c>
      <c r="E52" s="173">
        <f>'Germany (Month)'!C75</f>
        <v>61</v>
      </c>
      <c r="F52" s="171" t="str">
        <f>'Germany (Month)'!D60</f>
        <v>Low N</v>
      </c>
      <c r="G52" s="172" t="s">
        <v>43</v>
      </c>
      <c r="H52" s="173">
        <f>'Germany (Month)'!D75</f>
        <v>70</v>
      </c>
      <c r="I52" s="171" t="str">
        <f>'Germany (Month)'!E60</f>
        <v>Low N</v>
      </c>
      <c r="J52" s="172" t="s">
        <v>43</v>
      </c>
      <c r="K52" s="173">
        <f>'Germany (Month)'!E75</f>
        <v>59</v>
      </c>
    </row>
    <row r="53" spans="2:12" x14ac:dyDescent="0.35">
      <c r="B53" s="6" t="s">
        <v>96</v>
      </c>
      <c r="C53" s="171" t="str">
        <f>'Germany (Month)'!C132</f>
        <v>Low N</v>
      </c>
      <c r="D53" s="172" t="s">
        <v>43</v>
      </c>
      <c r="E53" s="173">
        <f>'Germany (Month)'!C147</f>
        <v>77</v>
      </c>
      <c r="F53" s="171" t="str">
        <f>'Germany (Month)'!D132</f>
        <v>Low N</v>
      </c>
      <c r="G53" s="172" t="s">
        <v>43</v>
      </c>
      <c r="H53" s="173">
        <f>'Germany (Month)'!D147</f>
        <v>96</v>
      </c>
      <c r="I53" s="171" t="str">
        <f>'Germany (Month)'!E132</f>
        <v>Low N</v>
      </c>
      <c r="J53" s="172" t="s">
        <v>43</v>
      </c>
      <c r="K53" s="173">
        <f>'Germany (Month)'!E147</f>
        <v>94</v>
      </c>
    </row>
    <row r="54" spans="2:12" x14ac:dyDescent="0.35">
      <c r="B54" s="6" t="s">
        <v>97</v>
      </c>
      <c r="C54" s="171" t="str">
        <f>'Germany (Month)'!C168</f>
        <v>Low N</v>
      </c>
      <c r="D54" s="172" t="s">
        <v>43</v>
      </c>
      <c r="E54" s="173">
        <f>'Germany (Month)'!C183</f>
        <v>40</v>
      </c>
      <c r="F54" s="171" t="str">
        <f>'Germany (Month)'!D168</f>
        <v>Low N</v>
      </c>
      <c r="G54" s="172" t="s">
        <v>43</v>
      </c>
      <c r="H54" s="173">
        <f>'Germany (Month)'!D183</f>
        <v>44</v>
      </c>
      <c r="I54" s="171" t="str">
        <f>'Germany (Month)'!E168</f>
        <v>Low N</v>
      </c>
      <c r="J54" s="172" t="s">
        <v>43</v>
      </c>
      <c r="K54" s="173">
        <f>'Germany (Month)'!E183</f>
        <v>41</v>
      </c>
    </row>
    <row r="55" spans="2:12" x14ac:dyDescent="0.35">
      <c r="B55" s="6" t="s">
        <v>98</v>
      </c>
      <c r="C55" s="171" t="str">
        <f>'Germany (Month)'!C186</f>
        <v>Low N</v>
      </c>
      <c r="D55" s="172" t="s">
        <v>43</v>
      </c>
      <c r="E55" s="173">
        <f>'Germany (Month)'!C201</f>
        <v>24</v>
      </c>
      <c r="F55" s="171" t="str">
        <f>'Germany (Month)'!D186</f>
        <v>Low N</v>
      </c>
      <c r="G55" s="172" t="s">
        <v>43</v>
      </c>
      <c r="H55" s="173">
        <f>'Germany (Month)'!D201</f>
        <v>33</v>
      </c>
      <c r="I55" s="171" t="str">
        <f>'Germany (Month)'!E186</f>
        <v>Low N</v>
      </c>
      <c r="J55" s="172" t="s">
        <v>43</v>
      </c>
      <c r="K55" s="173">
        <f>'Germany (Month)'!E201</f>
        <v>36</v>
      </c>
    </row>
    <row r="56" spans="2:12" x14ac:dyDescent="0.35">
      <c r="B56" s="6" t="s">
        <v>99</v>
      </c>
      <c r="C56" s="171" t="str">
        <f>'Germany (Month)'!C204</f>
        <v>Low N</v>
      </c>
      <c r="D56" s="172" t="s">
        <v>43</v>
      </c>
      <c r="E56" s="173">
        <f>'Germany (Month)'!C219</f>
        <v>48</v>
      </c>
      <c r="F56" s="171" t="str">
        <f>'Germany (Month)'!D204</f>
        <v>Low N</v>
      </c>
      <c r="G56" s="172" t="s">
        <v>43</v>
      </c>
      <c r="H56" s="173">
        <f>'Germany (Month)'!D219</f>
        <v>58</v>
      </c>
      <c r="I56" s="171" t="str">
        <f>'Germany (Month)'!E204</f>
        <v>Low N</v>
      </c>
      <c r="J56" s="172" t="s">
        <v>43</v>
      </c>
      <c r="K56" s="173">
        <f>'Germany (Month)'!E219</f>
        <v>58</v>
      </c>
    </row>
    <row r="57" spans="2:12" hidden="1" x14ac:dyDescent="0.35">
      <c r="B57" s="6" t="s">
        <v>459</v>
      </c>
      <c r="C57" s="171" t="str">
        <f>'Germany (Month)'!C258</f>
        <v>Low N</v>
      </c>
      <c r="D57" s="172" t="s">
        <v>43</v>
      </c>
      <c r="E57" s="173">
        <f>'Germany (Month)'!C273</f>
        <v>13</v>
      </c>
      <c r="F57" s="171" t="str">
        <f>'Germany (Month)'!D258</f>
        <v>Low N</v>
      </c>
      <c r="G57" s="172" t="s">
        <v>43</v>
      </c>
      <c r="H57" s="173">
        <f>'Germany (Month)'!D273</f>
        <v>19</v>
      </c>
      <c r="I57" s="171" t="str">
        <f>'Germany (Month)'!E258</f>
        <v>Low N</v>
      </c>
      <c r="J57" s="172" t="s">
        <v>43</v>
      </c>
      <c r="K57" s="173">
        <f>'Germany (Month)'!E273</f>
        <v>22</v>
      </c>
    </row>
    <row r="58" spans="2:12" ht="15.75" customHeight="1" x14ac:dyDescent="0.35">
      <c r="B58" s="6" t="s">
        <v>619</v>
      </c>
      <c r="C58" s="185" t="s">
        <v>646</v>
      </c>
      <c r="D58" s="186"/>
      <c r="E58" s="186"/>
      <c r="F58" s="186"/>
      <c r="G58" s="186"/>
      <c r="H58" s="186"/>
      <c r="I58" s="186"/>
      <c r="J58" s="186"/>
      <c r="K58" s="186"/>
      <c r="L58" s="177"/>
    </row>
    <row r="59" spans="2:12" x14ac:dyDescent="0.35">
      <c r="B59" s="7"/>
      <c r="C59" s="140"/>
      <c r="D59" s="76"/>
      <c r="E59" s="141"/>
      <c r="F59" s="140"/>
      <c r="G59" s="76"/>
      <c r="H59" s="141"/>
      <c r="I59" s="140"/>
      <c r="J59" s="76"/>
      <c r="K59" s="141"/>
    </row>
    <row r="60" spans="2:12" x14ac:dyDescent="0.35">
      <c r="B60" s="4" t="s">
        <v>41</v>
      </c>
      <c r="C60" s="137" t="s">
        <v>22</v>
      </c>
      <c r="D60" s="63" t="s">
        <v>23</v>
      </c>
      <c r="E60" s="138" t="s">
        <v>24</v>
      </c>
      <c r="F60" s="137" t="s">
        <v>22</v>
      </c>
      <c r="G60" s="63" t="s">
        <v>23</v>
      </c>
      <c r="H60" s="138" t="s">
        <v>24</v>
      </c>
      <c r="I60" s="137" t="s">
        <v>22</v>
      </c>
      <c r="J60" s="63" t="s">
        <v>23</v>
      </c>
      <c r="K60" s="138" t="s">
        <v>24</v>
      </c>
    </row>
    <row r="61" spans="2:12" x14ac:dyDescent="0.35">
      <c r="B61" s="6" t="s">
        <v>44</v>
      </c>
      <c r="C61" s="174">
        <f>'Italy (Month)'!C42</f>
        <v>66.036846408045776</v>
      </c>
      <c r="D61" s="175">
        <f t="shared" ref="D61:D71" si="4">RANK(C61,$C$61:$C$81,0)</f>
        <v>1</v>
      </c>
      <c r="E61" s="176">
        <f>'Italy (Month)'!C57</f>
        <v>149</v>
      </c>
      <c r="F61" s="174">
        <f>'Italy (Month)'!D42</f>
        <v>63.103222000528518</v>
      </c>
      <c r="G61" s="175">
        <f t="shared" ref="G61:G71" si="5">RANK(F61,$F$61:$F$81,0)</f>
        <v>1</v>
      </c>
      <c r="H61" s="176">
        <f>'Italy (Month)'!D57</f>
        <v>176</v>
      </c>
      <c r="I61" s="174">
        <f>'Italy (Month)'!E42</f>
        <v>63.191279764484918</v>
      </c>
      <c r="J61" s="175">
        <f t="shared" ref="J61:J71" si="6">RANK(I61,$I$61:$I$81,0)</f>
        <v>1</v>
      </c>
      <c r="K61" s="176">
        <f>'Italy (Month)'!E57</f>
        <v>180</v>
      </c>
    </row>
    <row r="62" spans="2:12" x14ac:dyDescent="0.35">
      <c r="B62" s="6" t="s">
        <v>105</v>
      </c>
      <c r="C62" s="174">
        <f>'Italy (Month)'!C204</f>
        <v>52.946870531966319</v>
      </c>
      <c r="D62" s="175">
        <f t="shared" si="4"/>
        <v>2</v>
      </c>
      <c r="E62" s="176">
        <f>'Italy (Month)'!C219</f>
        <v>128</v>
      </c>
      <c r="F62" s="174">
        <f>'Italy (Month)'!D204</f>
        <v>55.465108954296987</v>
      </c>
      <c r="G62" s="175">
        <f t="shared" si="5"/>
        <v>2</v>
      </c>
      <c r="H62" s="176">
        <f>'Italy (Month)'!D219</f>
        <v>152</v>
      </c>
      <c r="I62" s="174">
        <f>'Italy (Month)'!E204</f>
        <v>53.249661798579027</v>
      </c>
      <c r="J62" s="175">
        <f t="shared" si="6"/>
        <v>2</v>
      </c>
      <c r="K62" s="176">
        <f>'Italy (Month)'!E219</f>
        <v>146</v>
      </c>
    </row>
    <row r="63" spans="2:12" x14ac:dyDescent="0.35">
      <c r="B63" s="6" t="s">
        <v>42</v>
      </c>
      <c r="C63" s="174">
        <f>'Italy (Month)'!C24</f>
        <v>40.753956556344747</v>
      </c>
      <c r="D63" s="175">
        <f t="shared" si="4"/>
        <v>4</v>
      </c>
      <c r="E63" s="176">
        <f>'Italy (Month)'!C39</f>
        <v>123</v>
      </c>
      <c r="F63" s="174">
        <f>'Italy (Month)'!D24</f>
        <v>43.349631249120293</v>
      </c>
      <c r="G63" s="175">
        <f t="shared" si="5"/>
        <v>3</v>
      </c>
      <c r="H63" s="176">
        <f>'Italy (Month)'!D39</f>
        <v>146</v>
      </c>
      <c r="I63" s="174">
        <f>'Italy (Month)'!E24</f>
        <v>43.02303492738055</v>
      </c>
      <c r="J63" s="175">
        <f t="shared" si="6"/>
        <v>3</v>
      </c>
      <c r="K63" s="176">
        <f>'Italy (Month)'!E39</f>
        <v>127</v>
      </c>
    </row>
    <row r="64" spans="2:12" x14ac:dyDescent="0.35">
      <c r="B64" s="6" t="s">
        <v>46</v>
      </c>
      <c r="C64" s="174">
        <f>'Italy (Month)'!C78</f>
        <v>39.055305885663977</v>
      </c>
      <c r="D64" s="175">
        <f t="shared" si="4"/>
        <v>5</v>
      </c>
      <c r="E64" s="176">
        <f>'Italy (Month)'!C93</f>
        <v>176</v>
      </c>
      <c r="F64" s="174">
        <f>'Italy (Month)'!D78</f>
        <v>37.424714615734302</v>
      </c>
      <c r="G64" s="175">
        <f t="shared" si="5"/>
        <v>5</v>
      </c>
      <c r="H64" s="176">
        <f>'Italy (Month)'!D93</f>
        <v>200</v>
      </c>
      <c r="I64" s="174">
        <f>'Italy (Month)'!E78</f>
        <v>39.030946134876729</v>
      </c>
      <c r="J64" s="175">
        <f t="shared" si="6"/>
        <v>4</v>
      </c>
      <c r="K64" s="176">
        <f>'Italy (Month)'!E93</f>
        <v>184</v>
      </c>
    </row>
    <row r="65" spans="2:12" x14ac:dyDescent="0.35">
      <c r="B65" s="5" t="s">
        <v>25</v>
      </c>
      <c r="C65" s="174">
        <f>'Italy (Month)'!C6</f>
        <v>41.703194287329403</v>
      </c>
      <c r="D65" s="175">
        <f t="shared" si="4"/>
        <v>3</v>
      </c>
      <c r="E65" s="176">
        <f>'Italy (Month)'!C21</f>
        <v>90</v>
      </c>
      <c r="F65" s="174">
        <f>'Italy (Month)'!D6</f>
        <v>38.719897632259091</v>
      </c>
      <c r="G65" s="175">
        <f t="shared" si="5"/>
        <v>4</v>
      </c>
      <c r="H65" s="176">
        <f>'Italy (Month)'!D21</f>
        <v>108</v>
      </c>
      <c r="I65" s="174">
        <f>'Italy (Month)'!E6</f>
        <v>38.887289016048364</v>
      </c>
      <c r="J65" s="175">
        <f t="shared" si="6"/>
        <v>5</v>
      </c>
      <c r="K65" s="176">
        <f>'Italy (Month)'!E21</f>
        <v>104</v>
      </c>
      <c r="L65" s="192"/>
    </row>
    <row r="66" spans="2:12" x14ac:dyDescent="0.35">
      <c r="B66" s="6" t="s">
        <v>100</v>
      </c>
      <c r="C66" s="174">
        <f>'Italy (Month)'!C96</f>
        <v>34.563509016012347</v>
      </c>
      <c r="D66" s="175">
        <f t="shared" si="4"/>
        <v>6</v>
      </c>
      <c r="E66" s="176">
        <f>'Italy (Month)'!C111</f>
        <v>274</v>
      </c>
      <c r="F66" s="174">
        <f>'Italy (Month)'!D96</f>
        <v>34.874190079009288</v>
      </c>
      <c r="G66" s="175">
        <f t="shared" si="5"/>
        <v>6</v>
      </c>
      <c r="H66" s="176">
        <f>'Italy (Month)'!D111</f>
        <v>311</v>
      </c>
      <c r="I66" s="174">
        <f>'Italy (Month)'!E96</f>
        <v>30.505965150742099</v>
      </c>
      <c r="J66" s="175">
        <f t="shared" si="6"/>
        <v>6</v>
      </c>
      <c r="K66" s="176">
        <f>'Italy (Month)'!E111</f>
        <v>293</v>
      </c>
    </row>
    <row r="67" spans="2:12" x14ac:dyDescent="0.35">
      <c r="B67" s="6" t="s">
        <v>45</v>
      </c>
      <c r="C67" s="174">
        <f>'Italy (Month)'!C60</f>
        <v>29.8966299852299</v>
      </c>
      <c r="D67" s="175">
        <f t="shared" si="4"/>
        <v>7</v>
      </c>
      <c r="E67" s="176">
        <f>'Italy (Month)'!C75</f>
        <v>342</v>
      </c>
      <c r="F67" s="174">
        <f>'Italy (Month)'!D60</f>
        <v>29.271520989723381</v>
      </c>
      <c r="G67" s="175">
        <f t="shared" si="5"/>
        <v>7</v>
      </c>
      <c r="H67" s="176">
        <f>'Italy (Month)'!D75</f>
        <v>405</v>
      </c>
      <c r="I67" s="174">
        <f>'Italy (Month)'!E60</f>
        <v>26.86034378765514</v>
      </c>
      <c r="J67" s="175">
        <f t="shared" si="6"/>
        <v>7</v>
      </c>
      <c r="K67" s="176">
        <f>'Italy (Month)'!E75</f>
        <v>379</v>
      </c>
    </row>
    <row r="68" spans="2:12" x14ac:dyDescent="0.35">
      <c r="B68" s="6" t="s">
        <v>621</v>
      </c>
      <c r="C68" s="174">
        <f>'Italy (Month)'!C330</f>
        <v>4.5772763985876326</v>
      </c>
      <c r="D68" s="175">
        <f t="shared" si="4"/>
        <v>8</v>
      </c>
      <c r="E68" s="176">
        <f>'Italy (Month)'!C345</f>
        <v>307</v>
      </c>
      <c r="F68" s="174">
        <f>'Italy (Month)'!D330</f>
        <v>3.424548066675174</v>
      </c>
      <c r="G68" s="175">
        <f t="shared" si="5"/>
        <v>9</v>
      </c>
      <c r="H68" s="176">
        <f>'Italy (Month)'!D345</f>
        <v>384</v>
      </c>
      <c r="I68" s="174">
        <f>'Italy (Month)'!E330</f>
        <v>4.0870436405550414</v>
      </c>
      <c r="J68" s="175">
        <f t="shared" si="6"/>
        <v>8</v>
      </c>
      <c r="K68" s="176">
        <f>'Italy (Month)'!E345</f>
        <v>404</v>
      </c>
    </row>
    <row r="69" spans="2:12" x14ac:dyDescent="0.35">
      <c r="B69" s="6" t="s">
        <v>620</v>
      </c>
      <c r="C69" s="174">
        <f>'Italy (Month)'!C312</f>
        <v>0.61913311938593452</v>
      </c>
      <c r="D69" s="175">
        <f t="shared" si="4"/>
        <v>9</v>
      </c>
      <c r="E69" s="176">
        <f>'Italy (Month)'!C327</f>
        <v>277</v>
      </c>
      <c r="F69" s="174">
        <f>'Italy (Month)'!D312</f>
        <v>4.0682766555890097</v>
      </c>
      <c r="G69" s="175">
        <f t="shared" si="5"/>
        <v>8</v>
      </c>
      <c r="H69" s="176">
        <f>'Italy (Month)'!D327</f>
        <v>356</v>
      </c>
      <c r="I69" s="174">
        <f>'Italy (Month)'!E312</f>
        <v>3.8747150198853371</v>
      </c>
      <c r="J69" s="175">
        <f t="shared" si="6"/>
        <v>9</v>
      </c>
      <c r="K69" s="176">
        <f>'Italy (Month)'!E327</f>
        <v>363</v>
      </c>
    </row>
    <row r="70" spans="2:12" x14ac:dyDescent="0.35">
      <c r="B70" s="6" t="s">
        <v>623</v>
      </c>
      <c r="C70" s="174">
        <f>'Italy (Month)'!C366</f>
        <v>-3.8019076384882742</v>
      </c>
      <c r="D70" s="175">
        <f t="shared" si="4"/>
        <v>11</v>
      </c>
      <c r="E70" s="176">
        <f>'Italy (Month)'!C381</f>
        <v>240</v>
      </c>
      <c r="F70" s="174">
        <f>'Italy (Month)'!D366</f>
        <v>1.0052465041212399</v>
      </c>
      <c r="G70" s="175">
        <f t="shared" si="5"/>
        <v>10</v>
      </c>
      <c r="H70" s="176">
        <f>'Italy (Month)'!D381</f>
        <v>311</v>
      </c>
      <c r="I70" s="174">
        <f>'Italy (Month)'!E366</f>
        <v>1.65071440223025</v>
      </c>
      <c r="J70" s="175">
        <f t="shared" si="6"/>
        <v>10</v>
      </c>
      <c r="K70" s="176">
        <f>'Italy (Month)'!E381</f>
        <v>316</v>
      </c>
    </row>
    <row r="71" spans="2:12" x14ac:dyDescent="0.35">
      <c r="B71" s="6" t="s">
        <v>622</v>
      </c>
      <c r="C71" s="174">
        <f>'Italy (Month)'!C348</f>
        <v>-2.0696338097699241</v>
      </c>
      <c r="D71" s="175">
        <f t="shared" si="4"/>
        <v>10</v>
      </c>
      <c r="E71" s="176">
        <f>'Italy (Month)'!C363</f>
        <v>259</v>
      </c>
      <c r="F71" s="174">
        <f>'Italy (Month)'!D348</f>
        <v>0.71753328781109993</v>
      </c>
      <c r="G71" s="175">
        <f t="shared" si="5"/>
        <v>11</v>
      </c>
      <c r="H71" s="176">
        <f>'Italy (Month)'!D363</f>
        <v>342</v>
      </c>
      <c r="I71" s="174">
        <f>'Italy (Month)'!E348</f>
        <v>1.6238331453158901</v>
      </c>
      <c r="J71" s="175">
        <f t="shared" si="6"/>
        <v>11</v>
      </c>
      <c r="K71" s="176">
        <f>'Italy (Month)'!E363</f>
        <v>354</v>
      </c>
    </row>
    <row r="72" spans="2:12" x14ac:dyDescent="0.35">
      <c r="B72" s="6" t="s">
        <v>101</v>
      </c>
      <c r="C72" s="171" t="str">
        <f>'Italy (Month)'!C114</f>
        <v>Low N</v>
      </c>
      <c r="D72" s="172" t="s">
        <v>43</v>
      </c>
      <c r="E72" s="173">
        <f>'Italy (Month)'!C129</f>
        <v>59</v>
      </c>
      <c r="F72" s="171" t="str">
        <f>'Italy (Month)'!D114</f>
        <v>Low N</v>
      </c>
      <c r="G72" s="172" t="s">
        <v>43</v>
      </c>
      <c r="H72" s="173">
        <f>'Italy (Month)'!D129</f>
        <v>65</v>
      </c>
      <c r="I72" s="171" t="str">
        <f>'Italy (Month)'!E114</f>
        <v>Low N</v>
      </c>
      <c r="J72" s="172" t="s">
        <v>43</v>
      </c>
      <c r="K72" s="173">
        <f>'Italy (Month)'!E129</f>
        <v>66</v>
      </c>
    </row>
    <row r="73" spans="2:12" x14ac:dyDescent="0.35">
      <c r="B73" s="6" t="s">
        <v>91</v>
      </c>
      <c r="C73" s="171" t="str">
        <f>'Italy (Month)'!C132</f>
        <v>Low N</v>
      </c>
      <c r="D73" s="172" t="s">
        <v>43</v>
      </c>
      <c r="E73" s="173">
        <f>'Italy (Month)'!C147</f>
        <v>28</v>
      </c>
      <c r="F73" s="171" t="str">
        <f>'Italy (Month)'!D132</f>
        <v>Low N</v>
      </c>
      <c r="G73" s="172" t="s">
        <v>43</v>
      </c>
      <c r="H73" s="173">
        <f>'Italy (Month)'!D147</f>
        <v>31</v>
      </c>
      <c r="I73" s="171" t="str">
        <f>'Italy (Month)'!E132</f>
        <v>Low N</v>
      </c>
      <c r="J73" s="172" t="s">
        <v>43</v>
      </c>
      <c r="K73" s="173">
        <f>'Italy (Month)'!E147</f>
        <v>34</v>
      </c>
    </row>
    <row r="74" spans="2:12" x14ac:dyDescent="0.35">
      <c r="B74" s="6" t="s">
        <v>103</v>
      </c>
      <c r="C74" s="171" t="str">
        <f>'Italy (Month)'!C168</f>
        <v>Low N</v>
      </c>
      <c r="D74" s="172" t="s">
        <v>43</v>
      </c>
      <c r="E74" s="173">
        <f>'Italy (Month)'!C183</f>
        <v>66</v>
      </c>
      <c r="F74" s="171" t="str">
        <f>'Italy (Month)'!D168</f>
        <v>Low N</v>
      </c>
      <c r="G74" s="172" t="s">
        <v>43</v>
      </c>
      <c r="H74" s="173">
        <f>'Italy (Month)'!D183</f>
        <v>76</v>
      </c>
      <c r="I74" s="171" t="str">
        <f>'Italy (Month)'!E168</f>
        <v>Low N</v>
      </c>
      <c r="J74" s="172" t="s">
        <v>43</v>
      </c>
      <c r="K74" s="173">
        <f>'Italy (Month)'!E183</f>
        <v>73</v>
      </c>
    </row>
    <row r="75" spans="2:12" x14ac:dyDescent="0.35">
      <c r="B75" s="6" t="s">
        <v>104</v>
      </c>
      <c r="C75" s="171" t="str">
        <f>'Italy (Month)'!C186</f>
        <v>Low N</v>
      </c>
      <c r="D75" s="172" t="s">
        <v>43</v>
      </c>
      <c r="E75" s="173">
        <f>'Italy (Month)'!C201</f>
        <v>14</v>
      </c>
      <c r="F75" s="171" t="str">
        <f>'Italy (Month)'!D186</f>
        <v>Low N</v>
      </c>
      <c r="G75" s="172" t="s">
        <v>43</v>
      </c>
      <c r="H75" s="173">
        <f>'Italy (Month)'!D201</f>
        <v>17</v>
      </c>
      <c r="I75" s="171" t="str">
        <f>'Italy (Month)'!E186</f>
        <v>Low N</v>
      </c>
      <c r="J75" s="172" t="s">
        <v>43</v>
      </c>
      <c r="K75" s="173">
        <f>'Italy (Month)'!E201</f>
        <v>16</v>
      </c>
    </row>
    <row r="76" spans="2:12" x14ac:dyDescent="0.35">
      <c r="B76" s="6" t="s">
        <v>106</v>
      </c>
      <c r="C76" s="171" t="str">
        <f>'Italy (Month)'!C222</f>
        <v>Low N</v>
      </c>
      <c r="D76" s="172" t="s">
        <v>43</v>
      </c>
      <c r="E76" s="173">
        <f>'Italy (Month)'!C237</f>
        <v>21</v>
      </c>
      <c r="F76" s="171" t="str">
        <f>'Italy (Month)'!D222</f>
        <v>Low N</v>
      </c>
      <c r="G76" s="172" t="s">
        <v>43</v>
      </c>
      <c r="H76" s="173">
        <f>'Italy (Month)'!D237</f>
        <v>24</v>
      </c>
      <c r="I76" s="171" t="str">
        <f>'Italy (Month)'!E222</f>
        <v>Low N</v>
      </c>
      <c r="J76" s="172" t="s">
        <v>43</v>
      </c>
      <c r="K76" s="173">
        <f>'Italy (Month)'!E237</f>
        <v>21</v>
      </c>
    </row>
    <row r="77" spans="2:12" x14ac:dyDescent="0.35">
      <c r="B77" s="6" t="s">
        <v>107</v>
      </c>
      <c r="C77" s="171" t="str">
        <f>'Italy (Month)'!C240</f>
        <v>Low N</v>
      </c>
      <c r="D77" s="172" t="s">
        <v>43</v>
      </c>
      <c r="E77" s="173">
        <f>'Italy (Month)'!C255</f>
        <v>18</v>
      </c>
      <c r="F77" s="171" t="str">
        <f>'Italy (Month)'!D240</f>
        <v>Low N</v>
      </c>
      <c r="G77" s="172" t="s">
        <v>43</v>
      </c>
      <c r="H77" s="173">
        <f>'Italy (Month)'!D255</f>
        <v>21</v>
      </c>
      <c r="I77" s="171" t="str">
        <f>'Italy (Month)'!E240</f>
        <v>Low N</v>
      </c>
      <c r="J77" s="172" t="s">
        <v>43</v>
      </c>
      <c r="K77" s="173">
        <f>'Italy (Month)'!E255</f>
        <v>19</v>
      </c>
    </row>
    <row r="78" spans="2:12" x14ac:dyDescent="0.35">
      <c r="B78" s="6" t="s">
        <v>69</v>
      </c>
      <c r="C78" s="171" t="str">
        <f>'Italy (Month)'!C258</f>
        <v>Low N</v>
      </c>
      <c r="D78" s="172" t="s">
        <v>43</v>
      </c>
      <c r="E78" s="173">
        <f>'Italy (Month)'!C273</f>
        <v>28</v>
      </c>
      <c r="F78" s="171" t="str">
        <f>'Italy (Month)'!D258</f>
        <v>Low N</v>
      </c>
      <c r="G78" s="172" t="s">
        <v>43</v>
      </c>
      <c r="H78" s="173">
        <f>'Italy (Month)'!D273</f>
        <v>32</v>
      </c>
      <c r="I78" s="171" t="str">
        <f>'Italy (Month)'!E258</f>
        <v>Low N</v>
      </c>
      <c r="J78" s="172" t="s">
        <v>43</v>
      </c>
      <c r="K78" s="173">
        <f>'Italy (Month)'!E273</f>
        <v>33</v>
      </c>
    </row>
    <row r="79" spans="2:12" x14ac:dyDescent="0.35">
      <c r="B79" s="6" t="s">
        <v>436</v>
      </c>
      <c r="C79" s="171" t="str">
        <f>'Italy (Month)'!C276</f>
        <v>Low N</v>
      </c>
      <c r="D79" s="172" t="s">
        <v>43</v>
      </c>
      <c r="E79" s="173">
        <f>'Italy (Month)'!C291</f>
        <v>29</v>
      </c>
      <c r="F79" s="171" t="str">
        <f>'Italy (Month)'!D276</f>
        <v>Low N</v>
      </c>
      <c r="G79" s="172" t="s">
        <v>43</v>
      </c>
      <c r="H79" s="173">
        <f>'Italy (Month)'!D291</f>
        <v>31</v>
      </c>
      <c r="I79" s="171" t="str">
        <f>'Italy (Month)'!E276</f>
        <v>Low N</v>
      </c>
      <c r="J79" s="172" t="s">
        <v>43</v>
      </c>
      <c r="K79" s="173">
        <f>'Italy (Month)'!E291</f>
        <v>25</v>
      </c>
    </row>
    <row r="80" spans="2:12" x14ac:dyDescent="0.35">
      <c r="B80" s="6" t="s">
        <v>437</v>
      </c>
      <c r="C80" s="171" t="str">
        <f>'Italy (Month)'!C294</f>
        <v>Low N</v>
      </c>
      <c r="D80" s="172" t="s">
        <v>43</v>
      </c>
      <c r="E80" s="173">
        <f>'Italy (Month)'!C309</f>
        <v>25</v>
      </c>
      <c r="F80" s="171" t="str">
        <f>'Italy (Month)'!D294</f>
        <v>Low N</v>
      </c>
      <c r="G80" s="172" t="s">
        <v>43</v>
      </c>
      <c r="H80" s="173">
        <f>'Italy (Month)'!D309</f>
        <v>32</v>
      </c>
      <c r="I80" s="171" t="str">
        <f>'Italy (Month)'!E294</f>
        <v>Low N</v>
      </c>
      <c r="J80" s="172" t="s">
        <v>43</v>
      </c>
      <c r="K80" s="173">
        <f>'Italy (Month)'!E309</f>
        <v>29</v>
      </c>
    </row>
    <row r="81" spans="2:12" x14ac:dyDescent="0.35">
      <c r="B81" s="6" t="s">
        <v>102</v>
      </c>
      <c r="C81" s="171" t="s">
        <v>43</v>
      </c>
      <c r="D81" s="172" t="s">
        <v>43</v>
      </c>
      <c r="E81" s="173">
        <f>'Italy (Month)'!C165</f>
        <v>15</v>
      </c>
      <c r="F81" s="171" t="s">
        <v>43</v>
      </c>
      <c r="G81" s="172" t="s">
        <v>43</v>
      </c>
      <c r="H81" s="173">
        <f>'Italy (Month)'!D165</f>
        <v>17</v>
      </c>
    </row>
    <row r="82" spans="2:12" x14ac:dyDescent="0.35">
      <c r="B82" s="142"/>
      <c r="C82" s="140"/>
      <c r="D82" s="76"/>
      <c r="E82" s="141"/>
      <c r="F82" s="140"/>
      <c r="G82" s="76"/>
      <c r="H82" s="141"/>
      <c r="I82" s="140"/>
      <c r="J82" s="76"/>
      <c r="K82" s="141"/>
    </row>
    <row r="83" spans="2:12" x14ac:dyDescent="0.35">
      <c r="B83" s="4" t="s">
        <v>53</v>
      </c>
      <c r="C83" s="137" t="s">
        <v>22</v>
      </c>
      <c r="D83" s="63" t="s">
        <v>23</v>
      </c>
      <c r="E83" s="138" t="s">
        <v>24</v>
      </c>
      <c r="F83" s="137" t="s">
        <v>22</v>
      </c>
      <c r="G83" s="63" t="s">
        <v>23</v>
      </c>
      <c r="H83" s="138" t="s">
        <v>24</v>
      </c>
      <c r="I83" s="137" t="s">
        <v>22</v>
      </c>
      <c r="J83" s="63" t="s">
        <v>23</v>
      </c>
      <c r="K83" s="138" t="s">
        <v>24</v>
      </c>
    </row>
    <row r="84" spans="2:12" x14ac:dyDescent="0.35">
      <c r="B84" s="143" t="s">
        <v>31</v>
      </c>
      <c r="C84" s="174">
        <f>'Netherlands (Month)'!C6</f>
        <v>22.590758153341369</v>
      </c>
      <c r="D84" s="175">
        <f t="shared" ref="D84:D91" si="7">RANK(C84,$C$84:$C$98,0)</f>
        <v>1</v>
      </c>
      <c r="E84" s="176">
        <f>'Netherlands (Month)'!C21</f>
        <v>260</v>
      </c>
      <c r="F84" s="174">
        <f>'Netherlands (Month)'!D6</f>
        <v>20.112431239447069</v>
      </c>
      <c r="G84" s="175">
        <f t="shared" ref="G84:G91" si="8">RANK(F84,$F$84:$F$98,0)</f>
        <v>1</v>
      </c>
      <c r="H84" s="176">
        <f>'Netherlands (Month)'!D21</f>
        <v>296</v>
      </c>
      <c r="I84" s="174">
        <f>'Netherlands (Month)'!E6</f>
        <v>21.139988171259979</v>
      </c>
      <c r="J84" s="175">
        <f t="shared" ref="J84:J91" si="9">RANK(I84,$I$84:$I$98,0)</f>
        <v>1</v>
      </c>
      <c r="K84" s="176">
        <f>'Netherlands (Month)'!E21</f>
        <v>272</v>
      </c>
      <c r="L84" s="192"/>
    </row>
    <row r="85" spans="2:12" x14ac:dyDescent="0.35">
      <c r="B85" s="6" t="s">
        <v>110</v>
      </c>
      <c r="C85" s="174">
        <f>'Netherlands (Month)'!C114</f>
        <v>16.585219464662281</v>
      </c>
      <c r="D85" s="175">
        <f t="shared" si="7"/>
        <v>2</v>
      </c>
      <c r="E85" s="176">
        <f>'Netherlands (Month)'!C129</f>
        <v>180</v>
      </c>
      <c r="F85" s="174">
        <f>'Netherlands (Month)'!D114</f>
        <v>16.356022867410189</v>
      </c>
      <c r="G85" s="175">
        <f t="shared" si="8"/>
        <v>2</v>
      </c>
      <c r="H85" s="176">
        <f>'Netherlands (Month)'!D129</f>
        <v>225</v>
      </c>
      <c r="I85" s="174">
        <f>'Netherlands (Month)'!E114</f>
        <v>18.03926384543071</v>
      </c>
      <c r="J85" s="175">
        <f t="shared" si="9"/>
        <v>2</v>
      </c>
      <c r="K85" s="176">
        <f>'Netherlands (Month)'!E129</f>
        <v>232</v>
      </c>
    </row>
    <row r="86" spans="2:12" x14ac:dyDescent="0.35">
      <c r="B86" s="6" t="s">
        <v>54</v>
      </c>
      <c r="C86" s="174">
        <f>'Netherlands (Month)'!C24</f>
        <v>13.1645072004015</v>
      </c>
      <c r="D86" s="175">
        <f t="shared" si="7"/>
        <v>3</v>
      </c>
      <c r="E86" s="176">
        <f>'Netherlands (Month)'!C39</f>
        <v>168</v>
      </c>
      <c r="F86" s="174">
        <f>'Netherlands (Month)'!D24</f>
        <v>15.57458340613055</v>
      </c>
      <c r="G86" s="175">
        <f t="shared" si="8"/>
        <v>3</v>
      </c>
      <c r="H86" s="176">
        <f>'Netherlands (Month)'!D39</f>
        <v>203</v>
      </c>
      <c r="I86" s="174">
        <f>'Netherlands (Month)'!E24</f>
        <v>13.836481799630819</v>
      </c>
      <c r="J86" s="175">
        <f t="shared" si="9"/>
        <v>3</v>
      </c>
      <c r="K86" s="176">
        <f>'Netherlands (Month)'!E39</f>
        <v>199</v>
      </c>
    </row>
    <row r="87" spans="2:12" x14ac:dyDescent="0.35">
      <c r="B87" s="6" t="s">
        <v>55</v>
      </c>
      <c r="C87" s="174">
        <f>'Netherlands (Month)'!C42</f>
        <v>10.872639106825829</v>
      </c>
      <c r="D87" s="175">
        <f t="shared" si="7"/>
        <v>4</v>
      </c>
      <c r="E87" s="176">
        <f>'Netherlands (Month)'!C57</f>
        <v>193</v>
      </c>
      <c r="F87" s="174">
        <f>'Netherlands (Month)'!D42</f>
        <v>9.9592566215549514</v>
      </c>
      <c r="G87" s="175">
        <f t="shared" si="8"/>
        <v>4</v>
      </c>
      <c r="H87" s="176">
        <f>'Netherlands (Month)'!D57</f>
        <v>223</v>
      </c>
      <c r="I87" s="174">
        <f>'Netherlands (Month)'!E42</f>
        <v>9.298373748916072</v>
      </c>
      <c r="J87" s="175">
        <f t="shared" si="9"/>
        <v>4</v>
      </c>
      <c r="K87" s="176">
        <f>'Netherlands (Month)'!E57</f>
        <v>213</v>
      </c>
    </row>
    <row r="88" spans="2:12" x14ac:dyDescent="0.35">
      <c r="B88" s="6" t="s">
        <v>626</v>
      </c>
      <c r="C88" s="174">
        <f>'Netherlands (Month)'!C258</f>
        <v>3.7877831225452181</v>
      </c>
      <c r="D88" s="175">
        <f t="shared" si="7"/>
        <v>5</v>
      </c>
      <c r="E88" s="176">
        <f>'Netherlands (Month)'!C273</f>
        <v>214</v>
      </c>
      <c r="F88" s="174">
        <f>'Netherlands (Month)'!D258</f>
        <v>4.54814655982329</v>
      </c>
      <c r="G88" s="175">
        <f t="shared" si="8"/>
        <v>6</v>
      </c>
      <c r="H88" s="176">
        <f>'Netherlands (Month)'!D273</f>
        <v>277</v>
      </c>
      <c r="I88" s="174">
        <f>'Netherlands (Month)'!E258</f>
        <v>8.4741879886438412</v>
      </c>
      <c r="J88" s="175">
        <f t="shared" si="9"/>
        <v>5</v>
      </c>
      <c r="K88" s="176">
        <f>'Netherlands (Month)'!E273</f>
        <v>300</v>
      </c>
    </row>
    <row r="89" spans="2:12" x14ac:dyDescent="0.35">
      <c r="B89" s="6" t="s">
        <v>651</v>
      </c>
      <c r="C89" s="174">
        <f>'Netherlands (Month)'!C186</f>
        <v>3.299774730878378</v>
      </c>
      <c r="D89" s="175">
        <f t="shared" si="7"/>
        <v>6</v>
      </c>
      <c r="E89" s="176">
        <f>'Netherlands (Month)'!C201</f>
        <v>126</v>
      </c>
      <c r="F89" s="174">
        <f>'Netherlands (Month)'!D186</f>
        <v>6.6966298752264066</v>
      </c>
      <c r="G89" s="175">
        <f t="shared" si="8"/>
        <v>5</v>
      </c>
      <c r="H89" s="176">
        <f>'Netherlands (Month)'!D201</f>
        <v>164</v>
      </c>
      <c r="I89" s="174">
        <f>'Netherlands (Month)'!E186</f>
        <v>6.8145847922801632</v>
      </c>
      <c r="J89" s="175">
        <f t="shared" si="9"/>
        <v>6</v>
      </c>
      <c r="K89" s="176">
        <f>'Netherlands (Month)'!E201</f>
        <v>165</v>
      </c>
    </row>
    <row r="90" spans="2:12" x14ac:dyDescent="0.35">
      <c r="B90" s="6" t="s">
        <v>624</v>
      </c>
      <c r="C90" s="174">
        <f>'Netherlands (Month)'!C222</f>
        <v>-4.3981694011425372</v>
      </c>
      <c r="D90" s="175">
        <f t="shared" si="7"/>
        <v>7</v>
      </c>
      <c r="E90" s="176">
        <f>'Netherlands (Month)'!C237</f>
        <v>150</v>
      </c>
      <c r="F90" s="174">
        <f>'Netherlands (Month)'!D222</f>
        <v>-4.0241252008418833</v>
      </c>
      <c r="G90" s="175">
        <f t="shared" si="8"/>
        <v>7</v>
      </c>
      <c r="H90" s="176">
        <f>'Netherlands (Month)'!D237</f>
        <v>191</v>
      </c>
      <c r="I90" s="174">
        <f>'Netherlands (Month)'!E222</f>
        <v>0.36489482586932143</v>
      </c>
      <c r="J90" s="175">
        <f t="shared" si="9"/>
        <v>7</v>
      </c>
      <c r="K90" s="176">
        <f>'Netherlands (Month)'!E237</f>
        <v>202</v>
      </c>
    </row>
    <row r="91" spans="2:12" x14ac:dyDescent="0.35">
      <c r="B91" s="6" t="s">
        <v>625</v>
      </c>
      <c r="C91" s="174">
        <f>'Netherlands (Month)'!C240</f>
        <v>-8.096865452245293</v>
      </c>
      <c r="D91" s="175">
        <f t="shared" si="7"/>
        <v>8</v>
      </c>
      <c r="E91" s="176">
        <f>'Netherlands (Month)'!C255</f>
        <v>223</v>
      </c>
      <c r="F91" s="174">
        <f>'Netherlands (Month)'!D240</f>
        <v>-5.1834718627451748</v>
      </c>
      <c r="G91" s="175">
        <f t="shared" si="8"/>
        <v>8</v>
      </c>
      <c r="H91" s="176">
        <f>'Netherlands (Month)'!D255</f>
        <v>296</v>
      </c>
      <c r="I91" s="174">
        <f>'Netherlands (Month)'!E240</f>
        <v>-3.907957117720966</v>
      </c>
      <c r="J91" s="175">
        <f t="shared" si="9"/>
        <v>8</v>
      </c>
      <c r="K91" s="176">
        <f>'Netherlands (Month)'!E255</f>
        <v>300</v>
      </c>
    </row>
    <row r="92" spans="2:12" x14ac:dyDescent="0.35">
      <c r="B92" s="6" t="s">
        <v>465</v>
      </c>
      <c r="C92" s="171" t="str">
        <f>'Netherlands (Month)'!C60</f>
        <v>Low N</v>
      </c>
      <c r="D92" s="172" t="s">
        <v>43</v>
      </c>
      <c r="E92" s="173">
        <f>'Netherlands (Month)'!C75</f>
        <v>50</v>
      </c>
      <c r="F92" s="171" t="str">
        <f>'Netherlands (Month)'!D60</f>
        <v>Low N</v>
      </c>
      <c r="G92" s="172" t="s">
        <v>43</v>
      </c>
      <c r="H92" s="173">
        <f>'Netherlands (Month)'!D75</f>
        <v>66</v>
      </c>
      <c r="I92" s="171" t="str">
        <f>'Netherlands (Month)'!E60</f>
        <v>Low N</v>
      </c>
      <c r="J92" s="172" t="s">
        <v>43</v>
      </c>
      <c r="K92" s="173">
        <f>'Netherlands (Month)'!E75</f>
        <v>69</v>
      </c>
    </row>
    <row r="93" spans="2:12" x14ac:dyDescent="0.35">
      <c r="B93" s="6" t="s">
        <v>109</v>
      </c>
      <c r="C93" s="171" t="str">
        <f>'Netherlands (Month)'!C96</f>
        <v>Low N</v>
      </c>
      <c r="D93" s="172" t="s">
        <v>43</v>
      </c>
      <c r="E93" s="173">
        <f>'Netherlands (Month)'!C111</f>
        <v>19</v>
      </c>
      <c r="F93" s="171" t="str">
        <f>'Netherlands (Month)'!D96</f>
        <v>Low N</v>
      </c>
      <c r="G93" s="172" t="s">
        <v>43</v>
      </c>
      <c r="H93" s="173">
        <f>'Netherlands (Month)'!D111</f>
        <v>26</v>
      </c>
      <c r="I93" s="171" t="str">
        <f>'Netherlands (Month)'!E96</f>
        <v>Low N</v>
      </c>
      <c r="J93" s="172" t="s">
        <v>43</v>
      </c>
      <c r="K93" s="173">
        <f>'Netherlands (Month)'!E111</f>
        <v>26</v>
      </c>
    </row>
    <row r="94" spans="2:12" x14ac:dyDescent="0.35">
      <c r="B94" s="6" t="s">
        <v>111</v>
      </c>
      <c r="C94" s="171" t="str">
        <f>'Netherlands (Month)'!C132</f>
        <v>Low N</v>
      </c>
      <c r="D94" s="172" t="s">
        <v>43</v>
      </c>
      <c r="E94" s="173">
        <f>'Netherlands (Month)'!C147</f>
        <v>20</v>
      </c>
      <c r="F94" s="171" t="str">
        <f>'Netherlands (Month)'!D132</f>
        <v>Low N</v>
      </c>
      <c r="G94" s="172" t="s">
        <v>43</v>
      </c>
      <c r="H94" s="173">
        <f>'Netherlands (Month)'!D147</f>
        <v>25</v>
      </c>
      <c r="I94" s="171" t="str">
        <f>'Netherlands (Month)'!E132</f>
        <v>Low N</v>
      </c>
      <c r="J94" s="172" t="s">
        <v>43</v>
      </c>
      <c r="K94" s="173">
        <f>'Netherlands (Month)'!E147</f>
        <v>24</v>
      </c>
    </row>
    <row r="95" spans="2:12" x14ac:dyDescent="0.35">
      <c r="B95" s="6" t="s">
        <v>113</v>
      </c>
      <c r="C95" s="171" t="str">
        <f>'Netherlands (Month)'!C168</f>
        <v>Low N</v>
      </c>
      <c r="D95" s="172" t="s">
        <v>43</v>
      </c>
      <c r="E95" s="173">
        <f>'Netherlands (Month)'!C183</f>
        <v>21</v>
      </c>
      <c r="F95" s="171" t="str">
        <f>'Netherlands (Month)'!D168</f>
        <v>Low N</v>
      </c>
      <c r="G95" s="172" t="s">
        <v>43</v>
      </c>
      <c r="H95" s="173">
        <f>'Netherlands (Month)'!D183</f>
        <v>23</v>
      </c>
      <c r="I95" s="171" t="str">
        <f>'Netherlands (Month)'!E168</f>
        <v>Low N</v>
      </c>
      <c r="J95" s="172" t="s">
        <v>43</v>
      </c>
      <c r="K95" s="173">
        <f>'Netherlands (Month)'!E183</f>
        <v>25</v>
      </c>
    </row>
    <row r="96" spans="2:12" x14ac:dyDescent="0.35">
      <c r="B96" s="6" t="s">
        <v>105</v>
      </c>
      <c r="C96" s="171" t="str">
        <f>'Netherlands (Month)'!C204</f>
        <v>Low N</v>
      </c>
      <c r="D96" s="172" t="s">
        <v>43</v>
      </c>
      <c r="E96" s="173">
        <f>'Netherlands (Month)'!C219</f>
        <v>76</v>
      </c>
      <c r="F96" s="171" t="str">
        <f>'Netherlands (Month)'!D204</f>
        <v>Low N</v>
      </c>
      <c r="G96" s="172" t="s">
        <v>43</v>
      </c>
      <c r="H96" s="173">
        <f>'Netherlands (Month)'!D219</f>
        <v>88</v>
      </c>
      <c r="I96" s="171" t="str">
        <f>'Netherlands (Month)'!E204</f>
        <v>Low N</v>
      </c>
      <c r="J96" s="172" t="s">
        <v>43</v>
      </c>
      <c r="K96" s="173">
        <f>'Netherlands (Month)'!E219</f>
        <v>96</v>
      </c>
    </row>
    <row r="97" spans="2:12" x14ac:dyDescent="0.35">
      <c r="B97" s="6" t="s">
        <v>56</v>
      </c>
      <c r="C97" s="171" t="str">
        <f>'Netherlands (Month)'!C78</f>
        <v>Low N</v>
      </c>
      <c r="D97" s="172" t="s">
        <v>43</v>
      </c>
      <c r="E97" s="173">
        <f>'Netherlands (Month)'!C93</f>
        <v>9</v>
      </c>
      <c r="F97" s="171" t="str">
        <f>'Netherlands (Month)'!D78</f>
        <v>Low N</v>
      </c>
      <c r="G97" s="172" t="s">
        <v>43</v>
      </c>
      <c r="H97" s="173">
        <f>'Netherlands (Month)'!D93</f>
        <v>9</v>
      </c>
    </row>
    <row r="98" spans="2:12" x14ac:dyDescent="0.35">
      <c r="B98" s="6" t="s">
        <v>112</v>
      </c>
      <c r="C98" s="171" t="str">
        <f>'Netherlands (Month)'!C150</f>
        <v>Low N</v>
      </c>
      <c r="D98" s="172" t="s">
        <v>43</v>
      </c>
      <c r="E98" s="173">
        <f>'Netherlands (Month)'!C165</f>
        <v>4</v>
      </c>
      <c r="F98" s="171" t="str">
        <f>'Netherlands (Month)'!D150</f>
        <v>Low N</v>
      </c>
      <c r="G98" s="172" t="s">
        <v>43</v>
      </c>
      <c r="H98" s="173">
        <f>'Netherlands (Month)'!D165</f>
        <v>4</v>
      </c>
    </row>
    <row r="99" spans="2:12" x14ac:dyDescent="0.35">
      <c r="C99" s="139"/>
      <c r="D99" s="62"/>
      <c r="E99" s="33"/>
      <c r="F99" s="139"/>
      <c r="G99" s="62"/>
      <c r="H99" s="33"/>
      <c r="I99" s="139"/>
      <c r="J99" s="62"/>
      <c r="K99" s="33"/>
    </row>
    <row r="100" spans="2:12" x14ac:dyDescent="0.35">
      <c r="B100" s="4" t="s">
        <v>57</v>
      </c>
      <c r="C100" s="137" t="s">
        <v>22</v>
      </c>
      <c r="D100" s="63" t="s">
        <v>23</v>
      </c>
      <c r="E100" s="138" t="s">
        <v>24</v>
      </c>
      <c r="F100" s="137" t="s">
        <v>22</v>
      </c>
      <c r="G100" s="63" t="s">
        <v>23</v>
      </c>
      <c r="H100" s="138" t="s">
        <v>24</v>
      </c>
      <c r="I100" s="137" t="s">
        <v>22</v>
      </c>
      <c r="J100" s="63" t="s">
        <v>23</v>
      </c>
      <c r="K100" s="138" t="s">
        <v>24</v>
      </c>
    </row>
    <row r="101" spans="2:12" x14ac:dyDescent="0.35">
      <c r="B101" s="6" t="s">
        <v>105</v>
      </c>
      <c r="C101" s="174">
        <f>'Poland (Month)'!C258</f>
        <v>59.226942727362001</v>
      </c>
      <c r="D101" s="175">
        <f>RANK(C101,$C$101:$C$116,0)</f>
        <v>1</v>
      </c>
      <c r="E101" s="176">
        <f>'Poland (Month)'!C273</f>
        <v>132</v>
      </c>
      <c r="F101" s="174">
        <f>'Poland (Month)'!D258</f>
        <v>56.509002558433053</v>
      </c>
      <c r="G101" s="175">
        <f>RANK(F101,$F$101:$F$116,0)</f>
        <v>1</v>
      </c>
      <c r="H101" s="176">
        <f>'Poland (Month)'!D273</f>
        <v>158</v>
      </c>
      <c r="I101" s="174">
        <f>'Poland (Month)'!E258</f>
        <v>51.510056581951261</v>
      </c>
      <c r="J101" s="175">
        <f>RANK(I101,$I$101:$I$116,0)</f>
        <v>1</v>
      </c>
      <c r="K101" s="176">
        <f>'Poland (Month)'!E273</f>
        <v>151</v>
      </c>
    </row>
    <row r="102" spans="2:12" x14ac:dyDescent="0.35">
      <c r="B102" s="6" t="s">
        <v>58</v>
      </c>
      <c r="C102" s="174">
        <f>'Poland (Month)'!C42</f>
        <v>31.873024596227658</v>
      </c>
      <c r="D102" s="175">
        <f>RANK(C102,$C$101:$C$116,0)</f>
        <v>3</v>
      </c>
      <c r="E102" s="176">
        <f>'Poland (Month)'!C57</f>
        <v>154</v>
      </c>
      <c r="F102" s="174">
        <f>'Poland (Month)'!D42</f>
        <v>36.27967349489785</v>
      </c>
      <c r="G102" s="175">
        <f>RANK(F102,$F$101:$F$116,0)</f>
        <v>2</v>
      </c>
      <c r="H102" s="176">
        <f>'Poland (Month)'!D57</f>
        <v>184</v>
      </c>
      <c r="I102" s="174">
        <f>'Poland (Month)'!E42</f>
        <v>34.732035334889261</v>
      </c>
      <c r="J102" s="175">
        <f>RANK(I102,$I$101:$I$116,0)</f>
        <v>2</v>
      </c>
      <c r="K102" s="176">
        <f>'Poland (Month)'!E57</f>
        <v>185</v>
      </c>
    </row>
    <row r="103" spans="2:12" x14ac:dyDescent="0.35">
      <c r="B103" s="6" t="s">
        <v>59</v>
      </c>
      <c r="C103" s="171" t="str">
        <f>'Poland (Month)'!C60</f>
        <v>Low N</v>
      </c>
      <c r="D103" s="172" t="s">
        <v>43</v>
      </c>
      <c r="E103" s="173">
        <f>'Poland (Month)'!C75</f>
        <v>92</v>
      </c>
      <c r="F103" s="174">
        <f>'Poland (Month)'!D60</f>
        <v>27.676799773755761</v>
      </c>
      <c r="G103" s="175">
        <f>RANK(F103,$F$101:$F$116,0)</f>
        <v>5</v>
      </c>
      <c r="H103" s="176">
        <f>'Poland (Month)'!D75</f>
        <v>114</v>
      </c>
      <c r="I103" s="174">
        <f>'Poland (Month)'!E60</f>
        <v>34.717384982381709</v>
      </c>
      <c r="J103" s="175">
        <f>RANK(I103,$I$101:$I$116,0)</f>
        <v>3</v>
      </c>
      <c r="K103" s="176">
        <f>'Poland (Month)'!E75</f>
        <v>116</v>
      </c>
    </row>
    <row r="104" spans="2:12" x14ac:dyDescent="0.35">
      <c r="B104" s="5" t="s">
        <v>31</v>
      </c>
      <c r="C104" s="174">
        <f>'Poland (Month)'!C6</f>
        <v>37.738384778185782</v>
      </c>
      <c r="D104" s="175">
        <f>RANK(C104,$C$101:$C$116,0)</f>
        <v>2</v>
      </c>
      <c r="E104" s="176">
        <f>'Poland (Month)'!C21</f>
        <v>133</v>
      </c>
      <c r="F104" s="174">
        <f>'Poland (Month)'!D6</f>
        <v>35.603055997164468</v>
      </c>
      <c r="G104" s="175">
        <f>RANK(F104,$F$101:$F$116,0)</f>
        <v>3</v>
      </c>
      <c r="H104" s="176">
        <f>'Poland (Month)'!D21</f>
        <v>160</v>
      </c>
      <c r="I104" s="174">
        <f>'Poland (Month)'!E6</f>
        <v>33.415363407560527</v>
      </c>
      <c r="J104" s="175">
        <f>RANK(I104,$I$101:$I$116,0)</f>
        <v>4</v>
      </c>
      <c r="K104" s="176">
        <f>'Poland (Month)'!E21</f>
        <v>163</v>
      </c>
      <c r="L104" s="192"/>
    </row>
    <row r="105" spans="2:12" x14ac:dyDescent="0.35">
      <c r="B105" s="6" t="s">
        <v>60</v>
      </c>
      <c r="C105" s="174">
        <f>'Poland (Month)'!C78</f>
        <v>31.170856394889672</v>
      </c>
      <c r="D105" s="175">
        <f>RANK(C105,$C$101:$C$116,0)</f>
        <v>4</v>
      </c>
      <c r="E105" s="176">
        <f>'Poland (Month)'!C93</f>
        <v>214</v>
      </c>
      <c r="F105" s="174">
        <f>'Poland (Month)'!D78</f>
        <v>33.037205909478622</v>
      </c>
      <c r="G105" s="175">
        <f>RANK(F105,$F$101:$F$116,0)</f>
        <v>4</v>
      </c>
      <c r="H105" s="176">
        <f>'Poland (Month)'!D93</f>
        <v>259</v>
      </c>
      <c r="I105" s="174">
        <f>'Poland (Month)'!E78</f>
        <v>30.393972506354569</v>
      </c>
      <c r="J105" s="175">
        <f>RANK(I105,$I$101:$I$116,0)</f>
        <v>5</v>
      </c>
      <c r="K105" s="176">
        <f>'Poland (Month)'!E93</f>
        <v>274</v>
      </c>
    </row>
    <row r="106" spans="2:12" x14ac:dyDescent="0.35">
      <c r="B106" s="6" t="s">
        <v>439</v>
      </c>
      <c r="C106" s="171" t="str">
        <f>'Poland (Month)'!C24</f>
        <v>Low N</v>
      </c>
      <c r="D106" s="172" t="s">
        <v>43</v>
      </c>
      <c r="E106" s="173">
        <f>'Poland (Month)'!C39</f>
        <v>15</v>
      </c>
      <c r="F106" s="171" t="str">
        <f>'Poland (Month)'!D24</f>
        <v>Low N</v>
      </c>
      <c r="G106" s="172" t="s">
        <v>43</v>
      </c>
      <c r="H106" s="173">
        <f>'Poland (Month)'!D39</f>
        <v>18</v>
      </c>
      <c r="I106" s="171" t="str">
        <f>'Poland (Month)'!E24</f>
        <v>Low N</v>
      </c>
      <c r="J106" s="172" t="s">
        <v>43</v>
      </c>
      <c r="K106" s="173">
        <f>'Poland (Month)'!E39</f>
        <v>20</v>
      </c>
    </row>
    <row r="107" spans="2:12" x14ac:dyDescent="0.35">
      <c r="B107" s="6" t="s">
        <v>61</v>
      </c>
      <c r="C107" s="171" t="str">
        <f>'Poland (Month)'!C96</f>
        <v>Low N</v>
      </c>
      <c r="D107" s="172" t="s">
        <v>43</v>
      </c>
      <c r="E107" s="173">
        <f>'Poland (Month)'!C111</f>
        <v>57</v>
      </c>
      <c r="F107" s="171" t="str">
        <f>'Poland (Month)'!D96</f>
        <v>Low N</v>
      </c>
      <c r="G107" s="172" t="s">
        <v>43</v>
      </c>
      <c r="H107" s="173">
        <f>'Poland (Month)'!D111</f>
        <v>75</v>
      </c>
      <c r="I107" s="171" t="str">
        <f>'Poland (Month)'!E96</f>
        <v>Low N</v>
      </c>
      <c r="J107" s="172" t="s">
        <v>43</v>
      </c>
      <c r="K107" s="173">
        <f>'Poland (Month)'!E111</f>
        <v>88</v>
      </c>
    </row>
    <row r="108" spans="2:12" x14ac:dyDescent="0.35">
      <c r="B108" s="6" t="s">
        <v>649</v>
      </c>
      <c r="C108" s="171" t="str">
        <f>'Poland (Month)'!C114</f>
        <v>Low N</v>
      </c>
      <c r="D108" s="172" t="s">
        <v>43</v>
      </c>
      <c r="E108" s="173">
        <f>'Poland (Month)'!C129</f>
        <v>4</v>
      </c>
      <c r="F108" s="171" t="str">
        <f>'Poland (Month)'!D114</f>
        <v>Low N</v>
      </c>
      <c r="G108" s="172" t="s">
        <v>43</v>
      </c>
      <c r="H108" s="173">
        <f>'Poland (Month)'!D129</f>
        <v>6</v>
      </c>
      <c r="I108" s="171" t="str">
        <f>'Poland (Month)'!E114</f>
        <v>Low N</v>
      </c>
      <c r="J108" s="172" t="s">
        <v>43</v>
      </c>
      <c r="K108" s="173">
        <f>'Poland (Month)'!E129</f>
        <v>6</v>
      </c>
    </row>
    <row r="109" spans="2:12" x14ac:dyDescent="0.35">
      <c r="B109" s="6" t="s">
        <v>114</v>
      </c>
      <c r="C109" s="171" t="str">
        <f>'Poland (Month)'!C132</f>
        <v>Low N</v>
      </c>
      <c r="D109" s="172" t="s">
        <v>43</v>
      </c>
      <c r="E109" s="173">
        <f>'Poland (Month)'!C147</f>
        <v>53</v>
      </c>
      <c r="F109" s="171" t="str">
        <f>'Poland (Month)'!D132</f>
        <v>Low N</v>
      </c>
      <c r="G109" s="172" t="s">
        <v>43</v>
      </c>
      <c r="H109" s="173">
        <f>'Poland (Month)'!D147</f>
        <v>58</v>
      </c>
      <c r="I109" s="171" t="str">
        <f>'Poland (Month)'!E132</f>
        <v>Low N</v>
      </c>
      <c r="J109" s="172" t="s">
        <v>43</v>
      </c>
      <c r="K109" s="173">
        <f>'Poland (Month)'!E147</f>
        <v>63</v>
      </c>
    </row>
    <row r="110" spans="2:12" x14ac:dyDescent="0.35">
      <c r="B110" s="6" t="s">
        <v>115</v>
      </c>
      <c r="C110" s="171" t="str">
        <f>'Poland (Month)'!C150</f>
        <v>Low N</v>
      </c>
      <c r="D110" s="172" t="s">
        <v>43</v>
      </c>
      <c r="E110" s="173">
        <f>'Poland (Month)'!C165</f>
        <v>72</v>
      </c>
      <c r="F110" s="171" t="str">
        <f>'Poland (Month)'!D150</f>
        <v>Low N</v>
      </c>
      <c r="G110" s="172" t="s">
        <v>43</v>
      </c>
      <c r="H110" s="173">
        <f>'Poland (Month)'!D165</f>
        <v>84</v>
      </c>
      <c r="I110" s="171" t="str">
        <f>'Poland (Month)'!E150</f>
        <v>Low N</v>
      </c>
      <c r="J110" s="172" t="s">
        <v>43</v>
      </c>
      <c r="K110" s="173">
        <f>'Poland (Month)'!E165</f>
        <v>86</v>
      </c>
    </row>
    <row r="111" spans="2:12" x14ac:dyDescent="0.35">
      <c r="B111" s="6" t="s">
        <v>116</v>
      </c>
      <c r="C111" s="171" t="str">
        <f>'Poland (Month)'!C168</f>
        <v>Low N</v>
      </c>
      <c r="D111" s="172" t="s">
        <v>43</v>
      </c>
      <c r="E111" s="173">
        <f>'Poland (Month)'!C183</f>
        <v>12</v>
      </c>
      <c r="F111" s="171" t="str">
        <f>'Poland (Month)'!D168</f>
        <v>Low N</v>
      </c>
      <c r="G111" s="172" t="s">
        <v>43</v>
      </c>
      <c r="H111" s="173">
        <f>'Poland (Month)'!D183</f>
        <v>15</v>
      </c>
      <c r="I111" s="171" t="str">
        <f>'Poland (Month)'!E168</f>
        <v>Low N</v>
      </c>
      <c r="J111" s="172" t="s">
        <v>43</v>
      </c>
      <c r="K111" s="173">
        <f>'Poland (Month)'!E183</f>
        <v>13</v>
      </c>
    </row>
    <row r="112" spans="2:12" x14ac:dyDescent="0.35">
      <c r="B112" s="144" t="s">
        <v>117</v>
      </c>
      <c r="C112" s="171" t="str">
        <f>'Poland (Month)'!C186</f>
        <v>Low N</v>
      </c>
      <c r="D112" s="172" t="s">
        <v>43</v>
      </c>
      <c r="E112" s="173">
        <f>'Poland (Month)'!C201</f>
        <v>32</v>
      </c>
      <c r="F112" s="171" t="str">
        <f>'Poland (Month)'!D186</f>
        <v>Low N</v>
      </c>
      <c r="G112" s="172" t="s">
        <v>43</v>
      </c>
      <c r="H112" s="173">
        <f>'Poland (Month)'!D201</f>
        <v>39</v>
      </c>
      <c r="I112" s="171" t="str">
        <f>'Poland (Month)'!E186</f>
        <v>Low N</v>
      </c>
      <c r="J112" s="172" t="s">
        <v>43</v>
      </c>
      <c r="K112" s="173">
        <f>'Poland (Month)'!E201</f>
        <v>41</v>
      </c>
    </row>
    <row r="113" spans="2:12" x14ac:dyDescent="0.35">
      <c r="B113" s="160" t="s">
        <v>118</v>
      </c>
      <c r="C113" s="171" t="str">
        <f>'Poland (Month)'!C204</f>
        <v>Low N</v>
      </c>
      <c r="D113" s="172" t="s">
        <v>43</v>
      </c>
      <c r="E113" s="173">
        <f>'Poland (Month)'!C219</f>
        <v>20</v>
      </c>
      <c r="F113" s="171" t="str">
        <f>'Poland (Month)'!D204</f>
        <v>Low N</v>
      </c>
      <c r="G113" s="172" t="s">
        <v>43</v>
      </c>
      <c r="H113" s="173">
        <f>'Poland (Month)'!D219</f>
        <v>20</v>
      </c>
      <c r="I113" s="171" t="str">
        <f>'Poland (Month)'!E204</f>
        <v>Low N</v>
      </c>
      <c r="J113" s="172" t="s">
        <v>43</v>
      </c>
      <c r="K113" s="173">
        <f>'Poland (Month)'!E219</f>
        <v>22</v>
      </c>
    </row>
    <row r="114" spans="2:12" x14ac:dyDescent="0.35">
      <c r="B114" s="144" t="s">
        <v>104</v>
      </c>
      <c r="C114" s="171" t="str">
        <f>'Poland (Month)'!C222</f>
        <v>Low N</v>
      </c>
      <c r="D114" s="172" t="s">
        <v>43</v>
      </c>
      <c r="E114" s="173">
        <f>'Poland (Month)'!C237</f>
        <v>3</v>
      </c>
      <c r="F114" s="171" t="str">
        <f>'Poland (Month)'!D222</f>
        <v>Low N</v>
      </c>
      <c r="G114" s="172" t="s">
        <v>43</v>
      </c>
      <c r="H114" s="173">
        <f>'Poland (Month)'!D237</f>
        <v>4</v>
      </c>
      <c r="I114" s="171" t="str">
        <f>'Poland (Month)'!E222</f>
        <v>Low N</v>
      </c>
      <c r="J114" s="172" t="s">
        <v>43</v>
      </c>
      <c r="K114" s="173">
        <f>'Poland (Month)'!E237</f>
        <v>5</v>
      </c>
    </row>
    <row r="115" spans="2:12" x14ac:dyDescent="0.35">
      <c r="B115" s="144" t="s">
        <v>119</v>
      </c>
      <c r="C115" s="171" t="str">
        <f>'Poland (Month)'!C240</f>
        <v>Low N</v>
      </c>
      <c r="D115" s="172" t="s">
        <v>43</v>
      </c>
      <c r="E115" s="173">
        <f>'Poland (Month)'!C255</f>
        <v>7</v>
      </c>
      <c r="F115" s="171" t="str">
        <f>'Poland (Month)'!D240</f>
        <v>Low N</v>
      </c>
      <c r="G115" s="172" t="s">
        <v>43</v>
      </c>
      <c r="H115" s="173">
        <f>'Poland (Month)'!D255</f>
        <v>9</v>
      </c>
      <c r="I115" s="171" t="str">
        <f>'Poland (Month)'!E240</f>
        <v>Low N</v>
      </c>
      <c r="J115" s="172" t="s">
        <v>43</v>
      </c>
      <c r="K115" s="173">
        <f>'Poland (Month)'!E255</f>
        <v>11</v>
      </c>
    </row>
    <row r="116" spans="2:12" x14ac:dyDescent="0.35">
      <c r="B116" s="144" t="s">
        <v>640</v>
      </c>
      <c r="C116" s="171" t="str">
        <f>'Poland (Month)'!C276</f>
        <v>Low N</v>
      </c>
      <c r="D116" s="172" t="s">
        <v>43</v>
      </c>
      <c r="E116" s="173">
        <f>'Poland (Month)'!C291</f>
        <v>4</v>
      </c>
      <c r="F116" s="171" t="str">
        <f>'Poland (Month)'!D276</f>
        <v>Low N</v>
      </c>
      <c r="G116" s="172" t="s">
        <v>43</v>
      </c>
      <c r="H116" s="173">
        <f>'Poland (Month)'!D291</f>
        <v>5</v>
      </c>
      <c r="I116" s="171" t="str">
        <f>'Poland (Month)'!E276</f>
        <v>Low N</v>
      </c>
      <c r="J116" s="172" t="s">
        <v>43</v>
      </c>
      <c r="K116" s="173">
        <f>'Poland (Month)'!E291</f>
        <v>5</v>
      </c>
    </row>
    <row r="117" spans="2:12" x14ac:dyDescent="0.35">
      <c r="B117" s="7"/>
      <c r="C117" s="140"/>
      <c r="D117" s="76"/>
      <c r="E117" s="141"/>
      <c r="F117" s="140"/>
      <c r="G117" s="76"/>
      <c r="H117" s="141"/>
      <c r="I117" s="140"/>
      <c r="J117" s="76"/>
      <c r="K117" s="141"/>
    </row>
    <row r="118" spans="2:12" x14ac:dyDescent="0.35">
      <c r="B118" s="4" t="s">
        <v>62</v>
      </c>
      <c r="C118" s="137" t="s">
        <v>22</v>
      </c>
      <c r="D118" s="63" t="s">
        <v>23</v>
      </c>
      <c r="E118" s="138" t="s">
        <v>24</v>
      </c>
      <c r="F118" s="137" t="s">
        <v>22</v>
      </c>
      <c r="G118" s="63" t="s">
        <v>23</v>
      </c>
      <c r="H118" s="138" t="s">
        <v>24</v>
      </c>
      <c r="I118" s="137" t="s">
        <v>22</v>
      </c>
      <c r="J118" s="63" t="s">
        <v>23</v>
      </c>
      <c r="K118" s="138" t="s">
        <v>24</v>
      </c>
    </row>
    <row r="119" spans="2:12" x14ac:dyDescent="0.35">
      <c r="B119" s="70" t="s">
        <v>124</v>
      </c>
      <c r="C119" s="174">
        <f>'Romania (month)'!C168</f>
        <v>63.404011239427597</v>
      </c>
      <c r="D119" s="175">
        <f>RANK(C119,$C$119:$C$134,0)</f>
        <v>2</v>
      </c>
      <c r="E119" s="176">
        <f>'Romania (month)'!C183</f>
        <v>294</v>
      </c>
      <c r="F119" s="174">
        <f>'Romania (month)'!D168</f>
        <v>62.933736263561528</v>
      </c>
      <c r="G119" s="175">
        <f t="shared" ref="G119:G128" si="10">RANK(F119,$F$119:$F$134,0)</f>
        <v>3</v>
      </c>
      <c r="H119" s="176">
        <f>'Romania (month)'!D183</f>
        <v>348</v>
      </c>
      <c r="I119" s="174">
        <f>'Romania (month)'!E168</f>
        <v>67.829401302082303</v>
      </c>
      <c r="J119" s="175">
        <f t="shared" ref="J119:J128" si="11">RANK(I119,$I$119:$I$134,0)</f>
        <v>1</v>
      </c>
      <c r="K119" s="176">
        <f>'Romania (month)'!E183</f>
        <v>361</v>
      </c>
    </row>
    <row r="120" spans="2:12" x14ac:dyDescent="0.35">
      <c r="B120" s="70" t="s">
        <v>63</v>
      </c>
      <c r="C120" s="174">
        <f>'Romania (month)'!C24</f>
        <v>61.048679258289823</v>
      </c>
      <c r="D120" s="175">
        <f>RANK(C120,$C$119:$C$134,0)</f>
        <v>3</v>
      </c>
      <c r="E120" s="176">
        <f>'Romania (month)'!C39</f>
        <v>281</v>
      </c>
      <c r="F120" s="174">
        <f>'Romania (month)'!D24</f>
        <v>62.95051657665568</v>
      </c>
      <c r="G120" s="175">
        <f t="shared" si="10"/>
        <v>2</v>
      </c>
      <c r="H120" s="176">
        <f>'Romania (month)'!D39</f>
        <v>340</v>
      </c>
      <c r="I120" s="174">
        <f>'Romania (month)'!E24</f>
        <v>61.950271960642567</v>
      </c>
      <c r="J120" s="175">
        <f t="shared" si="11"/>
        <v>2</v>
      </c>
      <c r="K120" s="176">
        <f>'Romania (month)'!E39</f>
        <v>362</v>
      </c>
    </row>
    <row r="121" spans="2:12" x14ac:dyDescent="0.35">
      <c r="B121" s="70" t="s">
        <v>65</v>
      </c>
      <c r="C121" s="171" t="str">
        <f>'Romania (month)'!C60</f>
        <v>Low N</v>
      </c>
      <c r="D121" s="172" t="s">
        <v>43</v>
      </c>
      <c r="E121" s="173">
        <f>'Romania (month)'!C75</f>
        <v>89</v>
      </c>
      <c r="F121" s="174">
        <f>'Romania (month)'!D60</f>
        <v>59.697775920254408</v>
      </c>
      <c r="G121" s="175">
        <f t="shared" si="10"/>
        <v>4</v>
      </c>
      <c r="H121" s="176">
        <f>'Romania (month)'!D75</f>
        <v>105</v>
      </c>
      <c r="I121" s="174">
        <f>'Romania (month)'!E60</f>
        <v>59.002595588108548</v>
      </c>
      <c r="J121" s="175">
        <f t="shared" si="11"/>
        <v>3</v>
      </c>
      <c r="K121" s="176">
        <f>'Romania (month)'!E75</f>
        <v>117</v>
      </c>
    </row>
    <row r="122" spans="2:12" x14ac:dyDescent="0.35">
      <c r="B122" s="70" t="s">
        <v>66</v>
      </c>
      <c r="C122" s="174">
        <f>'Romania (month)'!C78</f>
        <v>64.142722766759235</v>
      </c>
      <c r="D122" s="175">
        <f t="shared" ref="D122:D128" si="12">RANK(C122,$C$119:$C$134,0)</f>
        <v>1</v>
      </c>
      <c r="E122" s="176">
        <f>'Romania (month)'!C93</f>
        <v>124</v>
      </c>
      <c r="F122" s="174">
        <f>'Romania (month)'!D78</f>
        <v>64.276973325640654</v>
      </c>
      <c r="G122" s="175">
        <f t="shared" si="10"/>
        <v>1</v>
      </c>
      <c r="H122" s="176">
        <f>'Romania (month)'!D93</f>
        <v>149</v>
      </c>
      <c r="I122" s="174">
        <f>'Romania (month)'!E78</f>
        <v>58.52331896344419</v>
      </c>
      <c r="J122" s="175">
        <f t="shared" si="11"/>
        <v>4</v>
      </c>
      <c r="K122" s="176">
        <f>'Romania (month)'!E93</f>
        <v>161</v>
      </c>
    </row>
    <row r="123" spans="2:12" x14ac:dyDescent="0.35">
      <c r="B123" s="5" t="s">
        <v>31</v>
      </c>
      <c r="C123" s="174">
        <f>'Romania (month)'!C6</f>
        <v>60.449886013896752</v>
      </c>
      <c r="D123" s="175">
        <f t="shared" si="12"/>
        <v>4</v>
      </c>
      <c r="E123" s="176">
        <f>'Romania (month)'!C21</f>
        <v>277</v>
      </c>
      <c r="F123" s="174">
        <f>'Romania (month)'!D6</f>
        <v>58.925512905423723</v>
      </c>
      <c r="G123" s="175">
        <f t="shared" si="10"/>
        <v>5</v>
      </c>
      <c r="H123" s="176">
        <f>'Romania (month)'!D21</f>
        <v>318</v>
      </c>
      <c r="I123" s="174">
        <f>'Romania (month)'!E6</f>
        <v>57.968879925363957</v>
      </c>
      <c r="J123" s="175">
        <f t="shared" si="11"/>
        <v>5</v>
      </c>
      <c r="K123" s="176">
        <f>'Romania (month)'!E21</f>
        <v>333</v>
      </c>
      <c r="L123" s="192"/>
    </row>
    <row r="124" spans="2:12" x14ac:dyDescent="0.35">
      <c r="B124" s="70" t="s">
        <v>633</v>
      </c>
      <c r="C124" s="174">
        <f>'Romania (month)'!C222</f>
        <v>41.514143613553493</v>
      </c>
      <c r="D124" s="175">
        <f t="shared" si="12"/>
        <v>6</v>
      </c>
      <c r="E124" s="176">
        <f>'Romania (month)'!C237</f>
        <v>270</v>
      </c>
      <c r="F124" s="174">
        <f>'Romania (month)'!D222</f>
        <v>45.273232979584961</v>
      </c>
      <c r="G124" s="175">
        <f t="shared" si="10"/>
        <v>7</v>
      </c>
      <c r="H124" s="176">
        <f>'Romania (month)'!D237</f>
        <v>346</v>
      </c>
      <c r="I124" s="174">
        <f>'Romania (month)'!E222</f>
        <v>45.980185894700163</v>
      </c>
      <c r="J124" s="175">
        <f t="shared" si="11"/>
        <v>6</v>
      </c>
      <c r="K124" s="176">
        <f>'Romania (month)'!E237</f>
        <v>365</v>
      </c>
    </row>
    <row r="125" spans="2:12" x14ac:dyDescent="0.35">
      <c r="B125" s="70" t="s">
        <v>64</v>
      </c>
      <c r="C125" s="174">
        <f>'Romania (month)'!C42</f>
        <v>44.706074558775143</v>
      </c>
      <c r="D125" s="175">
        <f t="shared" si="12"/>
        <v>5</v>
      </c>
      <c r="E125" s="176">
        <f>'Romania (month)'!C57</f>
        <v>174</v>
      </c>
      <c r="F125" s="174">
        <f>'Romania (month)'!D42</f>
        <v>47.617589545401387</v>
      </c>
      <c r="G125" s="175">
        <f t="shared" si="10"/>
        <v>6</v>
      </c>
      <c r="H125" s="176">
        <f>'Romania (month)'!D57</f>
        <v>203</v>
      </c>
      <c r="I125" s="174">
        <f>'Romania (month)'!E42</f>
        <v>45.87166139914379</v>
      </c>
      <c r="J125" s="175">
        <f t="shared" si="11"/>
        <v>7</v>
      </c>
      <c r="K125" s="176">
        <f>'Romania (month)'!E57</f>
        <v>215</v>
      </c>
    </row>
    <row r="126" spans="2:12" x14ac:dyDescent="0.35">
      <c r="B126" s="70" t="s">
        <v>628</v>
      </c>
      <c r="C126" s="174">
        <f>'Romania (month)'!C240</f>
        <v>31.292983032410199</v>
      </c>
      <c r="D126" s="175">
        <f t="shared" si="12"/>
        <v>7</v>
      </c>
      <c r="E126" s="176">
        <f>'Romania (month)'!C255</f>
        <v>203</v>
      </c>
      <c r="F126" s="174">
        <f>'Romania (month)'!D240</f>
        <v>34.154400951235203</v>
      </c>
      <c r="G126" s="175">
        <f t="shared" si="10"/>
        <v>8</v>
      </c>
      <c r="H126" s="176">
        <f>'Romania (month)'!D255</f>
        <v>258</v>
      </c>
      <c r="I126" s="174">
        <f>'Romania (month)'!E240</f>
        <v>34.5026309199271</v>
      </c>
      <c r="J126" s="175">
        <f t="shared" si="11"/>
        <v>8</v>
      </c>
      <c r="K126" s="176">
        <f>'Romania (month)'!E255</f>
        <v>264</v>
      </c>
    </row>
    <row r="127" spans="2:12" x14ac:dyDescent="0.35">
      <c r="B127" s="70" t="s">
        <v>629</v>
      </c>
      <c r="C127" s="174">
        <f>'Romania (month)'!C258</f>
        <v>22.007561753270171</v>
      </c>
      <c r="D127" s="175">
        <f t="shared" si="12"/>
        <v>8</v>
      </c>
      <c r="E127" s="176">
        <f>'Romania (month)'!C273</f>
        <v>130</v>
      </c>
      <c r="F127" s="174">
        <f>'Romania (month)'!D258</f>
        <v>24.796441070570861</v>
      </c>
      <c r="G127" s="175">
        <f t="shared" si="10"/>
        <v>9</v>
      </c>
      <c r="H127" s="176">
        <f>'Romania (month)'!D273</f>
        <v>167</v>
      </c>
      <c r="I127" s="174">
        <f>'Romania (month)'!E258</f>
        <v>25.190411217648769</v>
      </c>
      <c r="J127" s="175">
        <f t="shared" si="11"/>
        <v>9</v>
      </c>
      <c r="K127" s="176">
        <f>'Romania (month)'!E273</f>
        <v>168</v>
      </c>
    </row>
    <row r="128" spans="2:12" x14ac:dyDescent="0.35">
      <c r="B128" s="70" t="s">
        <v>630</v>
      </c>
      <c r="C128" s="174">
        <f>'Romania (month)'!C276</f>
        <v>20.341004910737151</v>
      </c>
      <c r="D128" s="175">
        <f t="shared" si="12"/>
        <v>9</v>
      </c>
      <c r="E128" s="176">
        <f>'Romania (month)'!C291</f>
        <v>185</v>
      </c>
      <c r="F128" s="174">
        <f>'Romania (month)'!D276</f>
        <v>24.2018083987378</v>
      </c>
      <c r="G128" s="175">
        <f t="shared" si="10"/>
        <v>10</v>
      </c>
      <c r="H128" s="176">
        <f>'Romania (month)'!D291</f>
        <v>233</v>
      </c>
      <c r="I128" s="174">
        <f>'Romania (month)'!E276</f>
        <v>24.40036052782872</v>
      </c>
      <c r="J128" s="175">
        <f t="shared" si="11"/>
        <v>10</v>
      </c>
      <c r="K128" s="176">
        <f>'Romania (month)'!E291</f>
        <v>237</v>
      </c>
    </row>
    <row r="129" spans="2:12" x14ac:dyDescent="0.35">
      <c r="B129" s="70" t="s">
        <v>120</v>
      </c>
      <c r="C129" s="171" t="str">
        <f>'Romania (month)'!C96</f>
        <v>Low N</v>
      </c>
      <c r="D129" s="172" t="s">
        <v>43</v>
      </c>
      <c r="E129" s="173">
        <f>'Romania (month)'!C111</f>
        <v>6</v>
      </c>
      <c r="F129" s="171" t="str">
        <f>'Romania (month)'!D96</f>
        <v>Low N</v>
      </c>
      <c r="G129" s="172" t="s">
        <v>43</v>
      </c>
      <c r="H129" s="173">
        <f>'Romania (month)'!D111</f>
        <v>7</v>
      </c>
      <c r="I129" s="171" t="str">
        <f>'Romania (month)'!E96</f>
        <v>Low N</v>
      </c>
      <c r="J129" s="172" t="s">
        <v>43</v>
      </c>
      <c r="K129" s="173">
        <f>'Romania (month)'!E111</f>
        <v>11</v>
      </c>
    </row>
    <row r="130" spans="2:12" x14ac:dyDescent="0.35">
      <c r="B130" s="70" t="s">
        <v>121</v>
      </c>
      <c r="C130" s="171" t="str">
        <f>'Romania (month)'!C114</f>
        <v>Low N</v>
      </c>
      <c r="D130" s="172" t="s">
        <v>43</v>
      </c>
      <c r="E130" s="173">
        <f>'Romania (month)'!C129</f>
        <v>44</v>
      </c>
      <c r="F130" s="171" t="str">
        <f>'Romania (month)'!D114</f>
        <v>Low N</v>
      </c>
      <c r="G130" s="172" t="s">
        <v>43</v>
      </c>
      <c r="H130" s="173">
        <f>'Romania (month)'!D129</f>
        <v>47</v>
      </c>
      <c r="I130" s="171" t="str">
        <f>'Romania (month)'!E114</f>
        <v>Low N</v>
      </c>
      <c r="J130" s="172" t="s">
        <v>43</v>
      </c>
      <c r="K130" s="173">
        <f>'Romania (month)'!E129</f>
        <v>55</v>
      </c>
    </row>
    <row r="131" spans="2:12" x14ac:dyDescent="0.35">
      <c r="B131" s="70" t="s">
        <v>122</v>
      </c>
      <c r="C131" s="171" t="str">
        <f>'Romania (month)'!C132</f>
        <v>Low N</v>
      </c>
      <c r="D131" s="172" t="s">
        <v>43</v>
      </c>
      <c r="E131" s="173">
        <f>'Romania (month)'!C147</f>
        <v>7</v>
      </c>
      <c r="F131" s="171" t="str">
        <f>'Romania (month)'!D132</f>
        <v>Low N</v>
      </c>
      <c r="G131" s="172" t="s">
        <v>43</v>
      </c>
      <c r="H131" s="173">
        <f>'Romania (month)'!D147</f>
        <v>9</v>
      </c>
      <c r="I131" s="171" t="str">
        <f>'Romania (month)'!E132</f>
        <v>Low N</v>
      </c>
      <c r="J131" s="172" t="s">
        <v>43</v>
      </c>
      <c r="K131" s="173">
        <f>'Romania (month)'!E147</f>
        <v>12</v>
      </c>
    </row>
    <row r="132" spans="2:12" x14ac:dyDescent="0.35">
      <c r="B132" s="70" t="s">
        <v>123</v>
      </c>
      <c r="C132" s="171" t="str">
        <f>'Romania (month)'!C150</f>
        <v>Low N</v>
      </c>
      <c r="D132" s="172" t="s">
        <v>43</v>
      </c>
      <c r="E132" s="173">
        <f>'Romania (month)'!C165</f>
        <v>9</v>
      </c>
      <c r="F132" s="171" t="str">
        <f>'Romania (month)'!D150</f>
        <v>Low N</v>
      </c>
      <c r="G132" s="172" t="s">
        <v>43</v>
      </c>
      <c r="H132" s="173">
        <f>'Romania (month)'!D165</f>
        <v>12</v>
      </c>
      <c r="I132" s="171" t="str">
        <f>'Romania (month)'!E150</f>
        <v>Low N</v>
      </c>
      <c r="J132" s="172" t="s">
        <v>43</v>
      </c>
      <c r="K132" s="173">
        <f>'Romania (month)'!E165</f>
        <v>14</v>
      </c>
    </row>
    <row r="133" spans="2:12" x14ac:dyDescent="0.35">
      <c r="B133" s="70" t="s">
        <v>125</v>
      </c>
      <c r="C133" s="171" t="str">
        <f>'Romania (month)'!C186</f>
        <v>Low N</v>
      </c>
      <c r="D133" s="172" t="s">
        <v>43</v>
      </c>
      <c r="E133" s="173">
        <f>'Romania (month)'!C201</f>
        <v>37</v>
      </c>
      <c r="F133" s="171" t="str">
        <f>'Romania (month)'!D186</f>
        <v>Low N</v>
      </c>
      <c r="G133" s="172" t="s">
        <v>43</v>
      </c>
      <c r="H133" s="173">
        <f>'Romania (month)'!D201</f>
        <v>40</v>
      </c>
      <c r="I133" s="171" t="str">
        <f>'Romania (month)'!E186</f>
        <v>Low N</v>
      </c>
      <c r="J133" s="172" t="s">
        <v>43</v>
      </c>
      <c r="K133" s="173">
        <f>'Romania (month)'!E201</f>
        <v>43</v>
      </c>
    </row>
    <row r="134" spans="2:12" x14ac:dyDescent="0.35">
      <c r="B134" s="70" t="s">
        <v>457</v>
      </c>
      <c r="C134" s="171" t="str">
        <f>'Romania (month)'!C204</f>
        <v>Low N</v>
      </c>
      <c r="D134" s="172" t="s">
        <v>43</v>
      </c>
      <c r="E134" s="173">
        <f>'Romania (month)'!C219</f>
        <v>40</v>
      </c>
      <c r="F134" s="171" t="str">
        <f>'Romania (month)'!D204</f>
        <v>Low N</v>
      </c>
      <c r="G134" s="172" t="s">
        <v>43</v>
      </c>
      <c r="H134" s="173">
        <f>'Romania (month)'!D219</f>
        <v>48</v>
      </c>
      <c r="I134" s="171" t="str">
        <f>'Romania (month)'!E204</f>
        <v>Low N</v>
      </c>
      <c r="J134" s="172" t="s">
        <v>43</v>
      </c>
      <c r="K134" s="173">
        <f>'Romania (month)'!E219</f>
        <v>52</v>
      </c>
    </row>
    <row r="135" spans="2:12" x14ac:dyDescent="0.35">
      <c r="C135" s="140"/>
      <c r="D135" s="76"/>
      <c r="E135" s="141"/>
      <c r="F135" s="140"/>
      <c r="G135" s="76"/>
      <c r="H135" s="141"/>
      <c r="I135" s="140"/>
      <c r="J135" s="76"/>
      <c r="K135" s="141"/>
    </row>
    <row r="136" spans="2:12" x14ac:dyDescent="0.35">
      <c r="B136" s="4" t="s">
        <v>67</v>
      </c>
      <c r="C136" s="137" t="s">
        <v>22</v>
      </c>
      <c r="D136" s="63" t="s">
        <v>23</v>
      </c>
      <c r="E136" s="138" t="s">
        <v>24</v>
      </c>
      <c r="F136" s="137" t="s">
        <v>22</v>
      </c>
      <c r="G136" s="63" t="s">
        <v>23</v>
      </c>
      <c r="H136" s="138" t="s">
        <v>24</v>
      </c>
      <c r="I136" s="137" t="s">
        <v>22</v>
      </c>
      <c r="J136" s="63" t="s">
        <v>23</v>
      </c>
      <c r="K136" s="138" t="s">
        <v>24</v>
      </c>
    </row>
    <row r="137" spans="2:12" x14ac:dyDescent="0.35">
      <c r="B137" s="71" t="s">
        <v>105</v>
      </c>
      <c r="C137" s="174">
        <f>'Spain (month)'!C168</f>
        <v>43.602429338100379</v>
      </c>
      <c r="D137" s="175">
        <f t="shared" ref="D137:D147" si="13">RANK(C137,$C$137:$C$154,0)</f>
        <v>1</v>
      </c>
      <c r="E137" s="176">
        <f>'Spain (month)'!C183</f>
        <v>220</v>
      </c>
      <c r="F137" s="174">
        <f>'Spain (month)'!D168</f>
        <v>46.631400991209787</v>
      </c>
      <c r="G137" s="175">
        <f t="shared" ref="G137:G147" si="14">RANK(F137,$F$137:$F$154,0)</f>
        <v>1</v>
      </c>
      <c r="H137" s="176">
        <f>'Spain (month)'!D183</f>
        <v>278</v>
      </c>
      <c r="I137" s="174">
        <f>'Spain (month)'!E168</f>
        <v>47.312126381967083</v>
      </c>
      <c r="J137" s="175">
        <f t="shared" ref="J137:J147" si="15">RANK(I137,$I$137:$I$154,0)</f>
        <v>1</v>
      </c>
      <c r="K137" s="176">
        <f>'Spain (month)'!E183</f>
        <v>309</v>
      </c>
    </row>
    <row r="138" spans="2:12" x14ac:dyDescent="0.35">
      <c r="B138" s="71" t="s">
        <v>450</v>
      </c>
      <c r="C138" s="174">
        <f>'Spain (month)'!C240</f>
        <v>33.143934296163287</v>
      </c>
      <c r="D138" s="175">
        <f t="shared" si="13"/>
        <v>3</v>
      </c>
      <c r="E138" s="176">
        <f>'Spain (month)'!C255</f>
        <v>153</v>
      </c>
      <c r="F138" s="174">
        <f>'Spain (month)'!D240</f>
        <v>34.900237765675527</v>
      </c>
      <c r="G138" s="175">
        <f t="shared" si="14"/>
        <v>3</v>
      </c>
      <c r="H138" s="176">
        <f>'Spain (month)'!D255</f>
        <v>197</v>
      </c>
      <c r="I138" s="174">
        <f>'Spain (month)'!E240</f>
        <v>41.846585198524799</v>
      </c>
      <c r="J138" s="175">
        <f t="shared" si="15"/>
        <v>2</v>
      </c>
      <c r="K138" s="176">
        <f>'Spain (month)'!E255</f>
        <v>220</v>
      </c>
    </row>
    <row r="139" spans="2:12" x14ac:dyDescent="0.35">
      <c r="B139" s="5" t="s">
        <v>31</v>
      </c>
      <c r="C139" s="174">
        <f>'Spain (month)'!C6</f>
        <v>37.95772679550371</v>
      </c>
      <c r="D139" s="175">
        <f t="shared" si="13"/>
        <v>2</v>
      </c>
      <c r="E139" s="176">
        <f>'Spain (month)'!C21</f>
        <v>287</v>
      </c>
      <c r="F139" s="174">
        <f>'Spain (month)'!D6</f>
        <v>36.216701368420843</v>
      </c>
      <c r="G139" s="175">
        <f t="shared" si="14"/>
        <v>2</v>
      </c>
      <c r="H139" s="176">
        <f>'Spain (month)'!D21</f>
        <v>346</v>
      </c>
      <c r="I139" s="174">
        <f>'Spain (month)'!E6</f>
        <v>37.860937214715527</v>
      </c>
      <c r="J139" s="175">
        <f t="shared" si="15"/>
        <v>3</v>
      </c>
      <c r="K139" s="176">
        <f>'Spain (month)'!E21</f>
        <v>337</v>
      </c>
      <c r="L139" s="192"/>
    </row>
    <row r="140" spans="2:12" x14ac:dyDescent="0.35">
      <c r="B140" s="71" t="s">
        <v>126</v>
      </c>
      <c r="C140" s="174">
        <f>'Spain (month)'!C96</f>
        <v>23.318045713398</v>
      </c>
      <c r="D140" s="175">
        <f t="shared" si="13"/>
        <v>5</v>
      </c>
      <c r="E140" s="176">
        <f>'Spain (month)'!C111</f>
        <v>109</v>
      </c>
      <c r="F140" s="174">
        <f>'Spain (month)'!D96</f>
        <v>25.37643419277472</v>
      </c>
      <c r="G140" s="175">
        <f t="shared" si="14"/>
        <v>5</v>
      </c>
      <c r="H140" s="176">
        <f>'Spain (month)'!D111</f>
        <v>137</v>
      </c>
      <c r="I140" s="174">
        <f>'Spain (month)'!E96</f>
        <v>32.549235177987299</v>
      </c>
      <c r="J140" s="175">
        <f t="shared" si="15"/>
        <v>4</v>
      </c>
      <c r="K140" s="176">
        <f>'Spain (month)'!E111</f>
        <v>143</v>
      </c>
    </row>
    <row r="141" spans="2:12" x14ac:dyDescent="0.35">
      <c r="B141" s="71" t="s">
        <v>69</v>
      </c>
      <c r="C141" s="174">
        <f>'Spain (month)'!C42</f>
        <v>27.002436169124561</v>
      </c>
      <c r="D141" s="175">
        <f t="shared" si="13"/>
        <v>4</v>
      </c>
      <c r="E141" s="176">
        <f>'Spain (month)'!C57</f>
        <v>308</v>
      </c>
      <c r="F141" s="174">
        <f>'Spain (month)'!D42</f>
        <v>27.52007150859712</v>
      </c>
      <c r="G141" s="175">
        <f t="shared" si="14"/>
        <v>4</v>
      </c>
      <c r="H141" s="176">
        <f>'Spain (month)'!D57</f>
        <v>365</v>
      </c>
      <c r="I141" s="174">
        <f>'Spain (month)'!E42</f>
        <v>27.859862867145171</v>
      </c>
      <c r="J141" s="175">
        <f t="shared" si="15"/>
        <v>5</v>
      </c>
      <c r="K141" s="176">
        <f>'Spain (month)'!E57</f>
        <v>383</v>
      </c>
    </row>
    <row r="142" spans="2:12" x14ac:dyDescent="0.35">
      <c r="B142" s="71" t="s">
        <v>631</v>
      </c>
      <c r="C142" s="174">
        <f>'Spain (month)'!C294</f>
        <v>20.393141098002001</v>
      </c>
      <c r="D142" s="175">
        <f t="shared" si="13"/>
        <v>7</v>
      </c>
      <c r="E142" s="176">
        <f>'Spain (month)'!C309</f>
        <v>277</v>
      </c>
      <c r="F142" s="174">
        <f>'Spain (month)'!D294</f>
        <v>23.658364409097381</v>
      </c>
      <c r="G142" s="175">
        <f t="shared" si="14"/>
        <v>6</v>
      </c>
      <c r="H142" s="176">
        <f>'Spain (month)'!D309</f>
        <v>390</v>
      </c>
      <c r="I142" s="174">
        <f>'Spain (month)'!E294</f>
        <v>25.114441457831742</v>
      </c>
      <c r="J142" s="175">
        <f t="shared" si="15"/>
        <v>6</v>
      </c>
      <c r="K142" s="176">
        <f>'Spain (month)'!E309</f>
        <v>412</v>
      </c>
    </row>
    <row r="143" spans="2:12" x14ac:dyDescent="0.35">
      <c r="B143" s="71" t="s">
        <v>70</v>
      </c>
      <c r="C143" s="174">
        <f>'Spain (month)'!C60</f>
        <v>21.440118227089009</v>
      </c>
      <c r="D143" s="175">
        <f t="shared" si="13"/>
        <v>6</v>
      </c>
      <c r="E143" s="176">
        <f>'Spain (month)'!C75</f>
        <v>320</v>
      </c>
      <c r="F143" s="174">
        <f>'Spain (month)'!D60</f>
        <v>19.183244857267969</v>
      </c>
      <c r="G143" s="175">
        <f t="shared" si="14"/>
        <v>7</v>
      </c>
      <c r="H143" s="176">
        <f>'Spain (month)'!D75</f>
        <v>377</v>
      </c>
      <c r="I143" s="174">
        <f>'Spain (month)'!E60</f>
        <v>21.64195711441478</v>
      </c>
      <c r="J143" s="175">
        <f t="shared" si="15"/>
        <v>7</v>
      </c>
      <c r="K143" s="176">
        <f>'Spain (month)'!E75</f>
        <v>397</v>
      </c>
    </row>
    <row r="144" spans="2:12" x14ac:dyDescent="0.35">
      <c r="B144" s="71" t="s">
        <v>68</v>
      </c>
      <c r="C144" s="174">
        <f>'Spain (month)'!C24</f>
        <v>14.596162269776681</v>
      </c>
      <c r="D144" s="175">
        <f t="shared" si="13"/>
        <v>10</v>
      </c>
      <c r="E144" s="176">
        <f>'Spain (month)'!C39</f>
        <v>239</v>
      </c>
      <c r="F144" s="174">
        <f>'Spain (month)'!D24</f>
        <v>15.102605831427519</v>
      </c>
      <c r="G144" s="175">
        <f t="shared" si="14"/>
        <v>9</v>
      </c>
      <c r="H144" s="176">
        <f>'Spain (month)'!D39</f>
        <v>284</v>
      </c>
      <c r="I144" s="174">
        <f>'Spain (month)'!E24</f>
        <v>20.88773478782365</v>
      </c>
      <c r="J144" s="175">
        <f t="shared" si="15"/>
        <v>8</v>
      </c>
      <c r="K144" s="176">
        <f>'Spain (month)'!E39</f>
        <v>306</v>
      </c>
    </row>
    <row r="145" spans="2:12" x14ac:dyDescent="0.35">
      <c r="B145" s="71" t="s">
        <v>628</v>
      </c>
      <c r="C145" s="174">
        <f>'Spain (month)'!C258</f>
        <v>17.70892577222364</v>
      </c>
      <c r="D145" s="175">
        <f t="shared" si="13"/>
        <v>8</v>
      </c>
      <c r="E145" s="176">
        <f>'Spain (month)'!C273</f>
        <v>130</v>
      </c>
      <c r="F145" s="174">
        <f>'Spain (month)'!D258</f>
        <v>15.36849344555305</v>
      </c>
      <c r="G145" s="175">
        <f t="shared" si="14"/>
        <v>8</v>
      </c>
      <c r="H145" s="176">
        <f>'Spain (month)'!D273</f>
        <v>171</v>
      </c>
      <c r="I145" s="174">
        <f>'Spain (month)'!E258</f>
        <v>16.677302393118559</v>
      </c>
      <c r="J145" s="175">
        <f t="shared" si="15"/>
        <v>9</v>
      </c>
      <c r="K145" s="176">
        <f>'Spain (month)'!E273</f>
        <v>176</v>
      </c>
    </row>
    <row r="146" spans="2:12" x14ac:dyDescent="0.35">
      <c r="B146" s="145" t="s">
        <v>632</v>
      </c>
      <c r="C146" s="174">
        <f>'Spain (month)'!C276</f>
        <v>15.89117402177988</v>
      </c>
      <c r="D146" s="175">
        <f t="shared" si="13"/>
        <v>9</v>
      </c>
      <c r="E146" s="176">
        <f>'Spain (month)'!C291</f>
        <v>189</v>
      </c>
      <c r="F146" s="174">
        <f>'Spain (month)'!D276</f>
        <v>14.409876543710171</v>
      </c>
      <c r="G146" s="175">
        <f t="shared" si="14"/>
        <v>10</v>
      </c>
      <c r="H146" s="176">
        <f>'Spain (month)'!D291</f>
        <v>247</v>
      </c>
      <c r="I146" s="174">
        <f>'Spain (month)'!E276</f>
        <v>14.99453132887851</v>
      </c>
      <c r="J146" s="175">
        <f t="shared" si="15"/>
        <v>10</v>
      </c>
      <c r="K146" s="176">
        <f>'Spain (month)'!E291</f>
        <v>250</v>
      </c>
    </row>
    <row r="147" spans="2:12" x14ac:dyDescent="0.35">
      <c r="B147" s="161" t="s">
        <v>617</v>
      </c>
      <c r="C147" s="174">
        <f>'Spain (month)'!C312</f>
        <v>6.50893541416856</v>
      </c>
      <c r="D147" s="175">
        <f t="shared" si="13"/>
        <v>11</v>
      </c>
      <c r="E147" s="176">
        <f>'Spain (month)'!C327</f>
        <v>192</v>
      </c>
      <c r="F147" s="174">
        <f>'Spain (month)'!D312</f>
        <v>11.99771160740378</v>
      </c>
      <c r="G147" s="175">
        <f t="shared" si="14"/>
        <v>11</v>
      </c>
      <c r="H147" s="176">
        <f>'Spain (month)'!D327</f>
        <v>256</v>
      </c>
      <c r="I147" s="174">
        <f>'Spain (month)'!E312</f>
        <v>12.78970848634388</v>
      </c>
      <c r="J147" s="175">
        <f t="shared" si="15"/>
        <v>11</v>
      </c>
      <c r="K147" s="176">
        <f>'Spain (month)'!E327</f>
        <v>264</v>
      </c>
    </row>
    <row r="148" spans="2:12" x14ac:dyDescent="0.35">
      <c r="B148" s="71" t="s">
        <v>71</v>
      </c>
      <c r="C148" s="171" t="str">
        <f>'Spain (month)'!C78</f>
        <v>Low N</v>
      </c>
      <c r="D148" s="172" t="s">
        <v>43</v>
      </c>
      <c r="E148" s="173">
        <f>'Spain (month)'!C93</f>
        <v>44</v>
      </c>
      <c r="F148" s="171" t="str">
        <f>'Spain (month)'!D78</f>
        <v>Low N</v>
      </c>
      <c r="G148" s="172" t="s">
        <v>43</v>
      </c>
      <c r="H148" s="173">
        <f>'Spain (month)'!D93</f>
        <v>58</v>
      </c>
      <c r="I148" s="171" t="str">
        <f>'Spain (month)'!E78</f>
        <v>Low N</v>
      </c>
      <c r="J148" s="172" t="s">
        <v>43</v>
      </c>
      <c r="K148" s="173">
        <f>'Spain (month)'!E93</f>
        <v>62</v>
      </c>
    </row>
    <row r="149" spans="2:12" x14ac:dyDescent="0.35">
      <c r="B149" s="71" t="s">
        <v>127</v>
      </c>
      <c r="C149" s="171" t="str">
        <f>'Spain (month)'!C114</f>
        <v>Low N</v>
      </c>
      <c r="D149" s="172" t="s">
        <v>43</v>
      </c>
      <c r="E149" s="173">
        <f>'Spain (month)'!C129</f>
        <v>54</v>
      </c>
      <c r="F149" s="171" t="str">
        <f>'Spain (month)'!D114</f>
        <v>Low N</v>
      </c>
      <c r="G149" s="172" t="s">
        <v>43</v>
      </c>
      <c r="H149" s="173">
        <f>'Spain (month)'!D129</f>
        <v>68</v>
      </c>
      <c r="I149" s="171" t="str">
        <f>'Spain (month)'!E114</f>
        <v>Low N</v>
      </c>
      <c r="J149" s="172" t="s">
        <v>43</v>
      </c>
      <c r="K149" s="173">
        <f>'Spain (month)'!E129</f>
        <v>68</v>
      </c>
    </row>
    <row r="150" spans="2:12" x14ac:dyDescent="0.35">
      <c r="B150" s="71" t="s">
        <v>128</v>
      </c>
      <c r="C150" s="171" t="str">
        <f>'Spain (month)'!C132</f>
        <v>Low N</v>
      </c>
      <c r="D150" s="172" t="s">
        <v>43</v>
      </c>
      <c r="E150" s="173">
        <f>'Spain (month)'!C147</f>
        <v>6</v>
      </c>
      <c r="F150" s="171" t="str">
        <f>'Spain (month)'!D132</f>
        <v>Low N</v>
      </c>
      <c r="G150" s="172" t="s">
        <v>43</v>
      </c>
      <c r="H150" s="173">
        <f>'Spain (month)'!D147</f>
        <v>7</v>
      </c>
      <c r="I150" s="171" t="str">
        <f>'Spain (month)'!E132</f>
        <v>Low N</v>
      </c>
      <c r="J150" s="172" t="s">
        <v>43</v>
      </c>
      <c r="K150" s="173">
        <f>'Spain (month)'!E147</f>
        <v>10</v>
      </c>
    </row>
    <row r="151" spans="2:12" x14ac:dyDescent="0.35">
      <c r="B151" s="71" t="s">
        <v>104</v>
      </c>
      <c r="C151" s="171" t="str">
        <f>'Spain (month)'!C150</f>
        <v>Low N</v>
      </c>
      <c r="D151" s="172" t="s">
        <v>43</v>
      </c>
      <c r="E151" s="173">
        <f>'Spain (month)'!C165</f>
        <v>45</v>
      </c>
      <c r="F151" s="171" t="str">
        <f>'Spain (month)'!D150</f>
        <v>Low N</v>
      </c>
      <c r="G151" s="172" t="s">
        <v>43</v>
      </c>
      <c r="H151" s="173">
        <f>'Spain (month)'!D165</f>
        <v>58</v>
      </c>
      <c r="I151" s="171" t="str">
        <f>'Spain (month)'!E150</f>
        <v>Low N</v>
      </c>
      <c r="J151" s="172" t="s">
        <v>43</v>
      </c>
      <c r="K151" s="173">
        <f>'Spain (month)'!E165</f>
        <v>55</v>
      </c>
    </row>
    <row r="152" spans="2:12" x14ac:dyDescent="0.35">
      <c r="B152" s="71" t="s">
        <v>113</v>
      </c>
      <c r="C152" s="171" t="str">
        <f>'Spain (month)'!C186</f>
        <v>Low N</v>
      </c>
      <c r="D152" s="172" t="s">
        <v>43</v>
      </c>
      <c r="E152" s="173">
        <f>'Spain (month)'!C201</f>
        <v>4</v>
      </c>
      <c r="F152" s="171" t="str">
        <f>'Spain (month)'!D186</f>
        <v>Low N</v>
      </c>
      <c r="G152" s="172" t="s">
        <v>43</v>
      </c>
      <c r="H152" s="173">
        <f>'Spain (month)'!D201</f>
        <v>4</v>
      </c>
      <c r="I152" s="171" t="str">
        <f>'Spain (month)'!E186</f>
        <v>Low N</v>
      </c>
      <c r="J152" s="172" t="s">
        <v>43</v>
      </c>
      <c r="K152" s="173">
        <f>'Spain (month)'!E201</f>
        <v>6</v>
      </c>
    </row>
    <row r="153" spans="2:12" x14ac:dyDescent="0.35">
      <c r="B153" s="71" t="s">
        <v>447</v>
      </c>
      <c r="C153" s="171" t="str">
        <f>'Spain (month)'!C204</f>
        <v>Low N</v>
      </c>
      <c r="D153" s="172" t="s">
        <v>43</v>
      </c>
      <c r="E153" s="173">
        <f>'Spain (month)'!C219</f>
        <v>23</v>
      </c>
      <c r="F153" s="171" t="str">
        <f>'Spain (month)'!D204</f>
        <v>Low N</v>
      </c>
      <c r="G153" s="172" t="s">
        <v>43</v>
      </c>
      <c r="H153" s="173">
        <f>'Spain (month)'!D219</f>
        <v>31</v>
      </c>
      <c r="I153" s="171" t="str">
        <f>'Spain (month)'!E204</f>
        <v>Low N</v>
      </c>
      <c r="J153" s="172" t="s">
        <v>43</v>
      </c>
      <c r="K153" s="173">
        <f>'Spain (month)'!E219</f>
        <v>35</v>
      </c>
    </row>
    <row r="154" spans="2:12" x14ac:dyDescent="0.35">
      <c r="B154" s="71" t="s">
        <v>448</v>
      </c>
      <c r="C154" s="171" t="str">
        <f>'Spain (month)'!C222</f>
        <v>Low N</v>
      </c>
      <c r="D154" s="172" t="s">
        <v>43</v>
      </c>
      <c r="E154" s="173">
        <f>'Spain (month)'!C237</f>
        <v>61</v>
      </c>
      <c r="F154" s="171" t="str">
        <f>'Spain (month)'!D222</f>
        <v>Low N</v>
      </c>
      <c r="G154" s="172" t="s">
        <v>43</v>
      </c>
      <c r="H154" s="173">
        <f>'Spain (month)'!D237</f>
        <v>74</v>
      </c>
      <c r="I154" s="171" t="str">
        <f>'Spain (month)'!E222</f>
        <v>Low N</v>
      </c>
      <c r="J154" s="172" t="s">
        <v>43</v>
      </c>
      <c r="K154" s="173">
        <f>'Spain (month)'!E237</f>
        <v>77</v>
      </c>
    </row>
    <row r="155" spans="2:12" x14ac:dyDescent="0.35">
      <c r="C155" s="139"/>
      <c r="D155" s="62"/>
      <c r="E155" s="33"/>
      <c r="F155" s="139"/>
      <c r="G155" s="62"/>
      <c r="H155" s="33"/>
      <c r="I155" s="139"/>
      <c r="J155" s="62"/>
      <c r="K155" s="33"/>
    </row>
    <row r="156" spans="2:12" x14ac:dyDescent="0.35">
      <c r="B156" s="4" t="s">
        <v>72</v>
      </c>
      <c r="C156" s="137" t="s">
        <v>22</v>
      </c>
      <c r="D156" s="63" t="s">
        <v>23</v>
      </c>
      <c r="E156" s="138" t="s">
        <v>24</v>
      </c>
      <c r="F156" s="137" t="s">
        <v>22</v>
      </c>
      <c r="G156" s="63" t="s">
        <v>23</v>
      </c>
      <c r="H156" s="138" t="s">
        <v>24</v>
      </c>
      <c r="I156" s="137" t="s">
        <v>22</v>
      </c>
      <c r="J156" s="63" t="s">
        <v>23</v>
      </c>
      <c r="K156" s="138" t="s">
        <v>24</v>
      </c>
    </row>
    <row r="157" spans="2:12" x14ac:dyDescent="0.35">
      <c r="B157" s="70" t="s">
        <v>134</v>
      </c>
      <c r="C157" s="174">
        <f>'Turkey (month)'!C222</f>
        <v>56.993294139264783</v>
      </c>
      <c r="D157" s="175">
        <f>RANK(C157,$C$157:$C$172,0)</f>
        <v>5</v>
      </c>
      <c r="E157" s="176">
        <f>'Turkey (month)'!C237</f>
        <v>167</v>
      </c>
      <c r="F157" s="174">
        <f>'Turkey (month)'!D222</f>
        <v>62.455182109935542</v>
      </c>
      <c r="G157" s="175">
        <f t="shared" ref="G157:G167" si="16">RANK(F157,$F$157:$F$172,0)</f>
        <v>4</v>
      </c>
      <c r="H157" s="176">
        <f>'Turkey (month)'!D237</f>
        <v>214</v>
      </c>
      <c r="I157" s="174">
        <f>'Turkey (month)'!E222</f>
        <v>64.580638565580358</v>
      </c>
      <c r="J157" s="175">
        <f t="shared" ref="J157:J167" si="17">RANK(I157,$I$157:$I$172,0)</f>
        <v>1</v>
      </c>
      <c r="K157" s="176">
        <f>'Turkey (month)'!E237</f>
        <v>212</v>
      </c>
    </row>
    <row r="158" spans="2:12" x14ac:dyDescent="0.35">
      <c r="B158" s="5" t="s">
        <v>31</v>
      </c>
      <c r="C158" s="174">
        <f>'Turkey (month)'!C6</f>
        <v>66.340513647908764</v>
      </c>
      <c r="D158" s="175">
        <f>RANK(C158,$C$157:$C$172,0)</f>
        <v>1</v>
      </c>
      <c r="E158" s="176">
        <f>'Turkey (month)'!C21</f>
        <v>162</v>
      </c>
      <c r="F158" s="174">
        <f>'Turkey (month)'!D6</f>
        <v>64.652451184295032</v>
      </c>
      <c r="G158" s="175">
        <f t="shared" si="16"/>
        <v>2</v>
      </c>
      <c r="H158" s="176">
        <f>'Turkey (month)'!D21</f>
        <v>190</v>
      </c>
      <c r="I158" s="174">
        <f>'Turkey (month)'!E6</f>
        <v>63.565842724951878</v>
      </c>
      <c r="J158" s="175">
        <f t="shared" si="17"/>
        <v>2</v>
      </c>
      <c r="K158" s="176">
        <f>'Turkey (month)'!E21</f>
        <v>195</v>
      </c>
      <c r="L158" s="192"/>
    </row>
    <row r="159" spans="2:12" x14ac:dyDescent="0.35">
      <c r="B159" s="70" t="s">
        <v>75</v>
      </c>
      <c r="C159" s="174">
        <f>'Turkey (month)'!C60</f>
        <v>64.196516244095562</v>
      </c>
      <c r="D159" s="175">
        <f>RANK(C159,$C$157:$C$172,0)</f>
        <v>2</v>
      </c>
      <c r="E159" s="176">
        <f>'Turkey (month)'!C75</f>
        <v>486</v>
      </c>
      <c r="F159" s="174">
        <f>'Turkey (month)'!D60</f>
        <v>64.705291309274259</v>
      </c>
      <c r="G159" s="175">
        <f t="shared" si="16"/>
        <v>1</v>
      </c>
      <c r="H159" s="176">
        <f>'Turkey (month)'!D75</f>
        <v>570</v>
      </c>
      <c r="I159" s="174">
        <f>'Turkey (month)'!E60</f>
        <v>62.980556871694027</v>
      </c>
      <c r="J159" s="175">
        <f t="shared" si="17"/>
        <v>3</v>
      </c>
      <c r="K159" s="176">
        <f>'Turkey (month)'!E75</f>
        <v>563</v>
      </c>
    </row>
    <row r="160" spans="2:12" x14ac:dyDescent="0.35">
      <c r="B160" s="70" t="s">
        <v>73</v>
      </c>
      <c r="C160" s="174">
        <f>'Turkey (month)'!C24</f>
        <v>59.61862114502793</v>
      </c>
      <c r="D160" s="175">
        <f>RANK(C160,$C$157:$C$172,0)</f>
        <v>4</v>
      </c>
      <c r="E160" s="176">
        <f>'Turkey (month)'!C39</f>
        <v>396</v>
      </c>
      <c r="F160" s="174">
        <f>'Turkey (month)'!D24</f>
        <v>60.144346034032637</v>
      </c>
      <c r="G160" s="175">
        <f t="shared" si="16"/>
        <v>5</v>
      </c>
      <c r="H160" s="176">
        <f>'Turkey (month)'!D39</f>
        <v>467</v>
      </c>
      <c r="I160" s="174">
        <f>'Turkey (month)'!E24</f>
        <v>61.30568978180208</v>
      </c>
      <c r="J160" s="175">
        <f t="shared" si="17"/>
        <v>4</v>
      </c>
      <c r="K160" s="176">
        <f>'Turkey (month)'!E39</f>
        <v>475</v>
      </c>
    </row>
    <row r="161" spans="2:11" x14ac:dyDescent="0.35">
      <c r="B161" s="70" t="s">
        <v>74</v>
      </c>
      <c r="C161" s="174">
        <f>'Turkey (month)'!C42</f>
        <v>62.277002665586231</v>
      </c>
      <c r="D161" s="175">
        <f>RANK(C161,$C$157:$C$172,0)</f>
        <v>3</v>
      </c>
      <c r="E161" s="176">
        <f>'Turkey (month)'!C57</f>
        <v>520</v>
      </c>
      <c r="F161" s="174">
        <f>'Turkey (month)'!D42</f>
        <v>62.967182334049077</v>
      </c>
      <c r="G161" s="175">
        <f t="shared" si="16"/>
        <v>3</v>
      </c>
      <c r="H161" s="176">
        <f>'Turkey (month)'!D57</f>
        <v>611</v>
      </c>
      <c r="I161" s="174">
        <f>'Turkey (month)'!E42</f>
        <v>60.095583435352417</v>
      </c>
      <c r="J161" s="175">
        <f t="shared" si="17"/>
        <v>5</v>
      </c>
      <c r="K161" s="176">
        <f>'Turkey (month)'!E57</f>
        <v>605</v>
      </c>
    </row>
    <row r="162" spans="2:11" ht="15" customHeight="1" x14ac:dyDescent="0.35">
      <c r="B162" s="70" t="s">
        <v>136</v>
      </c>
      <c r="C162" s="171" t="str">
        <f>'Turkey (month)'!C114</f>
        <v>Low N</v>
      </c>
      <c r="D162" s="172" t="s">
        <v>43</v>
      </c>
      <c r="E162" s="173">
        <f>'Turkey (month)'!C129</f>
        <v>93</v>
      </c>
      <c r="F162" s="174">
        <f>'Turkey (month)'!D114</f>
        <v>58.653207713455238</v>
      </c>
      <c r="G162" s="175">
        <f t="shared" si="16"/>
        <v>6</v>
      </c>
      <c r="H162" s="176">
        <f>'Turkey (month)'!D129</f>
        <v>114</v>
      </c>
      <c r="I162" s="174">
        <f>'Turkey (month)'!E114</f>
        <v>55.762602893770108</v>
      </c>
      <c r="J162" s="175">
        <f t="shared" si="17"/>
        <v>6</v>
      </c>
      <c r="K162" s="176">
        <f>'Turkey (month)'!E129</f>
        <v>113</v>
      </c>
    </row>
    <row r="163" spans="2:11" ht="15" customHeight="1" x14ac:dyDescent="0.35">
      <c r="B163" s="70" t="s">
        <v>76</v>
      </c>
      <c r="C163" s="174">
        <f>'Turkey (month)'!C78</f>
        <v>52.951134254284547</v>
      </c>
      <c r="D163" s="175">
        <f>RANK(C163,$C$157:$C$172,0)</f>
        <v>7</v>
      </c>
      <c r="E163" s="176">
        <f>'Turkey (month)'!C93</f>
        <v>409</v>
      </c>
      <c r="F163" s="174">
        <f>'Turkey (month)'!D78</f>
        <v>52.645804418021882</v>
      </c>
      <c r="G163" s="175">
        <f t="shared" si="16"/>
        <v>8</v>
      </c>
      <c r="H163" s="176">
        <f>'Turkey (month)'!D93</f>
        <v>463</v>
      </c>
      <c r="I163" s="174">
        <f>'Turkey (month)'!E78</f>
        <v>54.674568000823719</v>
      </c>
      <c r="J163" s="175">
        <f t="shared" si="17"/>
        <v>7</v>
      </c>
      <c r="K163" s="176">
        <f>'Turkey (month)'!E93</f>
        <v>448</v>
      </c>
    </row>
    <row r="164" spans="2:11" ht="15" customHeight="1" x14ac:dyDescent="0.35">
      <c r="B164" s="70" t="s">
        <v>138</v>
      </c>
      <c r="C164" s="174">
        <f>'Turkey (month)'!C96</f>
        <v>54.417386506030347</v>
      </c>
      <c r="D164" s="175">
        <f>RANK(C164,$C$157:$C$172,0)</f>
        <v>6</v>
      </c>
      <c r="E164" s="176">
        <f>'Turkey (month)'!C111</f>
        <v>390</v>
      </c>
      <c r="F164" s="174">
        <f>'Turkey (month)'!D96</f>
        <v>53.777986357794283</v>
      </c>
      <c r="G164" s="175">
        <f t="shared" si="16"/>
        <v>7</v>
      </c>
      <c r="H164" s="176">
        <f>'Turkey (month)'!D111</f>
        <v>459</v>
      </c>
      <c r="I164" s="174">
        <f>'Turkey (month)'!E96</f>
        <v>54.540502239048223</v>
      </c>
      <c r="J164" s="175">
        <f t="shared" si="17"/>
        <v>8</v>
      </c>
      <c r="K164" s="176">
        <f>'Turkey (month)'!E111</f>
        <v>439</v>
      </c>
    </row>
    <row r="165" spans="2:11" ht="15" customHeight="1" x14ac:dyDescent="0.35">
      <c r="B165" s="70" t="s">
        <v>137</v>
      </c>
      <c r="C165" s="174">
        <f>'Turkey (month)'!C186</f>
        <v>47.667638874099033</v>
      </c>
      <c r="D165" s="175">
        <f>RANK(C165,$C$157:$C$172,0)</f>
        <v>8</v>
      </c>
      <c r="E165" s="176">
        <f>'Turkey (month)'!C201</f>
        <v>222</v>
      </c>
      <c r="F165" s="174">
        <f>'Turkey (month)'!D186</f>
        <v>49.859785442184638</v>
      </c>
      <c r="G165" s="175">
        <f t="shared" si="16"/>
        <v>9</v>
      </c>
      <c r="H165" s="176">
        <f>'Turkey (month)'!D201</f>
        <v>258</v>
      </c>
      <c r="I165" s="174">
        <f>'Turkey (month)'!E186</f>
        <v>50.478455724384347</v>
      </c>
      <c r="J165" s="175">
        <f t="shared" si="17"/>
        <v>9</v>
      </c>
      <c r="K165" s="176">
        <f>'Turkey (month)'!E201</f>
        <v>267</v>
      </c>
    </row>
    <row r="166" spans="2:11" ht="15" customHeight="1" x14ac:dyDescent="0.35">
      <c r="B166" s="70" t="s">
        <v>132</v>
      </c>
      <c r="C166" s="174">
        <f>'Turkey (month)'!C132</f>
        <v>46.284911744818707</v>
      </c>
      <c r="D166" s="175">
        <f>RANK(C166,$C$157:$C$172,0)</f>
        <v>9</v>
      </c>
      <c r="E166" s="176">
        <f>'Turkey (month)'!C147</f>
        <v>160</v>
      </c>
      <c r="F166" s="174">
        <f>'Turkey (month)'!D132</f>
        <v>45.814368184082973</v>
      </c>
      <c r="G166" s="175">
        <f t="shared" si="16"/>
        <v>10</v>
      </c>
      <c r="H166" s="176">
        <f>'Turkey (month)'!D147</f>
        <v>185</v>
      </c>
      <c r="I166" s="174">
        <f>'Turkey (month)'!E132</f>
        <v>47.517982151671049</v>
      </c>
      <c r="J166" s="175">
        <f t="shared" si="17"/>
        <v>10</v>
      </c>
      <c r="K166" s="176">
        <f>'Turkey (month)'!E147</f>
        <v>190</v>
      </c>
    </row>
    <row r="167" spans="2:11" ht="15" customHeight="1" x14ac:dyDescent="0.35">
      <c r="B167" s="70" t="s">
        <v>130</v>
      </c>
      <c r="C167" s="174">
        <f>'Turkey (month)'!C204</f>
        <v>44.338216180445663</v>
      </c>
      <c r="D167" s="175">
        <f>RANK(C167,$C$157:$C$172,0)</f>
        <v>10</v>
      </c>
      <c r="E167" s="176">
        <f>'Turkey (month)'!C219</f>
        <v>160</v>
      </c>
      <c r="F167" s="174">
        <f>'Turkey (month)'!D204</f>
        <v>43.975893225771422</v>
      </c>
      <c r="G167" s="175">
        <f t="shared" si="16"/>
        <v>11</v>
      </c>
      <c r="H167" s="176">
        <f>'Turkey (month)'!D219</f>
        <v>181</v>
      </c>
      <c r="I167" s="174">
        <f>'Turkey (month)'!E204</f>
        <v>40.095928884132611</v>
      </c>
      <c r="J167" s="175">
        <f t="shared" si="17"/>
        <v>11</v>
      </c>
      <c r="K167" s="176">
        <f>'Turkey (month)'!E219</f>
        <v>167</v>
      </c>
    </row>
    <row r="168" spans="2:11" ht="15" customHeight="1" x14ac:dyDescent="0.35">
      <c r="B168" s="70" t="s">
        <v>129</v>
      </c>
      <c r="C168" s="171" t="str">
        <f>'Turkey (month)'!C240</f>
        <v>Low N</v>
      </c>
      <c r="D168" s="172" t="s">
        <v>43</v>
      </c>
      <c r="E168" s="173">
        <f>'Turkey (month)'!C255</f>
        <v>32</v>
      </c>
      <c r="F168" s="171" t="str">
        <f>'Turkey (month)'!D240</f>
        <v>Low N</v>
      </c>
      <c r="G168" s="172" t="s">
        <v>43</v>
      </c>
      <c r="H168" s="173">
        <f>'Turkey (month)'!D255</f>
        <v>35</v>
      </c>
      <c r="I168" s="171" t="str">
        <f>'Turkey (month)'!E240</f>
        <v>Low N</v>
      </c>
      <c r="J168" s="172" t="s">
        <v>43</v>
      </c>
      <c r="K168" s="173">
        <f>'Turkey (month)'!E255</f>
        <v>36</v>
      </c>
    </row>
    <row r="169" spans="2:11" ht="15" customHeight="1" x14ac:dyDescent="0.35">
      <c r="B169" s="70" t="s">
        <v>131</v>
      </c>
      <c r="C169" s="171" t="str">
        <f>'Turkey (month)'!C276</f>
        <v>Low N</v>
      </c>
      <c r="D169" s="172" t="s">
        <v>43</v>
      </c>
      <c r="E169" s="173">
        <f>'Turkey (month)'!C291</f>
        <v>40</v>
      </c>
      <c r="F169" s="171" t="str">
        <f>'Turkey (month)'!D276</f>
        <v>Low N</v>
      </c>
      <c r="G169" s="172" t="s">
        <v>43</v>
      </c>
      <c r="H169" s="173">
        <f>'Turkey (month)'!D291</f>
        <v>45</v>
      </c>
      <c r="I169" s="171" t="str">
        <f>'Turkey (month)'!E276</f>
        <v>Low N</v>
      </c>
      <c r="J169" s="172" t="s">
        <v>43</v>
      </c>
      <c r="K169" s="173">
        <f>'Turkey (month)'!E291</f>
        <v>51</v>
      </c>
    </row>
    <row r="170" spans="2:11" ht="15" customHeight="1" x14ac:dyDescent="0.35">
      <c r="B170" s="70" t="s">
        <v>82</v>
      </c>
      <c r="C170" s="171" t="str">
        <f>'Turkey (month)'!C150</f>
        <v>Low N</v>
      </c>
      <c r="D170" s="172" t="s">
        <v>43</v>
      </c>
      <c r="E170" s="173">
        <f>'Turkey (month)'!C165</f>
        <v>34</v>
      </c>
      <c r="F170" s="171" t="str">
        <f>'Turkey (month)'!D150</f>
        <v>Low N</v>
      </c>
      <c r="G170" s="172" t="s">
        <v>43</v>
      </c>
      <c r="H170" s="173">
        <f>'Turkey (month)'!D165</f>
        <v>40</v>
      </c>
      <c r="I170" s="171" t="str">
        <f>'Turkey (month)'!E150</f>
        <v>Low N</v>
      </c>
      <c r="J170" s="172" t="s">
        <v>43</v>
      </c>
      <c r="K170" s="173">
        <f>'Turkey (month)'!E165</f>
        <v>38</v>
      </c>
    </row>
    <row r="171" spans="2:11" ht="15" customHeight="1" x14ac:dyDescent="0.35">
      <c r="B171" s="70" t="s">
        <v>133</v>
      </c>
      <c r="C171" s="171" t="str">
        <f>'Turkey (month)'!C258</f>
        <v>Low N</v>
      </c>
      <c r="D171" s="172" t="s">
        <v>43</v>
      </c>
      <c r="E171" s="173">
        <f>'Turkey (month)'!C273</f>
        <v>26</v>
      </c>
      <c r="F171" s="171" t="str">
        <f>'Turkey (month)'!D258</f>
        <v>Low N</v>
      </c>
      <c r="G171" s="172" t="s">
        <v>43</v>
      </c>
      <c r="H171" s="173">
        <f>'Turkey (month)'!D273</f>
        <v>28</v>
      </c>
      <c r="I171" s="171" t="str">
        <f>'Turkey (month)'!E258</f>
        <v>Low N</v>
      </c>
      <c r="J171" s="172" t="s">
        <v>43</v>
      </c>
      <c r="K171" s="173">
        <f>'Turkey (month)'!E273</f>
        <v>28</v>
      </c>
    </row>
    <row r="172" spans="2:11" ht="15" customHeight="1" x14ac:dyDescent="0.35">
      <c r="B172" s="70" t="s">
        <v>135</v>
      </c>
      <c r="C172" s="171" t="str">
        <f>'Turkey (month)'!C168</f>
        <v>Low N</v>
      </c>
      <c r="D172" s="172" t="s">
        <v>43</v>
      </c>
      <c r="E172" s="173">
        <f>'Turkey (month)'!C183</f>
        <v>29</v>
      </c>
      <c r="F172" s="171" t="str">
        <f>'Turkey (month)'!D168</f>
        <v>Low N</v>
      </c>
      <c r="G172" s="172" t="s">
        <v>43</v>
      </c>
      <c r="H172" s="173">
        <f>'Turkey (month)'!D183</f>
        <v>31</v>
      </c>
      <c r="I172" s="171" t="str">
        <f>'Turkey (month)'!E168</f>
        <v>Low N</v>
      </c>
      <c r="J172" s="172" t="s">
        <v>43</v>
      </c>
      <c r="K172" s="173">
        <f>'Turkey (month)'!E183</f>
        <v>30</v>
      </c>
    </row>
    <row r="173" spans="2:11" x14ac:dyDescent="0.35">
      <c r="C173" s="31"/>
      <c r="D173" s="31"/>
      <c r="E173" s="31"/>
      <c r="F173" s="31"/>
      <c r="G173" s="31"/>
      <c r="H173" s="31"/>
      <c r="I173" s="31"/>
      <c r="J173" s="31"/>
      <c r="K173" s="31"/>
    </row>
  </sheetData>
  <mergeCells count="4">
    <mergeCell ref="F2:H2"/>
    <mergeCell ref="C2:E2"/>
    <mergeCell ref="I2:K2"/>
    <mergeCell ref="C58:K58"/>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E9DE-CC70-4D5E-878F-659DFFB1AEF0}">
  <sheetPr codeName="Sheet4">
    <tabColor theme="5" tint="0.59999389629810485"/>
  </sheetPr>
  <dimension ref="B1:C61"/>
  <sheetViews>
    <sheetView zoomScale="90" zoomScaleNormal="90" workbookViewId="0">
      <pane xSplit="1" topLeftCell="B1" activePane="topRight" state="frozen"/>
      <selection activeCell="C6" sqref="C6"/>
      <selection pane="topRight" activeCell="C6" sqref="C6"/>
    </sheetView>
  </sheetViews>
  <sheetFormatPr defaultColWidth="9.453125" defaultRowHeight="14.5" x14ac:dyDescent="0.35"/>
  <cols>
    <col min="1" max="1" width="1.54296875" style="31" customWidth="1"/>
    <col min="2" max="2" width="74.453125" style="8" bestFit="1" customWidth="1"/>
    <col min="3" max="3" width="16.453125" style="31" customWidth="1"/>
    <col min="4" max="16384" width="9.453125" style="31"/>
  </cols>
  <sheetData>
    <row r="1" spans="2:3" ht="6.75" customHeight="1" thickBot="1" x14ac:dyDescent="0.4">
      <c r="B1" s="30"/>
    </row>
    <row r="2" spans="2:3" ht="41.25" customHeight="1" thickBot="1" x14ac:dyDescent="0.4">
      <c r="B2" s="55" t="s">
        <v>556</v>
      </c>
      <c r="C2" s="54" t="s">
        <v>469</v>
      </c>
    </row>
    <row r="3" spans="2:3" s="2" customFormat="1" ht="15" thickBot="1" x14ac:dyDescent="0.4">
      <c r="B3" s="29"/>
      <c r="C3" s="53"/>
    </row>
    <row r="4" spans="2:3" x14ac:dyDescent="0.35">
      <c r="B4" s="96" t="s">
        <v>139</v>
      </c>
      <c r="C4" s="98"/>
    </row>
    <row r="5" spans="2:3" x14ac:dyDescent="0.35">
      <c r="B5" s="156" t="s">
        <v>31</v>
      </c>
      <c r="C5" s="157"/>
    </row>
    <row r="6" spans="2:3" s="48" customFormat="1" x14ac:dyDescent="0.35">
      <c r="B6" s="49" t="s">
        <v>140</v>
      </c>
      <c r="C6" s="51" t="e">
        <f>'Australia (Month)'!#REF!</f>
        <v>#REF!</v>
      </c>
    </row>
    <row r="7" spans="2:3" s="48" customFormat="1" x14ac:dyDescent="0.35">
      <c r="B7" s="49" t="s">
        <v>141</v>
      </c>
      <c r="C7" s="51" t="e">
        <f t="shared" ref="C7" si="0">C49</f>
        <v>#REF!</v>
      </c>
    </row>
    <row r="8" spans="2:3" x14ac:dyDescent="0.35">
      <c r="B8" s="28" t="s">
        <v>142</v>
      </c>
      <c r="C8" s="43" t="e">
        <f>'Australia (Month)'!#REF!</f>
        <v>#REF!</v>
      </c>
    </row>
    <row r="9" spans="2:3" x14ac:dyDescent="0.35">
      <c r="B9" s="28" t="s">
        <v>143</v>
      </c>
      <c r="C9" s="43" t="e">
        <f>'Australia (Month)'!#REF!</f>
        <v>#REF!</v>
      </c>
    </row>
    <row r="10" spans="2:3" x14ac:dyDescent="0.35">
      <c r="B10" s="28" t="s">
        <v>144</v>
      </c>
      <c r="C10" s="43" t="e">
        <f>'Australia (Month)'!#REF!</f>
        <v>#REF!</v>
      </c>
    </row>
    <row r="11" spans="2:3" x14ac:dyDescent="0.35">
      <c r="B11" s="29"/>
      <c r="C11" s="53"/>
    </row>
    <row r="12" spans="2:3" x14ac:dyDescent="0.35">
      <c r="B12" s="90" t="s">
        <v>145</v>
      </c>
      <c r="C12" s="92"/>
    </row>
    <row r="13" spans="2:3" x14ac:dyDescent="0.35">
      <c r="B13" s="86" t="s">
        <v>26</v>
      </c>
      <c r="C13" s="88"/>
    </row>
    <row r="14" spans="2:3" x14ac:dyDescent="0.35">
      <c r="B14" s="28" t="s">
        <v>146</v>
      </c>
      <c r="C14" s="51" t="e">
        <f>'Australia (Month)'!#REF!</f>
        <v>#REF!</v>
      </c>
    </row>
    <row r="15" spans="2:3" x14ac:dyDescent="0.35">
      <c r="B15" s="28" t="s">
        <v>147</v>
      </c>
      <c r="C15" s="51" t="e">
        <f t="shared" ref="C15" si="1">C50</f>
        <v>#REF!</v>
      </c>
    </row>
    <row r="16" spans="2:3" x14ac:dyDescent="0.35">
      <c r="B16" s="28" t="s">
        <v>148</v>
      </c>
      <c r="C16" s="43" t="e">
        <f>'Australia (Month)'!#REF!</f>
        <v>#REF!</v>
      </c>
    </row>
    <row r="17" spans="2:3" x14ac:dyDescent="0.35">
      <c r="B17" s="28" t="s">
        <v>149</v>
      </c>
      <c r="C17" s="43" t="e">
        <f>'Australia (Month)'!#REF!</f>
        <v>#REF!</v>
      </c>
    </row>
    <row r="18" spans="2:3" x14ac:dyDescent="0.35">
      <c r="B18" s="28" t="s">
        <v>150</v>
      </c>
      <c r="C18" s="43" t="e">
        <f>'Australia (Month)'!#REF!</f>
        <v>#REF!</v>
      </c>
    </row>
    <row r="19" spans="2:3" x14ac:dyDescent="0.35">
      <c r="B19" s="27"/>
      <c r="C19" s="53"/>
    </row>
    <row r="20" spans="2:3" x14ac:dyDescent="0.35">
      <c r="B20" s="86" t="s">
        <v>27</v>
      </c>
      <c r="C20" s="88"/>
    </row>
    <row r="21" spans="2:3" x14ac:dyDescent="0.35">
      <c r="B21" s="28" t="s">
        <v>151</v>
      </c>
      <c r="C21" s="51" t="e">
        <f>'Australia (Month)'!#REF!</f>
        <v>#REF!</v>
      </c>
    </row>
    <row r="22" spans="2:3" x14ac:dyDescent="0.35">
      <c r="B22" s="28" t="s">
        <v>152</v>
      </c>
      <c r="C22" s="51" t="e">
        <f t="shared" ref="C22" si="2">C51</f>
        <v>#REF!</v>
      </c>
    </row>
    <row r="23" spans="2:3" x14ac:dyDescent="0.35">
      <c r="B23" s="28" t="s">
        <v>153</v>
      </c>
      <c r="C23" s="43" t="e">
        <f>'Australia (Month)'!#REF!</f>
        <v>#REF!</v>
      </c>
    </row>
    <row r="24" spans="2:3" x14ac:dyDescent="0.35">
      <c r="B24" s="28" t="s">
        <v>154</v>
      </c>
      <c r="C24" s="43" t="e">
        <f>'Australia (Month)'!#REF!</f>
        <v>#REF!</v>
      </c>
    </row>
    <row r="25" spans="2:3" x14ac:dyDescent="0.35">
      <c r="B25" s="28" t="s">
        <v>155</v>
      </c>
      <c r="C25" s="43" t="e">
        <f>'Australia (Month)'!#REF!</f>
        <v>#REF!</v>
      </c>
    </row>
    <row r="26" spans="2:3" x14ac:dyDescent="0.35">
      <c r="B26" s="27"/>
      <c r="C26" s="33"/>
    </row>
    <row r="27" spans="2:3" x14ac:dyDescent="0.35">
      <c r="B27" s="86" t="s">
        <v>156</v>
      </c>
      <c r="C27" s="88"/>
    </row>
    <row r="28" spans="2:3" x14ac:dyDescent="0.35">
      <c r="B28" s="28" t="s">
        <v>157</v>
      </c>
      <c r="C28" s="51" t="e">
        <f>'Australia (Month)'!#REF!</f>
        <v>#REF!</v>
      </c>
    </row>
    <row r="29" spans="2:3" x14ac:dyDescent="0.35">
      <c r="B29" s="28" t="s">
        <v>158</v>
      </c>
      <c r="C29" s="51" t="e">
        <f t="shared" ref="C29" si="3">C52</f>
        <v>#REF!</v>
      </c>
    </row>
    <row r="30" spans="2:3" x14ac:dyDescent="0.35">
      <c r="B30" s="28" t="s">
        <v>159</v>
      </c>
      <c r="C30" s="43" t="e">
        <f>'Australia (Month)'!#REF!</f>
        <v>#REF!</v>
      </c>
    </row>
    <row r="31" spans="2:3" x14ac:dyDescent="0.35">
      <c r="B31" s="28" t="s">
        <v>160</v>
      </c>
      <c r="C31" s="43" t="e">
        <f>'Australia (Month)'!#REF!</f>
        <v>#REF!</v>
      </c>
    </row>
    <row r="32" spans="2:3" x14ac:dyDescent="0.35">
      <c r="B32" s="28" t="s">
        <v>161</v>
      </c>
      <c r="C32" s="43" t="e">
        <f>'Australia (Month)'!#REF!</f>
        <v>#REF!</v>
      </c>
    </row>
    <row r="33" spans="2:3" x14ac:dyDescent="0.35">
      <c r="B33" s="27"/>
      <c r="C33" s="53"/>
    </row>
    <row r="34" spans="2:3" x14ac:dyDescent="0.35">
      <c r="B34" s="86" t="s">
        <v>29</v>
      </c>
      <c r="C34" s="88"/>
    </row>
    <row r="35" spans="2:3" x14ac:dyDescent="0.35">
      <c r="B35" s="28" t="s">
        <v>162</v>
      </c>
      <c r="C35" s="51" t="e">
        <f>'Australia (Month)'!#REF!</f>
        <v>#REF!</v>
      </c>
    </row>
    <row r="36" spans="2:3" x14ac:dyDescent="0.35">
      <c r="B36" s="28" t="s">
        <v>163</v>
      </c>
      <c r="C36" s="51" t="e">
        <f t="shared" ref="C36" si="4">C53</f>
        <v>#REF!</v>
      </c>
    </row>
    <row r="37" spans="2:3" x14ac:dyDescent="0.35">
      <c r="B37" s="28" t="s">
        <v>164</v>
      </c>
      <c r="C37" s="43" t="e">
        <f>'Australia (Month)'!#REF!</f>
        <v>#REF!</v>
      </c>
    </row>
    <row r="38" spans="2:3" x14ac:dyDescent="0.35">
      <c r="B38" s="28" t="s">
        <v>165</v>
      </c>
      <c r="C38" s="43" t="e">
        <f>'Australia (Month)'!#REF!</f>
        <v>#REF!</v>
      </c>
    </row>
    <row r="39" spans="2:3" x14ac:dyDescent="0.35">
      <c r="B39" s="28" t="s">
        <v>166</v>
      </c>
      <c r="C39" s="43" t="e">
        <f>'Australia (Month)'!#REF!</f>
        <v>#REF!</v>
      </c>
    </row>
    <row r="40" spans="2:3" x14ac:dyDescent="0.35">
      <c r="B40" s="27"/>
      <c r="C40" s="53"/>
    </row>
    <row r="41" spans="2:3" x14ac:dyDescent="0.35">
      <c r="B41" s="93" t="s">
        <v>167</v>
      </c>
      <c r="C41" s="95"/>
    </row>
    <row r="42" spans="2:3" x14ac:dyDescent="0.35">
      <c r="B42" s="28" t="s">
        <v>25</v>
      </c>
      <c r="C42" s="51" t="e">
        <f t="shared" ref="C42" si="5">C6</f>
        <v>#REF!</v>
      </c>
    </row>
    <row r="43" spans="2:3" x14ac:dyDescent="0.35">
      <c r="B43" s="28" t="s">
        <v>26</v>
      </c>
      <c r="C43" s="51" t="e">
        <f t="shared" ref="C43" si="6">C14</f>
        <v>#REF!</v>
      </c>
    </row>
    <row r="44" spans="2:3" x14ac:dyDescent="0.35">
      <c r="B44" s="28" t="s">
        <v>27</v>
      </c>
      <c r="C44" s="51" t="e">
        <f t="shared" ref="C44" si="7">C21</f>
        <v>#REF!</v>
      </c>
    </row>
    <row r="45" spans="2:3" x14ac:dyDescent="0.35">
      <c r="B45" s="28" t="s">
        <v>28</v>
      </c>
      <c r="C45" s="51" t="e">
        <f t="shared" ref="C45" si="8">C28</f>
        <v>#REF!</v>
      </c>
    </row>
    <row r="46" spans="2:3" x14ac:dyDescent="0.35">
      <c r="B46" s="28" t="s">
        <v>29</v>
      </c>
      <c r="C46" s="51" t="e">
        <f t="shared" ref="C46" si="9">C35</f>
        <v>#REF!</v>
      </c>
    </row>
    <row r="47" spans="2:3" x14ac:dyDescent="0.35">
      <c r="B47" s="58"/>
      <c r="C47" s="53"/>
    </row>
    <row r="48" spans="2:3" x14ac:dyDescent="0.35">
      <c r="B48" s="93" t="s">
        <v>168</v>
      </c>
      <c r="C48" s="95"/>
    </row>
    <row r="49" spans="2:3" x14ac:dyDescent="0.35">
      <c r="B49" s="28" t="s">
        <v>25</v>
      </c>
      <c r="C49" s="51" t="e">
        <f t="shared" ref="C49" si="10">RANK(C42,C$42:C$46,0)</f>
        <v>#REF!</v>
      </c>
    </row>
    <row r="50" spans="2:3" x14ac:dyDescent="0.35">
      <c r="B50" s="28" t="s">
        <v>26</v>
      </c>
      <c r="C50" s="51" t="e">
        <f t="shared" ref="C50" si="11">RANK(C43,C$42:C$46,0)</f>
        <v>#REF!</v>
      </c>
    </row>
    <row r="51" spans="2:3" x14ac:dyDescent="0.35">
      <c r="B51" s="28" t="s">
        <v>27</v>
      </c>
      <c r="C51" s="51" t="e">
        <f t="shared" ref="C51" si="12">RANK(C44,C$42:C$46,0)</f>
        <v>#REF!</v>
      </c>
    </row>
    <row r="52" spans="2:3" x14ac:dyDescent="0.35">
      <c r="B52" s="28" t="s">
        <v>28</v>
      </c>
      <c r="C52" s="51" t="e">
        <f t="shared" ref="C52" si="13">RANK(C45,C$42:C$46,0)</f>
        <v>#REF!</v>
      </c>
    </row>
    <row r="53" spans="2:3" x14ac:dyDescent="0.35">
      <c r="B53" s="28" t="s">
        <v>29</v>
      </c>
      <c r="C53" s="51" t="e">
        <f t="shared" ref="C53" si="14">RANK(C46,C$42:C$46,0)</f>
        <v>#REF!</v>
      </c>
    </row>
    <row r="54" spans="2:3" x14ac:dyDescent="0.35">
      <c r="B54" s="58"/>
      <c r="C54" s="53"/>
    </row>
    <row r="55" spans="2:3" x14ac:dyDescent="0.35">
      <c r="B55" s="93" t="s">
        <v>169</v>
      </c>
      <c r="C55" s="95"/>
    </row>
    <row r="56" spans="2:3" x14ac:dyDescent="0.35">
      <c r="B56" s="28" t="s">
        <v>25</v>
      </c>
      <c r="C56" s="51" t="e">
        <f>'Australia (Month)'!#REF!</f>
        <v>#REF!</v>
      </c>
    </row>
    <row r="57" spans="2:3" x14ac:dyDescent="0.35">
      <c r="B57" s="28" t="s">
        <v>26</v>
      </c>
      <c r="C57" s="51" t="e">
        <f>'Australia (Month)'!#REF!</f>
        <v>#REF!</v>
      </c>
    </row>
    <row r="58" spans="2:3" x14ac:dyDescent="0.35">
      <c r="B58" s="28" t="s">
        <v>27</v>
      </c>
      <c r="C58" s="51" t="e">
        <f>'Australia (Month)'!#REF!</f>
        <v>#REF!</v>
      </c>
    </row>
    <row r="59" spans="2:3" x14ac:dyDescent="0.35">
      <c r="B59" s="28" t="s">
        <v>28</v>
      </c>
      <c r="C59" s="51" t="e">
        <f>'Australia (Month)'!#REF!</f>
        <v>#REF!</v>
      </c>
    </row>
    <row r="60" spans="2:3" ht="15" thickBot="1" x14ac:dyDescent="0.4">
      <c r="B60" s="52" t="s">
        <v>29</v>
      </c>
      <c r="C60" s="72" t="e">
        <f>'Australia (Month)'!#REF!</f>
        <v>#REF!</v>
      </c>
    </row>
    <row r="61" spans="2:3" x14ac:dyDescent="0.35">
      <c r="B61" s="27"/>
      <c r="C61" s="53"/>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0326-4163-41AB-88F8-43934909B61A}">
  <sheetPr codeName="Sheet5">
    <tabColor theme="8" tint="0.59999389629810485"/>
  </sheetPr>
  <dimension ref="B1:E327"/>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31" customWidth="1"/>
    <col min="6" max="16384" width="9.453125" style="31"/>
  </cols>
  <sheetData>
    <row r="1" spans="2:5" ht="6.75" customHeight="1" thickBot="1" x14ac:dyDescent="0.4">
      <c r="B1" s="30"/>
    </row>
    <row r="2" spans="2:5" ht="41.25" customHeight="1" x14ac:dyDescent="0.35">
      <c r="B2" s="79" t="s">
        <v>556</v>
      </c>
      <c r="C2" s="38" t="s">
        <v>635</v>
      </c>
      <c r="D2" s="38" t="s">
        <v>642</v>
      </c>
      <c r="E2" s="38" t="s">
        <v>648</v>
      </c>
    </row>
    <row r="3" spans="2:5" s="2" customFormat="1" ht="15" thickBot="1" x14ac:dyDescent="0.4">
      <c r="B3" s="29"/>
    </row>
    <row r="4" spans="2:5" ht="15" thickBot="1" x14ac:dyDescent="0.4">
      <c r="B4" s="112" t="s">
        <v>193</v>
      </c>
      <c r="C4" s="128"/>
      <c r="D4" s="128"/>
      <c r="E4" s="128"/>
    </row>
    <row r="5" spans="2:5" x14ac:dyDescent="0.35">
      <c r="B5" s="113" t="s">
        <v>31</v>
      </c>
      <c r="C5" s="47" t="s">
        <v>22</v>
      </c>
      <c r="D5" s="47" t="s">
        <v>22</v>
      </c>
      <c r="E5" s="47" t="s">
        <v>22</v>
      </c>
    </row>
    <row r="6" spans="2:5" x14ac:dyDescent="0.35">
      <c r="B6" s="159"/>
      <c r="C6" s="40">
        <f>'Australia Crunch  Output'!G21</f>
        <v>17.404864634445641</v>
      </c>
      <c r="D6" s="40">
        <f>'Australia Crunch  Output'!H21</f>
        <v>20.861557045422568</v>
      </c>
      <c r="E6" s="40">
        <f>'Australia Crunch  Output'!I21</f>
        <v>13.98320714742195</v>
      </c>
    </row>
    <row r="7" spans="2:5" x14ac:dyDescent="0.35">
      <c r="B7" s="41" t="s">
        <v>336</v>
      </c>
      <c r="C7" s="42">
        <f>'Australia Crunch  Output'!G7</f>
        <v>0.39838158086709452</v>
      </c>
      <c r="D7" s="42">
        <f>'Australia Crunch  Output'!H7</f>
        <v>0.39646689112524502</v>
      </c>
      <c r="E7" s="42">
        <f>'Australia Crunch  Output'!I7</f>
        <v>0.35230341308456248</v>
      </c>
    </row>
    <row r="8" spans="2:5" x14ac:dyDescent="0.35">
      <c r="B8" s="41" t="s">
        <v>194</v>
      </c>
      <c r="C8" s="42">
        <f>'Australia Crunch  Output'!G8</f>
        <v>0.37728548461026762</v>
      </c>
      <c r="D8" s="42">
        <f>'Australia Crunch  Output'!H8</f>
        <v>0.41568178820373608</v>
      </c>
      <c r="E8" s="42">
        <f>'Australia Crunch  Output'!I8</f>
        <v>0.43522524530509471</v>
      </c>
    </row>
    <row r="9" spans="2:5" x14ac:dyDescent="0.35">
      <c r="B9" s="41" t="s">
        <v>195</v>
      </c>
      <c r="C9" s="42">
        <f>'Australia Crunch  Output'!G9</f>
        <v>0.22433293452263811</v>
      </c>
      <c r="D9" s="42">
        <f>'Australia Crunch  Output'!H9</f>
        <v>0.1878513206710192</v>
      </c>
      <c r="E9" s="42">
        <f>'Australia Crunch  Output'!I9</f>
        <v>0.21247134161034301</v>
      </c>
    </row>
    <row r="10" spans="2:5" x14ac:dyDescent="0.35">
      <c r="B10" s="28" t="s">
        <v>196</v>
      </c>
      <c r="C10" s="43">
        <f>'Australia Crunch  Output'!G10</f>
        <v>0.25217443965806458</v>
      </c>
      <c r="D10" s="43">
        <f>'Australia Crunch  Output'!H10</f>
        <v>0.26119080887855628</v>
      </c>
      <c r="E10" s="43">
        <f>'Australia Crunch  Output'!I10</f>
        <v>0.21694214994501271</v>
      </c>
    </row>
    <row r="11" spans="2:5" x14ac:dyDescent="0.35">
      <c r="B11" s="28" t="s">
        <v>197</v>
      </c>
      <c r="C11" s="43">
        <f>'Australia Crunch  Output'!G11</f>
        <v>0.14620714120902989</v>
      </c>
      <c r="D11" s="43">
        <f>'Australia Crunch  Output'!H11</f>
        <v>0.13527608224668861</v>
      </c>
      <c r="E11" s="43">
        <f>'Australia Crunch  Output'!I11</f>
        <v>0.13536126313954969</v>
      </c>
    </row>
    <row r="12" spans="2:5" x14ac:dyDescent="0.35">
      <c r="B12" s="28" t="s">
        <v>198</v>
      </c>
      <c r="C12" s="43">
        <f>'Australia Crunch  Output'!G12</f>
        <v>0.26618878507405103</v>
      </c>
      <c r="D12" s="43">
        <f>'Australia Crunch  Output'!H12</f>
        <v>0.28948344891021971</v>
      </c>
      <c r="E12" s="43">
        <f>'Australia Crunch  Output'!I12</f>
        <v>0.2930996652416476</v>
      </c>
    </row>
    <row r="13" spans="2:5" x14ac:dyDescent="0.35">
      <c r="B13" s="28" t="s">
        <v>199</v>
      </c>
      <c r="C13" s="43">
        <f>'Australia Crunch  Output'!G13</f>
        <v>0.11109669953621661</v>
      </c>
      <c r="D13" s="43">
        <f>'Australia Crunch  Output'!H13</f>
        <v>0.1261983392935164</v>
      </c>
      <c r="E13" s="43">
        <f>'Australia Crunch  Output'!I13</f>
        <v>0.142125580063447</v>
      </c>
    </row>
    <row r="14" spans="2:5" s="34" customFormat="1" x14ac:dyDescent="0.35">
      <c r="B14" s="28" t="s">
        <v>200</v>
      </c>
      <c r="C14" s="43">
        <f>'Australia Crunch  Output'!G14</f>
        <v>0.17702313559013441</v>
      </c>
      <c r="D14" s="43">
        <f>'Australia Crunch  Output'!H14</f>
        <v>0.150275286155924</v>
      </c>
      <c r="E14" s="43">
        <f>'Australia Crunch  Output'!I14</f>
        <v>0.17180228675703119</v>
      </c>
    </row>
    <row r="15" spans="2:5" s="35" customFormat="1" x14ac:dyDescent="0.3">
      <c r="B15" s="44" t="s">
        <v>201</v>
      </c>
      <c r="C15" s="43">
        <f>'Australia Crunch  Output'!G15</f>
        <v>2.3547443948554091E-2</v>
      </c>
      <c r="D15" s="43">
        <f>'Australia Crunch  Output'!H15</f>
        <v>1.8702670197679301E-2</v>
      </c>
      <c r="E15" s="43">
        <f>'Australia Crunch  Output'!I15</f>
        <v>2.0242155139261999E-2</v>
      </c>
    </row>
    <row r="16" spans="2:5" s="36" customFormat="1" x14ac:dyDescent="0.3">
      <c r="B16" s="44" t="s">
        <v>202</v>
      </c>
      <c r="C16" s="43">
        <f>'Australia Crunch  Output'!G16</f>
        <v>2.376235498394963E-2</v>
      </c>
      <c r="D16" s="43">
        <f>'Australia Crunch  Output'!H16</f>
        <v>1.8873364317415861E-2</v>
      </c>
      <c r="E16" s="43">
        <f>'Australia Crunch  Output'!I16</f>
        <v>2.0426899714049821E-2</v>
      </c>
    </row>
    <row r="17" spans="2:5" s="36" customFormat="1" x14ac:dyDescent="0.3">
      <c r="B17" s="44">
        <v>3</v>
      </c>
      <c r="C17" s="43">
        <f>'Australia Crunch  Output'!G17</f>
        <v>0</v>
      </c>
      <c r="D17" s="43">
        <f>'Australia Crunch  Output'!H17</f>
        <v>0</v>
      </c>
      <c r="E17" s="43">
        <f>'Australia Crunch  Output'!I17</f>
        <v>0</v>
      </c>
    </row>
    <row r="18" spans="2:5" s="36" customFormat="1" x14ac:dyDescent="0.3">
      <c r="B18" s="44">
        <v>2</v>
      </c>
      <c r="C18" s="43">
        <f>'Australia Crunch  Output'!G18</f>
        <v>0</v>
      </c>
      <c r="D18" s="43">
        <f>'Australia Crunch  Output'!H18</f>
        <v>0</v>
      </c>
      <c r="E18" s="43">
        <f>'Australia Crunch  Output'!I18</f>
        <v>0</v>
      </c>
    </row>
    <row r="19" spans="2:5" s="36" customFormat="1" x14ac:dyDescent="0.3">
      <c r="B19" s="44" t="s">
        <v>203</v>
      </c>
      <c r="C19" s="43">
        <f>'Australia Crunch  Output'!G19</f>
        <v>0</v>
      </c>
      <c r="D19" s="43">
        <f>'Australia Crunch  Output'!H19</f>
        <v>0</v>
      </c>
      <c r="E19" s="43">
        <f>'Australia Crunch  Output'!I19</f>
        <v>0</v>
      </c>
    </row>
    <row r="20" spans="2:5" s="36" customFormat="1" x14ac:dyDescent="0.3">
      <c r="B20" s="44" t="s">
        <v>204</v>
      </c>
      <c r="C20" s="43">
        <f>'Australia Crunch  Output'!G20</f>
        <v>0</v>
      </c>
      <c r="D20" s="43">
        <f>'Australia Crunch  Output'!H20</f>
        <v>0</v>
      </c>
      <c r="E20" s="43">
        <f>'Australia Crunch  Output'!I20</f>
        <v>0</v>
      </c>
    </row>
    <row r="21" spans="2:5" s="36" customFormat="1" x14ac:dyDescent="0.3">
      <c r="B21" s="56" t="s">
        <v>24</v>
      </c>
      <c r="C21" s="60">
        <f>'Australia Crunch  Output'!G6</f>
        <v>42</v>
      </c>
      <c r="D21" s="60">
        <f>'Australia Crunch  Output'!H6</f>
        <v>53</v>
      </c>
      <c r="E21" s="60">
        <f>'Australia Crunch  Output'!I6</f>
        <v>48</v>
      </c>
    </row>
    <row r="22" spans="2:5" x14ac:dyDescent="0.35">
      <c r="B22" s="162"/>
      <c r="C22" s="130"/>
      <c r="D22" s="130"/>
      <c r="E22" s="130"/>
    </row>
    <row r="23" spans="2:5" x14ac:dyDescent="0.35">
      <c r="B23" s="110" t="s">
        <v>26</v>
      </c>
      <c r="C23" s="47" t="s">
        <v>22</v>
      </c>
      <c r="D23" s="47" t="s">
        <v>22</v>
      </c>
      <c r="E23" s="47" t="s">
        <v>22</v>
      </c>
    </row>
    <row r="24" spans="2:5" x14ac:dyDescent="0.35">
      <c r="B24" s="111"/>
      <c r="C24" s="40">
        <f>'Australia Crunch  Output'!G40</f>
        <v>44.621824545878482</v>
      </c>
      <c r="D24" s="40">
        <f>'Australia Crunch  Output'!H40</f>
        <v>42.48852795603203</v>
      </c>
      <c r="E24" s="40">
        <f>'Australia Crunch  Output'!I40</f>
        <v>38.373294993657318</v>
      </c>
    </row>
    <row r="25" spans="2:5" x14ac:dyDescent="0.35">
      <c r="B25" s="41" t="s">
        <v>336</v>
      </c>
      <c r="C25" s="42">
        <f>'Australia Crunch  Output'!G26</f>
        <v>0.52486817067880132</v>
      </c>
      <c r="D25" s="42">
        <f>'Australia Crunch  Output'!H26</f>
        <v>0.52061667209887863</v>
      </c>
      <c r="E25" s="42">
        <f>'Australia Crunch  Output'!I26</f>
        <v>0.50065197801915329</v>
      </c>
    </row>
    <row r="26" spans="2:5" x14ac:dyDescent="0.35">
      <c r="B26" s="41" t="s">
        <v>194</v>
      </c>
      <c r="C26" s="42">
        <f>'Australia Crunch  Output'!G27</f>
        <v>0.39648190410118211</v>
      </c>
      <c r="D26" s="42">
        <f>'Australia Crunch  Output'!H27</f>
        <v>0.38365193536256298</v>
      </c>
      <c r="E26" s="42">
        <f>'Australia Crunch  Output'!I27</f>
        <v>0.38242899389826701</v>
      </c>
    </row>
    <row r="27" spans="2:5" x14ac:dyDescent="0.35">
      <c r="B27" s="41" t="s">
        <v>195</v>
      </c>
      <c r="C27" s="42">
        <f>'Australia Crunch  Output'!G28</f>
        <v>7.864992522001657E-2</v>
      </c>
      <c r="D27" s="42">
        <f>'Australia Crunch  Output'!H28</f>
        <v>9.5731392538558294E-2</v>
      </c>
      <c r="E27" s="42">
        <f>'Australia Crunch  Output'!I28</f>
        <v>0.1169190280825799</v>
      </c>
    </row>
    <row r="28" spans="2:5" x14ac:dyDescent="0.35">
      <c r="B28" s="28" t="s">
        <v>196</v>
      </c>
      <c r="C28" s="43">
        <f>'Australia Crunch  Output'!G29</f>
        <v>0.26180030275088972</v>
      </c>
      <c r="D28" s="43">
        <f>'Australia Crunch  Output'!H29</f>
        <v>0.26383603975361752</v>
      </c>
      <c r="E28" s="43">
        <f>'Australia Crunch  Output'!I29</f>
        <v>0.25196123830006828</v>
      </c>
    </row>
    <row r="29" spans="2:5" x14ac:dyDescent="0.35">
      <c r="B29" s="28" t="s">
        <v>197</v>
      </c>
      <c r="C29" s="43">
        <f>'Australia Crunch  Output'!G30</f>
        <v>0.26306786792791148</v>
      </c>
      <c r="D29" s="43">
        <f>'Australia Crunch  Output'!H30</f>
        <v>0.25678063234526111</v>
      </c>
      <c r="E29" s="43">
        <f>'Australia Crunch  Output'!I30</f>
        <v>0.2486907397190849</v>
      </c>
    </row>
    <row r="30" spans="2:5" x14ac:dyDescent="0.35">
      <c r="B30" s="28" t="s">
        <v>198</v>
      </c>
      <c r="C30" s="43">
        <f>'Australia Crunch  Output'!G31</f>
        <v>0.27788914425092831</v>
      </c>
      <c r="D30" s="43">
        <f>'Australia Crunch  Output'!H31</f>
        <v>0.28287398795540952</v>
      </c>
      <c r="E30" s="43">
        <f>'Australia Crunch  Output'!I31</f>
        <v>0.27779568033053681</v>
      </c>
    </row>
    <row r="31" spans="2:5" x14ac:dyDescent="0.35">
      <c r="B31" s="28" t="s">
        <v>199</v>
      </c>
      <c r="C31" s="43">
        <f>'Australia Crunch  Output'!G32</f>
        <v>0.1185927598502538</v>
      </c>
      <c r="D31" s="43">
        <f>'Australia Crunch  Output'!H32</f>
        <v>0.1007779474071535</v>
      </c>
      <c r="E31" s="43">
        <f>'Australia Crunch  Output'!I32</f>
        <v>0.1046333135677302</v>
      </c>
    </row>
    <row r="32" spans="2:5" x14ac:dyDescent="0.35">
      <c r="B32" s="28" t="s">
        <v>200</v>
      </c>
      <c r="C32" s="43">
        <f>'Australia Crunch  Output'!G33</f>
        <v>4.1566954669369632E-2</v>
      </c>
      <c r="D32" s="43">
        <f>'Australia Crunch  Output'!H33</f>
        <v>3.3017906995857008E-2</v>
      </c>
      <c r="E32" s="43">
        <f>'Australia Crunch  Output'!I33</f>
        <v>4.3605856396746932E-2</v>
      </c>
    </row>
    <row r="33" spans="2:5" x14ac:dyDescent="0.35">
      <c r="B33" s="44" t="s">
        <v>201</v>
      </c>
      <c r="C33" s="43">
        <f>'Australia Crunch  Output'!G34</f>
        <v>3.7082970550646938E-2</v>
      </c>
      <c r="D33" s="43">
        <f>'Australia Crunch  Output'!H34</f>
        <v>5.6081123286395078E-2</v>
      </c>
      <c r="E33" s="43">
        <f>'Australia Crunch  Output'!I34</f>
        <v>5.4296796939038272E-2</v>
      </c>
    </row>
    <row r="34" spans="2:5" x14ac:dyDescent="0.35">
      <c r="B34" s="44" t="s">
        <v>202</v>
      </c>
      <c r="C34" s="43">
        <f>'Australia Crunch  Output'!G35</f>
        <v>0</v>
      </c>
      <c r="D34" s="43">
        <f>'Australia Crunch  Output'!H35</f>
        <v>0</v>
      </c>
      <c r="E34" s="43">
        <f>'Australia Crunch  Output'!I35</f>
        <v>5.6585511345352314E-3</v>
      </c>
    </row>
    <row r="35" spans="2:5" x14ac:dyDescent="0.35">
      <c r="B35" s="44">
        <v>3</v>
      </c>
      <c r="C35" s="43">
        <f>'Australia Crunch  Output'!G36</f>
        <v>0</v>
      </c>
      <c r="D35" s="43">
        <f>'Australia Crunch  Output'!H36</f>
        <v>0</v>
      </c>
      <c r="E35" s="43">
        <f>'Australia Crunch  Output'!I36</f>
        <v>0</v>
      </c>
    </row>
    <row r="36" spans="2:5" x14ac:dyDescent="0.35">
      <c r="B36" s="44">
        <v>2</v>
      </c>
      <c r="C36" s="43">
        <f>'Australia Crunch  Output'!G37</f>
        <v>0</v>
      </c>
      <c r="D36" s="43">
        <f>'Australia Crunch  Output'!H37</f>
        <v>6.6323622563062151E-3</v>
      </c>
      <c r="E36" s="43">
        <f>'Australia Crunch  Output'!I37</f>
        <v>6.8913056928548251E-3</v>
      </c>
    </row>
    <row r="37" spans="2:5" x14ac:dyDescent="0.35">
      <c r="B37" s="44" t="s">
        <v>203</v>
      </c>
      <c r="C37" s="43">
        <f>'Australia Crunch  Output'!G38</f>
        <v>0</v>
      </c>
      <c r="D37" s="43">
        <f>'Australia Crunch  Output'!H38</f>
        <v>0</v>
      </c>
      <c r="E37" s="43">
        <f>'Australia Crunch  Output'!I38</f>
        <v>6.4665179194046086E-3</v>
      </c>
    </row>
    <row r="38" spans="2:5" x14ac:dyDescent="0.35">
      <c r="B38" s="44" t="s">
        <v>204</v>
      </c>
      <c r="C38" s="43">
        <f>'Australia Crunch  Output'!G39</f>
        <v>0</v>
      </c>
      <c r="D38" s="43">
        <f>'Australia Crunch  Output'!H39</f>
        <v>0</v>
      </c>
      <c r="E38" s="43">
        <f>'Australia Crunch  Output'!I39</f>
        <v>0</v>
      </c>
    </row>
    <row r="39" spans="2:5" s="36" customFormat="1" x14ac:dyDescent="0.3">
      <c r="B39" s="56" t="s">
        <v>24</v>
      </c>
      <c r="C39" s="60">
        <f>'Australia Crunch  Output'!G25</f>
        <v>124</v>
      </c>
      <c r="D39" s="60">
        <f>'Australia Crunch  Output'!H25</f>
        <v>157</v>
      </c>
      <c r="E39" s="60">
        <f>'Australia Crunch  Output'!I25</f>
        <v>149</v>
      </c>
    </row>
    <row r="40" spans="2:5" x14ac:dyDescent="0.35">
      <c r="B40" s="45"/>
      <c r="C40" s="33"/>
      <c r="D40" s="33"/>
      <c r="E40" s="33"/>
    </row>
    <row r="41" spans="2:5" x14ac:dyDescent="0.35">
      <c r="B41" s="110" t="s">
        <v>27</v>
      </c>
      <c r="C41" s="39" t="s">
        <v>22</v>
      </c>
      <c r="D41" s="39" t="s">
        <v>22</v>
      </c>
      <c r="E41" s="39" t="s">
        <v>22</v>
      </c>
    </row>
    <row r="42" spans="2:5" x14ac:dyDescent="0.35">
      <c r="B42" s="111"/>
      <c r="C42" s="40">
        <f>'Australia Crunch  Output'!G59</f>
        <v>43.719344107770993</v>
      </c>
      <c r="D42" s="40">
        <f>'Australia Crunch  Output'!H59</f>
        <v>42.72414002181165</v>
      </c>
      <c r="E42" s="40">
        <f>'Australia Crunch  Output'!I59</f>
        <v>43.929885675580593</v>
      </c>
    </row>
    <row r="43" spans="2:5" x14ac:dyDescent="0.35">
      <c r="B43" s="41" t="s">
        <v>336</v>
      </c>
      <c r="C43" s="42">
        <f>'Australia Crunch  Output'!G45</f>
        <v>0.55019220299193428</v>
      </c>
      <c r="D43" s="42">
        <f>'Australia Crunch  Output'!H45</f>
        <v>0.54792716343202208</v>
      </c>
      <c r="E43" s="42">
        <f>'Australia Crunch  Output'!I45</f>
        <v>0.55717796661074492</v>
      </c>
    </row>
    <row r="44" spans="2:5" x14ac:dyDescent="0.35">
      <c r="B44" s="41" t="s">
        <v>194</v>
      </c>
      <c r="C44" s="42">
        <f>'Australia Crunch  Output'!G46</f>
        <v>0.33680903509384141</v>
      </c>
      <c r="D44" s="42">
        <f>'Australia Crunch  Output'!H46</f>
        <v>0.33138707335407219</v>
      </c>
      <c r="E44" s="42">
        <f>'Australia Crunch  Output'!I46</f>
        <v>0.32494292353431597</v>
      </c>
    </row>
    <row r="45" spans="2:5" x14ac:dyDescent="0.35">
      <c r="B45" s="41" t="s">
        <v>195</v>
      </c>
      <c r="C45" s="42">
        <f>'Australia Crunch  Output'!G47</f>
        <v>0.1129987619142243</v>
      </c>
      <c r="D45" s="42">
        <f>'Australia Crunch  Output'!H47</f>
        <v>0.1206857632139057</v>
      </c>
      <c r="E45" s="42">
        <f>'Australia Crunch  Output'!I47</f>
        <v>0.117879109854939</v>
      </c>
    </row>
    <row r="46" spans="2:5" x14ac:dyDescent="0.35">
      <c r="B46" s="28" t="s">
        <v>196</v>
      </c>
      <c r="C46" s="43">
        <f>'Australia Crunch  Output'!G48</f>
        <v>0.31431099506684462</v>
      </c>
      <c r="D46" s="43">
        <f>'Australia Crunch  Output'!H48</f>
        <v>0.30747942754278801</v>
      </c>
      <c r="E46" s="43">
        <f>'Australia Crunch  Output'!I48</f>
        <v>0.31299308074296378</v>
      </c>
    </row>
    <row r="47" spans="2:5" x14ac:dyDescent="0.35">
      <c r="B47" s="28" t="s">
        <v>197</v>
      </c>
      <c r="C47" s="43">
        <f>'Australia Crunch  Output'!G49</f>
        <v>0.2358812079250896</v>
      </c>
      <c r="D47" s="43">
        <f>'Australia Crunch  Output'!H49</f>
        <v>0.2404477358892341</v>
      </c>
      <c r="E47" s="43">
        <f>'Australia Crunch  Output'!I49</f>
        <v>0.24418488586778109</v>
      </c>
    </row>
    <row r="48" spans="2:5" x14ac:dyDescent="0.35">
      <c r="B48" s="28" t="s">
        <v>198</v>
      </c>
      <c r="C48" s="43">
        <f>'Australia Crunch  Output'!G50</f>
        <v>0.24603948478706869</v>
      </c>
      <c r="D48" s="43">
        <f>'Australia Crunch  Output'!H50</f>
        <v>0.23794384975794669</v>
      </c>
      <c r="E48" s="43">
        <f>'Australia Crunch  Output'!I50</f>
        <v>0.23413661610845971</v>
      </c>
    </row>
    <row r="49" spans="2:5" x14ac:dyDescent="0.35">
      <c r="B49" s="28" t="s">
        <v>199</v>
      </c>
      <c r="C49" s="43">
        <f>'Australia Crunch  Output'!G51</f>
        <v>9.0769550306772667E-2</v>
      </c>
      <c r="D49" s="43">
        <f>'Australia Crunch  Output'!H51</f>
        <v>9.3443223596125433E-2</v>
      </c>
      <c r="E49" s="43">
        <f>'Australia Crunch  Output'!I51</f>
        <v>9.0806307425856242E-2</v>
      </c>
    </row>
    <row r="50" spans="2:5" x14ac:dyDescent="0.35">
      <c r="B50" s="28" t="s">
        <v>200</v>
      </c>
      <c r="C50" s="43">
        <f>'Australia Crunch  Output'!G52</f>
        <v>5.3182736887152388E-2</v>
      </c>
      <c r="D50" s="43">
        <f>'Australia Crunch  Output'!H52</f>
        <v>5.9227137666854633E-2</v>
      </c>
      <c r="E50" s="43">
        <f>'Australia Crunch  Output'!I52</f>
        <v>5.6393854721200773E-2</v>
      </c>
    </row>
    <row r="51" spans="2:5" x14ac:dyDescent="0.35">
      <c r="B51" s="44" t="s">
        <v>201</v>
      </c>
      <c r="C51" s="43">
        <f>'Australia Crunch  Output'!G53</f>
        <v>3.1595726112932723E-2</v>
      </c>
      <c r="D51" s="43">
        <f>'Australia Crunch  Output'!H53</f>
        <v>2.8391748253290099E-2</v>
      </c>
      <c r="E51" s="43">
        <f>'Australia Crunch  Output'!I53</f>
        <v>2.5148864989882429E-2</v>
      </c>
    </row>
    <row r="52" spans="2:5" x14ac:dyDescent="0.35">
      <c r="B52" s="44" t="s">
        <v>202</v>
      </c>
      <c r="C52" s="43">
        <f>'Australia Crunch  Output'!G54</f>
        <v>0</v>
      </c>
      <c r="D52" s="43">
        <f>'Australia Crunch  Output'!H54</f>
        <v>5.0450562541246814E-3</v>
      </c>
      <c r="E52" s="43">
        <f>'Australia Crunch  Output'!I54</f>
        <v>5.1110602841859159E-3</v>
      </c>
    </row>
    <row r="53" spans="2:5" x14ac:dyDescent="0.35">
      <c r="B53" s="44">
        <v>3</v>
      </c>
      <c r="C53" s="43">
        <f>'Australia Crunch  Output'!G55</f>
        <v>8.8276816557981072E-3</v>
      </c>
      <c r="D53" s="43">
        <f>'Australia Crunch  Output'!H55</f>
        <v>7.2261484229212006E-3</v>
      </c>
      <c r="E53" s="43">
        <f>'Australia Crunch  Output'!I55</f>
        <v>1.089574926752959E-2</v>
      </c>
    </row>
    <row r="54" spans="2:5" x14ac:dyDescent="0.35">
      <c r="B54" s="44">
        <v>2</v>
      </c>
      <c r="C54" s="43">
        <f>'Australia Crunch  Output'!G56</f>
        <v>2.8574570591908912E-3</v>
      </c>
      <c r="D54" s="43">
        <f>'Australia Crunch  Output'!H56</f>
        <v>4.8539810853973986E-3</v>
      </c>
      <c r="E54" s="43">
        <f>'Australia Crunch  Output'!I56</f>
        <v>1.07705200479856E-2</v>
      </c>
    </row>
    <row r="55" spans="2:5" x14ac:dyDescent="0.35">
      <c r="B55" s="44" t="s">
        <v>203</v>
      </c>
      <c r="C55" s="43">
        <f>'Australia Crunch  Output'!G57</f>
        <v>1.7240513760378711E-3</v>
      </c>
      <c r="D55" s="43">
        <f>'Australia Crunch  Output'!H57</f>
        <v>1.411271001578143E-3</v>
      </c>
      <c r="E55" s="43">
        <f>'Australia Crunch  Output'!I57</f>
        <v>0</v>
      </c>
    </row>
    <row r="56" spans="2:5" x14ac:dyDescent="0.35">
      <c r="B56" s="44" t="s">
        <v>204</v>
      </c>
      <c r="C56" s="43">
        <f>'Australia Crunch  Output'!G58</f>
        <v>1.4811108823112351E-2</v>
      </c>
      <c r="D56" s="43">
        <f>'Australia Crunch  Output'!H58</f>
        <v>1.453042052973951E-2</v>
      </c>
      <c r="E56" s="43">
        <f>'Australia Crunch  Output'!I58</f>
        <v>9.5590605441547762E-3</v>
      </c>
    </row>
    <row r="57" spans="2:5" s="36" customFormat="1" x14ac:dyDescent="0.3">
      <c r="B57" s="56" t="s">
        <v>24</v>
      </c>
      <c r="C57" s="60">
        <f>'Australia Crunch  Output'!G44</f>
        <v>331</v>
      </c>
      <c r="D57" s="60">
        <f>'Australia Crunch  Output'!H44</f>
        <v>401</v>
      </c>
      <c r="E57" s="60">
        <f>'Australia Crunch  Output'!I44</f>
        <v>391</v>
      </c>
    </row>
    <row r="58" spans="2:5" x14ac:dyDescent="0.35">
      <c r="B58" s="27"/>
      <c r="C58" s="33"/>
      <c r="D58" s="33"/>
      <c r="E58" s="33"/>
    </row>
    <row r="59" spans="2:5" x14ac:dyDescent="0.35">
      <c r="B59" s="110" t="s">
        <v>205</v>
      </c>
      <c r="C59" s="39" t="s">
        <v>22</v>
      </c>
      <c r="D59" s="39" t="s">
        <v>22</v>
      </c>
      <c r="E59" s="39" t="s">
        <v>22</v>
      </c>
    </row>
    <row r="60" spans="2:5" x14ac:dyDescent="0.35">
      <c r="B60" s="111"/>
      <c r="C60" s="40">
        <f>'Australia Crunch  Output'!G78</f>
        <v>31.411083736109731</v>
      </c>
      <c r="D60" s="40">
        <f>'Australia Crunch  Output'!H78</f>
        <v>29.606532622579561</v>
      </c>
      <c r="E60" s="40">
        <f>'Australia Crunch  Output'!I78</f>
        <v>29.562952844438659</v>
      </c>
    </row>
    <row r="61" spans="2:5" x14ac:dyDescent="0.35">
      <c r="B61" s="41" t="s">
        <v>336</v>
      </c>
      <c r="C61" s="42">
        <f>'Australia Crunch  Output'!G64</f>
        <v>0.4337368209606563</v>
      </c>
      <c r="D61" s="42">
        <f>'Australia Crunch  Output'!H64</f>
        <v>0.41842987492882028</v>
      </c>
      <c r="E61" s="42">
        <f>'Australia Crunch  Output'!I64</f>
        <v>0.43771644810432059</v>
      </c>
    </row>
    <row r="62" spans="2:5" x14ac:dyDescent="0.35">
      <c r="B62" s="41" t="s">
        <v>194</v>
      </c>
      <c r="C62" s="42">
        <f>'Australia Crunch  Output'!G65</f>
        <v>0.44663719543978481</v>
      </c>
      <c r="D62" s="42">
        <f>'Australia Crunch  Output'!H65</f>
        <v>0.45920557636815512</v>
      </c>
      <c r="E62" s="42">
        <f>'Australia Crunch  Output'!I65</f>
        <v>0.42019663223574549</v>
      </c>
    </row>
    <row r="63" spans="2:5" x14ac:dyDescent="0.35">
      <c r="B63" s="41" t="s">
        <v>195</v>
      </c>
      <c r="C63" s="42">
        <f>'Australia Crunch  Output'!G66</f>
        <v>0.119625983599559</v>
      </c>
      <c r="D63" s="42">
        <f>'Australia Crunch  Output'!H66</f>
        <v>0.1223645487030246</v>
      </c>
      <c r="E63" s="42">
        <f>'Australia Crunch  Output'!I66</f>
        <v>0.142086919659934</v>
      </c>
    </row>
    <row r="64" spans="2:5" x14ac:dyDescent="0.35">
      <c r="B64" s="28" t="s">
        <v>196</v>
      </c>
      <c r="C64" s="43">
        <f>'Australia Crunch  Output'!G67</f>
        <v>0.15801526367494681</v>
      </c>
      <c r="D64" s="43">
        <f>'Australia Crunch  Output'!H67</f>
        <v>0.15402962629409719</v>
      </c>
      <c r="E64" s="43">
        <f>'Australia Crunch  Output'!I67</f>
        <v>0.1648378012705862</v>
      </c>
    </row>
    <row r="65" spans="2:5" x14ac:dyDescent="0.35">
      <c r="B65" s="28" t="s">
        <v>197</v>
      </c>
      <c r="C65" s="43">
        <f>'Australia Crunch  Output'!G68</f>
        <v>0.27572155728570952</v>
      </c>
      <c r="D65" s="43">
        <f>'Australia Crunch  Output'!H68</f>
        <v>0.26440024863472311</v>
      </c>
      <c r="E65" s="43">
        <f>'Australia Crunch  Output'!I68</f>
        <v>0.27287864683373442</v>
      </c>
    </row>
    <row r="66" spans="2:5" x14ac:dyDescent="0.35">
      <c r="B66" s="28" t="s">
        <v>198</v>
      </c>
      <c r="C66" s="43">
        <f>'Australia Crunch  Output'!G69</f>
        <v>0.34520906153415859</v>
      </c>
      <c r="D66" s="43">
        <f>'Australia Crunch  Output'!H69</f>
        <v>0.33132869031059842</v>
      </c>
      <c r="E66" s="43">
        <f>'Australia Crunch  Output'!I69</f>
        <v>0.27256569962014482</v>
      </c>
    </row>
    <row r="67" spans="2:5" x14ac:dyDescent="0.35">
      <c r="B67" s="28" t="s">
        <v>199</v>
      </c>
      <c r="C67" s="43">
        <f>'Australia Crunch  Output'!G70</f>
        <v>0.10142813390562611</v>
      </c>
      <c r="D67" s="43">
        <f>'Australia Crunch  Output'!H70</f>
        <v>0.1278768860575567</v>
      </c>
      <c r="E67" s="43">
        <f>'Australia Crunch  Output'!I70</f>
        <v>0.14763093261560059</v>
      </c>
    </row>
    <row r="68" spans="2:5" x14ac:dyDescent="0.35">
      <c r="B68" s="28" t="s">
        <v>200</v>
      </c>
      <c r="C68" s="43">
        <f>'Australia Crunch  Output'!G71</f>
        <v>6.0030452020542947E-2</v>
      </c>
      <c r="D68" s="43">
        <f>'Australia Crunch  Output'!H71</f>
        <v>7.1045055382484026E-2</v>
      </c>
      <c r="E68" s="43">
        <f>'Australia Crunch  Output'!I71</f>
        <v>8.9103590173533781E-2</v>
      </c>
    </row>
    <row r="69" spans="2:5" x14ac:dyDescent="0.35">
      <c r="B69" s="44" t="s">
        <v>201</v>
      </c>
      <c r="C69" s="43">
        <f>'Australia Crunch  Output'!G72</f>
        <v>4.7426507691094119E-2</v>
      </c>
      <c r="D69" s="43">
        <f>'Australia Crunch  Output'!H72</f>
        <v>4.0840383166020178E-2</v>
      </c>
      <c r="E69" s="43">
        <f>'Australia Crunch  Output'!I72</f>
        <v>4.2164474698155208E-2</v>
      </c>
    </row>
    <row r="70" spans="2:5" x14ac:dyDescent="0.35">
      <c r="B70" s="44" t="s">
        <v>202</v>
      </c>
      <c r="C70" s="43">
        <f>'Australia Crunch  Output'!G73</f>
        <v>1.1612259116370909E-2</v>
      </c>
      <c r="D70" s="43">
        <f>'Australia Crunch  Output'!H73</f>
        <v>9.9996633702117334E-3</v>
      </c>
      <c r="E70" s="43">
        <f>'Australia Crunch  Output'!I73</f>
        <v>1.0323863795532779E-2</v>
      </c>
    </row>
    <row r="71" spans="2:5" x14ac:dyDescent="0.35">
      <c r="B71" s="44">
        <v>3</v>
      </c>
      <c r="C71" s="43">
        <f>'Australia Crunch  Output'!G74</f>
        <v>0</v>
      </c>
      <c r="D71" s="43">
        <f>'Australia Crunch  Output'!H74</f>
        <v>0</v>
      </c>
      <c r="E71" s="43">
        <f>'Australia Crunch  Output'!I74</f>
        <v>0</v>
      </c>
    </row>
    <row r="72" spans="2:5" x14ac:dyDescent="0.35">
      <c r="B72" s="44">
        <v>2</v>
      </c>
      <c r="C72" s="43">
        <f>'Australia Crunch  Output'!G75</f>
        <v>0</v>
      </c>
      <c r="D72" s="43">
        <f>'Australia Crunch  Output'!H75</f>
        <v>0</v>
      </c>
      <c r="E72" s="43">
        <f>'Australia Crunch  Output'!I75</f>
        <v>0</v>
      </c>
    </row>
    <row r="73" spans="2:5" x14ac:dyDescent="0.35">
      <c r="B73" s="44" t="s">
        <v>203</v>
      </c>
      <c r="C73" s="43">
        <f>'Australia Crunch  Output'!G76</f>
        <v>0</v>
      </c>
      <c r="D73" s="43">
        <f>'Australia Crunch  Output'!H76</f>
        <v>0</v>
      </c>
      <c r="E73" s="43">
        <f>'Australia Crunch  Output'!I76</f>
        <v>0</v>
      </c>
    </row>
    <row r="74" spans="2:5" x14ac:dyDescent="0.35">
      <c r="B74" s="44" t="s">
        <v>204</v>
      </c>
      <c r="C74" s="43">
        <f>'Australia Crunch  Output'!G77</f>
        <v>5.5676477155103537E-4</v>
      </c>
      <c r="D74" s="43">
        <f>'Australia Crunch  Output'!H77</f>
        <v>4.794467843086803E-4</v>
      </c>
      <c r="E74" s="43">
        <f>'Australia Crunch  Output'!I77</f>
        <v>4.9499099271220687E-4</v>
      </c>
    </row>
    <row r="75" spans="2:5" s="36" customFormat="1" x14ac:dyDescent="0.3">
      <c r="B75" s="56" t="s">
        <v>24</v>
      </c>
      <c r="C75" s="60">
        <f>'Australia Crunch  Output'!G63</f>
        <v>104</v>
      </c>
      <c r="D75" s="60">
        <f>'Australia Crunch  Output'!H63</f>
        <v>120</v>
      </c>
      <c r="E75" s="60">
        <f>'Australia Crunch  Output'!I63</f>
        <v>117</v>
      </c>
    </row>
    <row r="76" spans="2:5" x14ac:dyDescent="0.35">
      <c r="B76" s="27"/>
      <c r="C76" s="33"/>
      <c r="D76" s="33"/>
      <c r="E76" s="33"/>
    </row>
    <row r="77" spans="2:5" x14ac:dyDescent="0.35">
      <c r="B77" s="110" t="s">
        <v>29</v>
      </c>
      <c r="C77" s="39" t="s">
        <v>22</v>
      </c>
      <c r="D77" s="39" t="s">
        <v>22</v>
      </c>
      <c r="E77" s="39" t="s">
        <v>22</v>
      </c>
    </row>
    <row r="78" spans="2:5" x14ac:dyDescent="0.35">
      <c r="B78" s="111"/>
      <c r="C78" s="40">
        <f>'Australia Crunch  Output'!G97</f>
        <v>50.112198676038702</v>
      </c>
      <c r="D78" s="40">
        <f>'Australia Crunch  Output'!H97</f>
        <v>44.665324173376497</v>
      </c>
      <c r="E78" s="40">
        <f>'Australia Crunch  Output'!I97</f>
        <v>37.664560734000382</v>
      </c>
    </row>
    <row r="79" spans="2:5" x14ac:dyDescent="0.35">
      <c r="B79" s="41" t="s">
        <v>336</v>
      </c>
      <c r="C79" s="42">
        <f>'Australia Crunch  Output'!G83</f>
        <v>0.57904489732230346</v>
      </c>
      <c r="D79" s="42">
        <f>'Australia Crunch  Output'!H83</f>
        <v>0.55601699083873124</v>
      </c>
      <c r="E79" s="42">
        <f>'Australia Crunch  Output'!I83</f>
        <v>0.5280270403128372</v>
      </c>
    </row>
    <row r="80" spans="2:5" x14ac:dyDescent="0.35">
      <c r="B80" s="41" t="s">
        <v>194</v>
      </c>
      <c r="C80" s="42">
        <f>'Australia Crunch  Output'!G84</f>
        <v>0.34303219211578029</v>
      </c>
      <c r="D80" s="42">
        <f>'Australia Crunch  Output'!H84</f>
        <v>0.33461926005630249</v>
      </c>
      <c r="E80" s="42">
        <f>'Australia Crunch  Output'!I84</f>
        <v>0.32059152671432972</v>
      </c>
    </row>
    <row r="81" spans="2:5" x14ac:dyDescent="0.35">
      <c r="B81" s="41" t="s">
        <v>195</v>
      </c>
      <c r="C81" s="42">
        <f>'Australia Crunch  Output'!G85</f>
        <v>7.7922910561916275E-2</v>
      </c>
      <c r="D81" s="42">
        <f>'Australia Crunch  Output'!H85</f>
        <v>0.1093637491049662</v>
      </c>
      <c r="E81" s="42">
        <f>'Australia Crunch  Output'!I85</f>
        <v>0.1513814329728333</v>
      </c>
    </row>
    <row r="82" spans="2:5" x14ac:dyDescent="0.35">
      <c r="B82" s="28" t="s">
        <v>196</v>
      </c>
      <c r="C82" s="43">
        <f>'Australia Crunch  Output'!G86</f>
        <v>0.3315707905308744</v>
      </c>
      <c r="D82" s="43">
        <f>'Australia Crunch  Output'!H86</f>
        <v>0.32578109870400018</v>
      </c>
      <c r="E82" s="43">
        <f>'Australia Crunch  Output'!I86</f>
        <v>0.31703834862350122</v>
      </c>
    </row>
    <row r="83" spans="2:5" x14ac:dyDescent="0.35">
      <c r="B83" s="28" t="s">
        <v>197</v>
      </c>
      <c r="C83" s="43">
        <f>'Australia Crunch  Output'!G87</f>
        <v>0.247474106791429</v>
      </c>
      <c r="D83" s="43">
        <f>'Australia Crunch  Output'!H87</f>
        <v>0.230235892134731</v>
      </c>
      <c r="E83" s="43">
        <f>'Australia Crunch  Output'!I87</f>
        <v>0.21098869168933601</v>
      </c>
    </row>
    <row r="84" spans="2:5" x14ac:dyDescent="0.35">
      <c r="B84" s="28" t="s">
        <v>198</v>
      </c>
      <c r="C84" s="43">
        <f>'Australia Crunch  Output'!G88</f>
        <v>0.17376252640381651</v>
      </c>
      <c r="D84" s="43">
        <f>'Australia Crunch  Output'!H88</f>
        <v>0.1676344517335612</v>
      </c>
      <c r="E84" s="43">
        <f>'Australia Crunch  Output'!I88</f>
        <v>0.15589968391233219</v>
      </c>
    </row>
    <row r="85" spans="2:5" x14ac:dyDescent="0.35">
      <c r="B85" s="28" t="s">
        <v>199</v>
      </c>
      <c r="C85" s="43">
        <f>'Australia Crunch  Output'!G89</f>
        <v>0.16926966571196389</v>
      </c>
      <c r="D85" s="43">
        <f>'Australia Crunch  Output'!H89</f>
        <v>0.1669848083227414</v>
      </c>
      <c r="E85" s="43">
        <f>'Australia Crunch  Output'!I89</f>
        <v>0.1646918428019975</v>
      </c>
    </row>
    <row r="86" spans="2:5" x14ac:dyDescent="0.35">
      <c r="B86" s="28" t="s">
        <v>200</v>
      </c>
      <c r="C86" s="43">
        <f>'Australia Crunch  Output'!G90</f>
        <v>3.7756929095760623E-2</v>
      </c>
      <c r="D86" s="43">
        <f>'Australia Crunch  Output'!H90</f>
        <v>4.4673409898531462E-2</v>
      </c>
      <c r="E86" s="43">
        <f>'Australia Crunch  Output'!I90</f>
        <v>7.7402933281938022E-2</v>
      </c>
    </row>
    <row r="87" spans="2:5" x14ac:dyDescent="0.35">
      <c r="B87" s="44" t="s">
        <v>201</v>
      </c>
      <c r="C87" s="43">
        <f>'Australia Crunch  Output'!G91</f>
        <v>4.0165981466155652E-2</v>
      </c>
      <c r="D87" s="43">
        <f>'Australia Crunch  Output'!H91</f>
        <v>5.948374829214749E-2</v>
      </c>
      <c r="E87" s="43">
        <f>'Australia Crunch  Output'!I91</f>
        <v>6.1693572347452409E-2</v>
      </c>
    </row>
    <row r="88" spans="2:5" x14ac:dyDescent="0.35">
      <c r="B88" s="44" t="s">
        <v>202</v>
      </c>
      <c r="C88" s="43">
        <f>'Australia Crunch  Output'!G92</f>
        <v>0</v>
      </c>
      <c r="D88" s="43">
        <f>'Australia Crunch  Output'!H92</f>
        <v>0</v>
      </c>
      <c r="E88" s="43">
        <f>'Australia Crunch  Output'!I92</f>
        <v>0</v>
      </c>
    </row>
    <row r="89" spans="2:5" x14ac:dyDescent="0.35">
      <c r="B89" s="44">
        <v>3</v>
      </c>
      <c r="C89" s="43">
        <f>'Australia Crunch  Output'!G93</f>
        <v>0</v>
      </c>
      <c r="D89" s="43">
        <f>'Australia Crunch  Output'!H93</f>
        <v>0</v>
      </c>
      <c r="E89" s="43">
        <f>'Australia Crunch  Output'!I93</f>
        <v>0</v>
      </c>
    </row>
    <row r="90" spans="2:5" x14ac:dyDescent="0.35">
      <c r="B90" s="44">
        <v>2</v>
      </c>
      <c r="C90" s="43">
        <f>'Australia Crunch  Output'!G94</f>
        <v>0</v>
      </c>
      <c r="D90" s="43">
        <f>'Australia Crunch  Output'!H94</f>
        <v>5.2065909142872298E-3</v>
      </c>
      <c r="E90" s="43">
        <f>'Australia Crunch  Output'!I94</f>
        <v>1.2284927343442871E-2</v>
      </c>
    </row>
    <row r="91" spans="2:5" x14ac:dyDescent="0.35">
      <c r="B91" s="44">
        <v>1</v>
      </c>
      <c r="C91" s="43">
        <f>'Australia Crunch  Output'!G95</f>
        <v>0</v>
      </c>
      <c r="D91" s="43">
        <f>'Australia Crunch  Output'!H95</f>
        <v>0</v>
      </c>
      <c r="E91" s="43">
        <f>'Australia Crunch  Output'!I95</f>
        <v>0</v>
      </c>
    </row>
    <row r="92" spans="2:5" x14ac:dyDescent="0.35">
      <c r="B92" s="44" t="s">
        <v>204</v>
      </c>
      <c r="C92" s="43">
        <f>'Australia Crunch  Output'!G96</f>
        <v>0</v>
      </c>
      <c r="D92" s="43">
        <f>'Australia Crunch  Output'!H96</f>
        <v>0</v>
      </c>
      <c r="E92" s="43">
        <f>'Australia Crunch  Output'!I96</f>
        <v>0</v>
      </c>
    </row>
    <row r="93" spans="2:5" s="36" customFormat="1" x14ac:dyDescent="0.3">
      <c r="B93" s="56" t="s">
        <v>24</v>
      </c>
      <c r="C93" s="60">
        <f>'Australia Crunch  Output'!G82</f>
        <v>113</v>
      </c>
      <c r="D93" s="60">
        <f>'Australia Crunch  Output'!H82</f>
        <v>141</v>
      </c>
      <c r="E93" s="60">
        <f>'Australia Crunch  Output'!I82</f>
        <v>137</v>
      </c>
    </row>
    <row r="94" spans="2:5" x14ac:dyDescent="0.35">
      <c r="B94" s="27"/>
    </row>
    <row r="95" spans="2:5" x14ac:dyDescent="0.35">
      <c r="B95" s="131" t="s">
        <v>77</v>
      </c>
      <c r="C95" s="47" t="s">
        <v>22</v>
      </c>
      <c r="D95" s="47" t="s">
        <v>22</v>
      </c>
      <c r="E95" s="47" t="s">
        <v>22</v>
      </c>
    </row>
    <row r="96" spans="2:5" x14ac:dyDescent="0.35">
      <c r="B96" s="111"/>
      <c r="C96" s="40" t="s">
        <v>43</v>
      </c>
      <c r="D96" s="40" t="s">
        <v>43</v>
      </c>
      <c r="E96" s="40" t="s">
        <v>43</v>
      </c>
    </row>
    <row r="97" spans="2:5" x14ac:dyDescent="0.35">
      <c r="B97" s="41" t="s">
        <v>336</v>
      </c>
      <c r="C97" s="42" t="s">
        <v>43</v>
      </c>
      <c r="D97" s="42" t="s">
        <v>43</v>
      </c>
      <c r="E97" s="42" t="s">
        <v>43</v>
      </c>
    </row>
    <row r="98" spans="2:5" x14ac:dyDescent="0.35">
      <c r="B98" s="41" t="s">
        <v>194</v>
      </c>
      <c r="C98" s="42" t="s">
        <v>43</v>
      </c>
      <c r="D98" s="42" t="s">
        <v>43</v>
      </c>
      <c r="E98" s="42" t="s">
        <v>43</v>
      </c>
    </row>
    <row r="99" spans="2:5" x14ac:dyDescent="0.35">
      <c r="B99" s="41" t="s">
        <v>195</v>
      </c>
      <c r="C99" s="42" t="s">
        <v>43</v>
      </c>
      <c r="D99" s="42" t="s">
        <v>43</v>
      </c>
      <c r="E99" s="42" t="s">
        <v>43</v>
      </c>
    </row>
    <row r="100" spans="2:5" x14ac:dyDescent="0.35">
      <c r="B100" s="28" t="s">
        <v>196</v>
      </c>
      <c r="C100" s="43" t="s">
        <v>43</v>
      </c>
      <c r="D100" s="43" t="s">
        <v>43</v>
      </c>
      <c r="E100" s="43" t="s">
        <v>43</v>
      </c>
    </row>
    <row r="101" spans="2:5" x14ac:dyDescent="0.35">
      <c r="B101" s="44">
        <v>9</v>
      </c>
      <c r="C101" s="43" t="s">
        <v>43</v>
      </c>
      <c r="D101" s="43" t="s">
        <v>43</v>
      </c>
      <c r="E101" s="43" t="s">
        <v>43</v>
      </c>
    </row>
    <row r="102" spans="2:5" x14ac:dyDescent="0.35">
      <c r="B102" s="44">
        <v>8</v>
      </c>
      <c r="C102" s="43" t="s">
        <v>43</v>
      </c>
      <c r="D102" s="43" t="s">
        <v>43</v>
      </c>
      <c r="E102" s="43" t="s">
        <v>43</v>
      </c>
    </row>
    <row r="103" spans="2:5" x14ac:dyDescent="0.35">
      <c r="B103" s="44">
        <v>7</v>
      </c>
      <c r="C103" s="43" t="s">
        <v>43</v>
      </c>
      <c r="D103" s="43" t="s">
        <v>43</v>
      </c>
      <c r="E103" s="43" t="s">
        <v>43</v>
      </c>
    </row>
    <row r="104" spans="2:5" x14ac:dyDescent="0.35">
      <c r="B104" s="44">
        <v>6</v>
      </c>
      <c r="C104" s="43" t="s">
        <v>43</v>
      </c>
      <c r="D104" s="43" t="s">
        <v>43</v>
      </c>
      <c r="E104" s="43" t="s">
        <v>43</v>
      </c>
    </row>
    <row r="105" spans="2:5" x14ac:dyDescent="0.35">
      <c r="B105" s="44">
        <v>5</v>
      </c>
      <c r="C105" s="43" t="s">
        <v>43</v>
      </c>
      <c r="D105" s="43" t="s">
        <v>43</v>
      </c>
      <c r="E105" s="43" t="s">
        <v>43</v>
      </c>
    </row>
    <row r="106" spans="2:5" x14ac:dyDescent="0.35">
      <c r="B106" s="44">
        <v>4</v>
      </c>
      <c r="C106" s="43" t="s">
        <v>43</v>
      </c>
      <c r="D106" s="43" t="s">
        <v>43</v>
      </c>
      <c r="E106" s="43" t="s">
        <v>43</v>
      </c>
    </row>
    <row r="107" spans="2:5" x14ac:dyDescent="0.35">
      <c r="B107" s="44">
        <v>3</v>
      </c>
      <c r="C107" s="43" t="s">
        <v>43</v>
      </c>
      <c r="D107" s="43" t="s">
        <v>43</v>
      </c>
      <c r="E107" s="43" t="s">
        <v>43</v>
      </c>
    </row>
    <row r="108" spans="2:5" x14ac:dyDescent="0.35">
      <c r="B108" s="44">
        <v>2</v>
      </c>
      <c r="C108" s="43" t="s">
        <v>43</v>
      </c>
      <c r="D108" s="43" t="s">
        <v>43</v>
      </c>
      <c r="E108" s="43" t="s">
        <v>43</v>
      </c>
    </row>
    <row r="109" spans="2:5" x14ac:dyDescent="0.35">
      <c r="B109" s="44">
        <v>1</v>
      </c>
      <c r="C109" s="43" t="s">
        <v>43</v>
      </c>
      <c r="D109" s="43" t="s">
        <v>43</v>
      </c>
      <c r="E109" s="43" t="s">
        <v>43</v>
      </c>
    </row>
    <row r="110" spans="2:5" x14ac:dyDescent="0.35">
      <c r="B110" s="44" t="s">
        <v>204</v>
      </c>
      <c r="C110" s="43" t="s">
        <v>43</v>
      </c>
      <c r="D110" s="43" t="s">
        <v>43</v>
      </c>
      <c r="E110" s="43" t="s">
        <v>43</v>
      </c>
    </row>
    <row r="111" spans="2:5" s="36" customFormat="1" x14ac:dyDescent="0.3">
      <c r="B111" s="56" t="s">
        <v>24</v>
      </c>
      <c r="C111" s="60">
        <f>'Australia Crunch  Output'!G345</f>
        <v>39</v>
      </c>
      <c r="D111" s="60">
        <f>'Australia Crunch  Output'!H345</f>
        <v>53</v>
      </c>
      <c r="E111" s="60">
        <f>'Australia Crunch  Output'!I345</f>
        <v>52</v>
      </c>
    </row>
    <row r="112" spans="2:5" x14ac:dyDescent="0.35">
      <c r="B112" s="27"/>
      <c r="C112" s="33"/>
      <c r="D112" s="33"/>
      <c r="E112" s="33"/>
    </row>
    <row r="113" spans="2:5" x14ac:dyDescent="0.35">
      <c r="B113" s="110" t="s">
        <v>78</v>
      </c>
      <c r="C113" s="39" t="s">
        <v>22</v>
      </c>
      <c r="D113" s="39" t="s">
        <v>22</v>
      </c>
      <c r="E113" s="39" t="s">
        <v>22</v>
      </c>
    </row>
    <row r="114" spans="2:5" x14ac:dyDescent="0.35">
      <c r="B114" s="111"/>
      <c r="C114" s="40" t="s">
        <v>43</v>
      </c>
      <c r="D114" s="40" t="s">
        <v>43</v>
      </c>
      <c r="E114" s="40" t="s">
        <v>43</v>
      </c>
    </row>
    <row r="115" spans="2:5" x14ac:dyDescent="0.35">
      <c r="B115" s="41" t="s">
        <v>336</v>
      </c>
      <c r="C115" s="42" t="s">
        <v>43</v>
      </c>
      <c r="D115" s="42" t="s">
        <v>43</v>
      </c>
      <c r="E115" s="42" t="s">
        <v>43</v>
      </c>
    </row>
    <row r="116" spans="2:5" x14ac:dyDescent="0.35">
      <c r="B116" s="41" t="s">
        <v>194</v>
      </c>
      <c r="C116" s="42" t="s">
        <v>43</v>
      </c>
      <c r="D116" s="42" t="s">
        <v>43</v>
      </c>
      <c r="E116" s="42" t="s">
        <v>43</v>
      </c>
    </row>
    <row r="117" spans="2:5" x14ac:dyDescent="0.35">
      <c r="B117" s="41" t="s">
        <v>195</v>
      </c>
      <c r="C117" s="42" t="s">
        <v>43</v>
      </c>
      <c r="D117" s="42" t="s">
        <v>43</v>
      </c>
      <c r="E117" s="42" t="s">
        <v>43</v>
      </c>
    </row>
    <row r="118" spans="2:5" x14ac:dyDescent="0.35">
      <c r="B118" s="28" t="s">
        <v>196</v>
      </c>
      <c r="C118" s="43" t="s">
        <v>43</v>
      </c>
      <c r="D118" s="43" t="s">
        <v>43</v>
      </c>
      <c r="E118" s="43" t="s">
        <v>43</v>
      </c>
    </row>
    <row r="119" spans="2:5" x14ac:dyDescent="0.35">
      <c r="B119" s="44">
        <v>9</v>
      </c>
      <c r="C119" s="43" t="s">
        <v>43</v>
      </c>
      <c r="D119" s="43" t="s">
        <v>43</v>
      </c>
      <c r="E119" s="43" t="s">
        <v>43</v>
      </c>
    </row>
    <row r="120" spans="2:5" x14ac:dyDescent="0.35">
      <c r="B120" s="44">
        <v>8</v>
      </c>
      <c r="C120" s="43" t="s">
        <v>43</v>
      </c>
      <c r="D120" s="43" t="s">
        <v>43</v>
      </c>
      <c r="E120" s="43" t="s">
        <v>43</v>
      </c>
    </row>
    <row r="121" spans="2:5" x14ac:dyDescent="0.35">
      <c r="B121" s="44">
        <v>7</v>
      </c>
      <c r="C121" s="43" t="s">
        <v>43</v>
      </c>
      <c r="D121" s="43" t="s">
        <v>43</v>
      </c>
      <c r="E121" s="43" t="s">
        <v>43</v>
      </c>
    </row>
    <row r="122" spans="2:5" x14ac:dyDescent="0.35">
      <c r="B122" s="44">
        <v>6</v>
      </c>
      <c r="C122" s="43" t="s">
        <v>43</v>
      </c>
      <c r="D122" s="43" t="s">
        <v>43</v>
      </c>
      <c r="E122" s="43" t="s">
        <v>43</v>
      </c>
    </row>
    <row r="123" spans="2:5" x14ac:dyDescent="0.35">
      <c r="B123" s="44">
        <v>5</v>
      </c>
      <c r="C123" s="43" t="s">
        <v>43</v>
      </c>
      <c r="D123" s="43" t="s">
        <v>43</v>
      </c>
      <c r="E123" s="43" t="s">
        <v>43</v>
      </c>
    </row>
    <row r="124" spans="2:5" x14ac:dyDescent="0.35">
      <c r="B124" s="44">
        <v>4</v>
      </c>
      <c r="C124" s="43" t="s">
        <v>43</v>
      </c>
      <c r="D124" s="43" t="s">
        <v>43</v>
      </c>
      <c r="E124" s="43" t="s">
        <v>43</v>
      </c>
    </row>
    <row r="125" spans="2:5" x14ac:dyDescent="0.35">
      <c r="B125" s="44">
        <v>3</v>
      </c>
      <c r="C125" s="43" t="s">
        <v>43</v>
      </c>
      <c r="D125" s="43" t="s">
        <v>43</v>
      </c>
      <c r="E125" s="43" t="s">
        <v>43</v>
      </c>
    </row>
    <row r="126" spans="2:5" x14ac:dyDescent="0.35">
      <c r="B126" s="44">
        <v>2</v>
      </c>
      <c r="C126" s="43" t="s">
        <v>43</v>
      </c>
      <c r="D126" s="43" t="s">
        <v>43</v>
      </c>
      <c r="E126" s="43" t="s">
        <v>43</v>
      </c>
    </row>
    <row r="127" spans="2:5" x14ac:dyDescent="0.35">
      <c r="B127" s="44">
        <v>1</v>
      </c>
      <c r="C127" s="43" t="s">
        <v>43</v>
      </c>
      <c r="D127" s="43" t="s">
        <v>43</v>
      </c>
      <c r="E127" s="43" t="s">
        <v>43</v>
      </c>
    </row>
    <row r="128" spans="2:5" x14ac:dyDescent="0.35">
      <c r="B128" s="44" t="s">
        <v>204</v>
      </c>
      <c r="C128" s="43" t="s">
        <v>43</v>
      </c>
      <c r="D128" s="43" t="s">
        <v>43</v>
      </c>
      <c r="E128" s="43" t="s">
        <v>43</v>
      </c>
    </row>
    <row r="129" spans="2:5" s="36" customFormat="1" x14ac:dyDescent="0.3">
      <c r="B129" s="56" t="s">
        <v>24</v>
      </c>
      <c r="C129" s="60">
        <f>'Australia Crunch  Output'!G138</f>
        <v>19</v>
      </c>
      <c r="D129" s="60">
        <f>'Australia Crunch  Output'!H138</f>
        <v>25</v>
      </c>
      <c r="E129" s="60">
        <f>'Australia Crunch  Output'!I138</f>
        <v>25</v>
      </c>
    </row>
    <row r="130" spans="2:5" x14ac:dyDescent="0.35">
      <c r="B130" s="27"/>
      <c r="C130" s="33"/>
      <c r="D130" s="33"/>
      <c r="E130" s="33"/>
    </row>
    <row r="131" spans="2:5" x14ac:dyDescent="0.35">
      <c r="B131" s="110" t="s">
        <v>79</v>
      </c>
      <c r="C131" s="39" t="s">
        <v>22</v>
      </c>
      <c r="D131" s="39" t="s">
        <v>22</v>
      </c>
      <c r="E131" s="39" t="s">
        <v>22</v>
      </c>
    </row>
    <row r="132" spans="2:5" x14ac:dyDescent="0.35">
      <c r="B132" s="111"/>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ht="14.5" customHeight="1"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'Australia Crunch  Output'!G157</f>
        <v>25</v>
      </c>
      <c r="D147" s="60">
        <f>'Australia Crunch  Output'!H157</f>
        <v>31</v>
      </c>
      <c r="E147" s="60">
        <f>'Australia Crunch  Output'!I157</f>
        <v>26</v>
      </c>
    </row>
    <row r="148" spans="2:5" x14ac:dyDescent="0.35">
      <c r="B148" s="27"/>
      <c r="C148" s="33"/>
      <c r="D148" s="33"/>
      <c r="E148" s="33"/>
    </row>
    <row r="149" spans="2:5" x14ac:dyDescent="0.35">
      <c r="B149" s="110" t="s">
        <v>80</v>
      </c>
      <c r="C149" s="39" t="s">
        <v>22</v>
      </c>
      <c r="D149" s="39" t="s">
        <v>22</v>
      </c>
      <c r="E149" s="39" t="s">
        <v>22</v>
      </c>
    </row>
    <row r="150" spans="2:5" x14ac:dyDescent="0.35">
      <c r="B150" s="111"/>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'Australia Crunch  Output'!G119</f>
        <v>13</v>
      </c>
      <c r="D165" s="60">
        <f>'Australia Crunch  Output'!H119</f>
        <v>14</v>
      </c>
      <c r="E165" s="60">
        <f>'Australia Crunch  Output'!I119</f>
        <v>13</v>
      </c>
    </row>
    <row r="166" spans="2:5" x14ac:dyDescent="0.35">
      <c r="B166" s="27"/>
      <c r="C166" s="33"/>
      <c r="D166" s="33"/>
      <c r="E166" s="33"/>
    </row>
    <row r="167" spans="2:5" x14ac:dyDescent="0.35">
      <c r="B167" s="110" t="s">
        <v>81</v>
      </c>
      <c r="C167" s="39" t="s">
        <v>22</v>
      </c>
      <c r="D167" s="39" t="s">
        <v>22</v>
      </c>
      <c r="E167" s="39" t="s">
        <v>22</v>
      </c>
    </row>
    <row r="168" spans="2:5" x14ac:dyDescent="0.35">
      <c r="B168" s="111"/>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'Australia Crunch  Output'!G176</f>
        <v>34</v>
      </c>
      <c r="D183" s="60">
        <f>'Australia Crunch  Output'!H176</f>
        <v>43</v>
      </c>
      <c r="E183" s="60">
        <f>'Australia Crunch  Output'!I176</f>
        <v>40</v>
      </c>
    </row>
    <row r="184" spans="2:5" x14ac:dyDescent="0.35">
      <c r="B184" s="27"/>
      <c r="C184" s="33"/>
      <c r="D184" s="33"/>
      <c r="E184" s="33"/>
    </row>
    <row r="185" spans="2:5" x14ac:dyDescent="0.35">
      <c r="B185" s="110" t="s">
        <v>82</v>
      </c>
      <c r="C185" s="39" t="s">
        <v>22</v>
      </c>
      <c r="D185" s="39" t="s">
        <v>22</v>
      </c>
      <c r="E185" s="39" t="s">
        <v>22</v>
      </c>
    </row>
    <row r="186" spans="2:5" x14ac:dyDescent="0.35">
      <c r="B186" s="111"/>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x14ac:dyDescent="0.3">
      <c r="B201" s="56" t="s">
        <v>24</v>
      </c>
      <c r="C201" s="60">
        <f>'Australia Crunch  Output'!G195</f>
        <v>53</v>
      </c>
      <c r="D201" s="60">
        <f>'Australia Crunch  Output'!H195</f>
        <v>67</v>
      </c>
      <c r="E201" s="60">
        <f>'Australia Crunch  Output'!I195</f>
        <v>49</v>
      </c>
    </row>
    <row r="202" spans="2:5" x14ac:dyDescent="0.35">
      <c r="B202" s="27"/>
      <c r="C202" s="33"/>
      <c r="D202" s="33"/>
      <c r="E202" s="33"/>
    </row>
    <row r="203" spans="2:5" x14ac:dyDescent="0.35">
      <c r="B203" s="110" t="s">
        <v>83</v>
      </c>
      <c r="C203" s="39" t="s">
        <v>22</v>
      </c>
      <c r="D203" s="39" t="s">
        <v>22</v>
      </c>
      <c r="E203" s="39" t="s">
        <v>22</v>
      </c>
    </row>
    <row r="204" spans="2:5" x14ac:dyDescent="0.35">
      <c r="B204" s="111"/>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x14ac:dyDescent="0.35">
      <c r="B217" s="44">
        <v>1</v>
      </c>
      <c r="C217" s="43" t="s">
        <v>43</v>
      </c>
      <c r="D217" s="43" t="s">
        <v>43</v>
      </c>
      <c r="E217" s="43" t="s">
        <v>43</v>
      </c>
    </row>
    <row r="218" spans="2:5" x14ac:dyDescent="0.35">
      <c r="B218" s="44" t="s">
        <v>204</v>
      </c>
      <c r="C218" s="43" t="s">
        <v>43</v>
      </c>
      <c r="D218" s="43" t="s">
        <v>43</v>
      </c>
      <c r="E218" s="43" t="s">
        <v>43</v>
      </c>
    </row>
    <row r="219" spans="2:5" s="36" customFormat="1" x14ac:dyDescent="0.3">
      <c r="B219" s="56" t="s">
        <v>24</v>
      </c>
      <c r="C219" s="60">
        <f>'Australia Crunch  Output'!G214</f>
        <v>55</v>
      </c>
      <c r="D219" s="60">
        <f>'Australia Crunch  Output'!H214</f>
        <v>68</v>
      </c>
      <c r="E219" s="60">
        <f>'Australia Crunch  Output'!I214</f>
        <v>65</v>
      </c>
    </row>
    <row r="220" spans="2:5" x14ac:dyDescent="0.35">
      <c r="B220" s="27"/>
      <c r="C220" s="33"/>
      <c r="D220" s="33"/>
      <c r="E220" s="33"/>
    </row>
    <row r="221" spans="2:5" x14ac:dyDescent="0.35">
      <c r="B221" s="110" t="s">
        <v>84</v>
      </c>
      <c r="C221" s="39" t="s">
        <v>22</v>
      </c>
      <c r="D221" s="39" t="s">
        <v>22</v>
      </c>
      <c r="E221" s="39" t="s">
        <v>22</v>
      </c>
    </row>
    <row r="222" spans="2:5" x14ac:dyDescent="0.35">
      <c r="B222" s="111"/>
      <c r="C222" s="40" t="s">
        <v>43</v>
      </c>
      <c r="D222" s="40" t="s">
        <v>43</v>
      </c>
      <c r="E222" s="40" t="s">
        <v>43</v>
      </c>
    </row>
    <row r="223" spans="2:5" x14ac:dyDescent="0.35">
      <c r="B223" s="41" t="s">
        <v>336</v>
      </c>
      <c r="C223" s="42" t="s">
        <v>43</v>
      </c>
      <c r="D223" s="42" t="s">
        <v>43</v>
      </c>
      <c r="E223" s="42" t="s">
        <v>43</v>
      </c>
    </row>
    <row r="224" spans="2:5" x14ac:dyDescent="0.35">
      <c r="B224" s="41" t="s">
        <v>194</v>
      </c>
      <c r="C224" s="42" t="s">
        <v>43</v>
      </c>
      <c r="D224" s="42" t="s">
        <v>43</v>
      </c>
      <c r="E224" s="42" t="s">
        <v>43</v>
      </c>
    </row>
    <row r="225" spans="2:5" x14ac:dyDescent="0.35">
      <c r="B225" s="41" t="s">
        <v>195</v>
      </c>
      <c r="C225" s="42" t="s">
        <v>43</v>
      </c>
      <c r="D225" s="42" t="s">
        <v>43</v>
      </c>
      <c r="E225" s="42" t="s">
        <v>43</v>
      </c>
    </row>
    <row r="226" spans="2:5" x14ac:dyDescent="0.35">
      <c r="B226" s="28" t="s">
        <v>196</v>
      </c>
      <c r="C226" s="43" t="s">
        <v>43</v>
      </c>
      <c r="D226" s="43" t="s">
        <v>43</v>
      </c>
      <c r="E226" s="43" t="s">
        <v>43</v>
      </c>
    </row>
    <row r="227" spans="2:5" x14ac:dyDescent="0.35">
      <c r="B227" s="44">
        <v>9</v>
      </c>
      <c r="C227" s="43" t="s">
        <v>43</v>
      </c>
      <c r="D227" s="43" t="s">
        <v>43</v>
      </c>
      <c r="E227" s="43" t="s">
        <v>43</v>
      </c>
    </row>
    <row r="228" spans="2:5" x14ac:dyDescent="0.35">
      <c r="B228" s="44">
        <v>8</v>
      </c>
      <c r="C228" s="43" t="s">
        <v>43</v>
      </c>
      <c r="D228" s="43" t="s">
        <v>43</v>
      </c>
      <c r="E228" s="43" t="s">
        <v>43</v>
      </c>
    </row>
    <row r="229" spans="2:5" x14ac:dyDescent="0.35">
      <c r="B229" s="44">
        <v>7</v>
      </c>
      <c r="C229" s="43" t="s">
        <v>43</v>
      </c>
      <c r="D229" s="43" t="s">
        <v>43</v>
      </c>
      <c r="E229" s="43" t="s">
        <v>43</v>
      </c>
    </row>
    <row r="230" spans="2:5" x14ac:dyDescent="0.35">
      <c r="B230" s="44">
        <v>6</v>
      </c>
      <c r="C230" s="43" t="s">
        <v>43</v>
      </c>
      <c r="D230" s="43" t="s">
        <v>43</v>
      </c>
      <c r="E230" s="43" t="s">
        <v>43</v>
      </c>
    </row>
    <row r="231" spans="2:5" x14ac:dyDescent="0.35">
      <c r="B231" s="44">
        <v>5</v>
      </c>
      <c r="C231" s="43" t="s">
        <v>43</v>
      </c>
      <c r="D231" s="43" t="s">
        <v>43</v>
      </c>
      <c r="E231" s="43" t="s">
        <v>43</v>
      </c>
    </row>
    <row r="232" spans="2:5" x14ac:dyDescent="0.35">
      <c r="B232" s="44">
        <v>4</v>
      </c>
      <c r="C232" s="43" t="s">
        <v>43</v>
      </c>
      <c r="D232" s="43" t="s">
        <v>43</v>
      </c>
      <c r="E232" s="43" t="s">
        <v>43</v>
      </c>
    </row>
    <row r="233" spans="2:5" x14ac:dyDescent="0.35">
      <c r="B233" s="44">
        <v>3</v>
      </c>
      <c r="C233" s="43" t="s">
        <v>43</v>
      </c>
      <c r="D233" s="43" t="s">
        <v>43</v>
      </c>
      <c r="E233" s="43" t="s">
        <v>43</v>
      </c>
    </row>
    <row r="234" spans="2:5" x14ac:dyDescent="0.35">
      <c r="B234" s="44">
        <v>2</v>
      </c>
      <c r="C234" s="43" t="s">
        <v>43</v>
      </c>
      <c r="D234" s="43" t="s">
        <v>43</v>
      </c>
      <c r="E234" s="43" t="s">
        <v>43</v>
      </c>
    </row>
    <row r="235" spans="2:5" x14ac:dyDescent="0.35">
      <c r="B235" s="44">
        <v>1</v>
      </c>
      <c r="C235" s="43" t="s">
        <v>43</v>
      </c>
      <c r="D235" s="43" t="s">
        <v>43</v>
      </c>
      <c r="E235" s="43" t="s">
        <v>43</v>
      </c>
    </row>
    <row r="236" spans="2:5" x14ac:dyDescent="0.35">
      <c r="B236" s="44" t="s">
        <v>204</v>
      </c>
      <c r="C236" s="43" t="s">
        <v>43</v>
      </c>
      <c r="D236" s="43" t="s">
        <v>43</v>
      </c>
      <c r="E236" s="43" t="s">
        <v>43</v>
      </c>
    </row>
    <row r="237" spans="2:5" s="36" customFormat="1" x14ac:dyDescent="0.3">
      <c r="B237" s="56" t="s">
        <v>24</v>
      </c>
      <c r="C237" s="60">
        <f>'Australia Crunch  Output'!G233</f>
        <v>13</v>
      </c>
      <c r="D237" s="60">
        <f>'Australia Crunch  Output'!H233</f>
        <v>16</v>
      </c>
      <c r="E237" s="60">
        <f>'Australia Crunch  Output'!I233</f>
        <v>15</v>
      </c>
    </row>
    <row r="238" spans="2:5" x14ac:dyDescent="0.35">
      <c r="B238" s="27"/>
      <c r="C238" s="33"/>
      <c r="D238" s="33"/>
      <c r="E238" s="33"/>
    </row>
    <row r="239" spans="2:5" x14ac:dyDescent="0.35">
      <c r="B239" s="110" t="s">
        <v>85</v>
      </c>
      <c r="C239" s="39" t="s">
        <v>22</v>
      </c>
      <c r="D239" s="39" t="s">
        <v>22</v>
      </c>
      <c r="E239" s="39" t="s">
        <v>22</v>
      </c>
    </row>
    <row r="240" spans="2:5" x14ac:dyDescent="0.35">
      <c r="B240" s="111"/>
      <c r="C240" s="40" t="s">
        <v>43</v>
      </c>
      <c r="D240" s="40" t="s">
        <v>43</v>
      </c>
      <c r="E240" s="40" t="s">
        <v>43</v>
      </c>
    </row>
    <row r="241" spans="2:5" x14ac:dyDescent="0.35">
      <c r="B241" s="41" t="s">
        <v>336</v>
      </c>
      <c r="C241" s="42" t="s">
        <v>43</v>
      </c>
      <c r="D241" s="42" t="s">
        <v>43</v>
      </c>
      <c r="E241" s="42" t="s">
        <v>43</v>
      </c>
    </row>
    <row r="242" spans="2:5" x14ac:dyDescent="0.35">
      <c r="B242" s="41" t="s">
        <v>194</v>
      </c>
      <c r="C242" s="42" t="s">
        <v>43</v>
      </c>
      <c r="D242" s="42" t="s">
        <v>43</v>
      </c>
      <c r="E242" s="42" t="s">
        <v>43</v>
      </c>
    </row>
    <row r="243" spans="2:5" x14ac:dyDescent="0.35">
      <c r="B243" s="41" t="s">
        <v>195</v>
      </c>
      <c r="C243" s="42" t="s">
        <v>43</v>
      </c>
      <c r="D243" s="42" t="s">
        <v>43</v>
      </c>
      <c r="E243" s="42" t="s">
        <v>43</v>
      </c>
    </row>
    <row r="244" spans="2:5" x14ac:dyDescent="0.35">
      <c r="B244" s="28" t="s">
        <v>196</v>
      </c>
      <c r="C244" s="43" t="s">
        <v>43</v>
      </c>
      <c r="D244" s="43" t="s">
        <v>43</v>
      </c>
      <c r="E244" s="43" t="s">
        <v>43</v>
      </c>
    </row>
    <row r="245" spans="2:5" x14ac:dyDescent="0.35">
      <c r="B245" s="44">
        <v>9</v>
      </c>
      <c r="C245" s="43" t="s">
        <v>43</v>
      </c>
      <c r="D245" s="43" t="s">
        <v>43</v>
      </c>
      <c r="E245" s="43" t="s">
        <v>43</v>
      </c>
    </row>
    <row r="246" spans="2:5" x14ac:dyDescent="0.35">
      <c r="B246" s="44">
        <v>8</v>
      </c>
      <c r="C246" s="43" t="s">
        <v>43</v>
      </c>
      <c r="D246" s="43" t="s">
        <v>43</v>
      </c>
      <c r="E246" s="43" t="s">
        <v>43</v>
      </c>
    </row>
    <row r="247" spans="2:5" x14ac:dyDescent="0.35">
      <c r="B247" s="44">
        <v>7</v>
      </c>
      <c r="C247" s="43" t="s">
        <v>43</v>
      </c>
      <c r="D247" s="43" t="s">
        <v>43</v>
      </c>
      <c r="E247" s="43" t="s">
        <v>43</v>
      </c>
    </row>
    <row r="248" spans="2:5" x14ac:dyDescent="0.35">
      <c r="B248" s="44">
        <v>6</v>
      </c>
      <c r="C248" s="43" t="s">
        <v>43</v>
      </c>
      <c r="D248" s="43" t="s">
        <v>43</v>
      </c>
      <c r="E248" s="43" t="s">
        <v>43</v>
      </c>
    </row>
    <row r="249" spans="2:5" x14ac:dyDescent="0.35">
      <c r="B249" s="44">
        <v>5</v>
      </c>
      <c r="C249" s="43" t="s">
        <v>43</v>
      </c>
      <c r="D249" s="43" t="s">
        <v>43</v>
      </c>
      <c r="E249" s="43" t="s">
        <v>43</v>
      </c>
    </row>
    <row r="250" spans="2:5" x14ac:dyDescent="0.35">
      <c r="B250" s="44">
        <v>4</v>
      </c>
      <c r="C250" s="43" t="s">
        <v>43</v>
      </c>
      <c r="D250" s="43" t="s">
        <v>43</v>
      </c>
      <c r="E250" s="43" t="s">
        <v>43</v>
      </c>
    </row>
    <row r="251" spans="2:5" x14ac:dyDescent="0.35">
      <c r="B251" s="44">
        <v>3</v>
      </c>
      <c r="C251" s="43" t="s">
        <v>43</v>
      </c>
      <c r="D251" s="43" t="s">
        <v>43</v>
      </c>
      <c r="E251" s="43" t="s">
        <v>43</v>
      </c>
    </row>
    <row r="252" spans="2:5" x14ac:dyDescent="0.35">
      <c r="B252" s="44">
        <v>2</v>
      </c>
      <c r="C252" s="43" t="s">
        <v>43</v>
      </c>
      <c r="D252" s="43" t="s">
        <v>43</v>
      </c>
      <c r="E252" s="43" t="s">
        <v>43</v>
      </c>
    </row>
    <row r="253" spans="2:5" x14ac:dyDescent="0.35">
      <c r="B253" s="44">
        <v>1</v>
      </c>
      <c r="C253" s="43" t="s">
        <v>43</v>
      </c>
      <c r="D253" s="43" t="s">
        <v>43</v>
      </c>
      <c r="E253" s="43" t="s">
        <v>43</v>
      </c>
    </row>
    <row r="254" spans="2:5" x14ac:dyDescent="0.35">
      <c r="B254" s="44" t="s">
        <v>204</v>
      </c>
      <c r="C254" s="43" t="s">
        <v>43</v>
      </c>
      <c r="D254" s="43" t="s">
        <v>43</v>
      </c>
      <c r="E254" s="43" t="s">
        <v>43</v>
      </c>
    </row>
    <row r="255" spans="2:5" s="36" customFormat="1" x14ac:dyDescent="0.3">
      <c r="B255" s="56" t="s">
        <v>24</v>
      </c>
      <c r="C255" s="60">
        <f>'Australia Crunch  Output'!G270</f>
        <v>34</v>
      </c>
      <c r="D255" s="60">
        <f>'Australia Crunch  Output'!H270</f>
        <v>39</v>
      </c>
      <c r="E255" s="60">
        <f>'Australia Crunch  Output'!I270</f>
        <v>34</v>
      </c>
    </row>
    <row r="256" spans="2:5" x14ac:dyDescent="0.35">
      <c r="B256" s="27"/>
      <c r="C256" s="33"/>
      <c r="D256" s="33"/>
      <c r="E256" s="33"/>
    </row>
    <row r="257" spans="2:5" x14ac:dyDescent="0.35">
      <c r="B257" s="110" t="s">
        <v>86</v>
      </c>
      <c r="C257" s="39" t="s">
        <v>22</v>
      </c>
      <c r="D257" s="39" t="s">
        <v>22</v>
      </c>
      <c r="E257" s="39" t="s">
        <v>22</v>
      </c>
    </row>
    <row r="258" spans="2:5" x14ac:dyDescent="0.35">
      <c r="B258" s="111"/>
      <c r="C258" s="40" t="s">
        <v>43</v>
      </c>
      <c r="D258" s="40" t="s">
        <v>43</v>
      </c>
      <c r="E258" s="40" t="s">
        <v>43</v>
      </c>
    </row>
    <row r="259" spans="2:5" x14ac:dyDescent="0.35">
      <c r="B259" s="41" t="s">
        <v>336</v>
      </c>
      <c r="C259" s="42" t="s">
        <v>43</v>
      </c>
      <c r="D259" s="42" t="s">
        <v>43</v>
      </c>
      <c r="E259" s="42" t="s">
        <v>43</v>
      </c>
    </row>
    <row r="260" spans="2:5" x14ac:dyDescent="0.35">
      <c r="B260" s="41" t="s">
        <v>194</v>
      </c>
      <c r="C260" s="42" t="s">
        <v>43</v>
      </c>
      <c r="D260" s="42" t="s">
        <v>43</v>
      </c>
      <c r="E260" s="42" t="s">
        <v>43</v>
      </c>
    </row>
    <row r="261" spans="2:5" x14ac:dyDescent="0.35">
      <c r="B261" s="41" t="s">
        <v>195</v>
      </c>
      <c r="C261" s="42" t="s">
        <v>43</v>
      </c>
      <c r="D261" s="42" t="s">
        <v>43</v>
      </c>
      <c r="E261" s="42" t="s">
        <v>43</v>
      </c>
    </row>
    <row r="262" spans="2:5" x14ac:dyDescent="0.35">
      <c r="B262" s="28" t="s">
        <v>196</v>
      </c>
      <c r="C262" s="43" t="s">
        <v>43</v>
      </c>
      <c r="D262" s="43" t="s">
        <v>43</v>
      </c>
      <c r="E262" s="43" t="s">
        <v>43</v>
      </c>
    </row>
    <row r="263" spans="2:5" x14ac:dyDescent="0.35">
      <c r="B263" s="44">
        <v>9</v>
      </c>
      <c r="C263" s="43" t="s">
        <v>43</v>
      </c>
      <c r="D263" s="43" t="s">
        <v>43</v>
      </c>
      <c r="E263" s="43" t="s">
        <v>43</v>
      </c>
    </row>
    <row r="264" spans="2:5" x14ac:dyDescent="0.35">
      <c r="B264" s="44">
        <v>8</v>
      </c>
      <c r="C264" s="43" t="s">
        <v>43</v>
      </c>
      <c r="D264" s="43" t="s">
        <v>43</v>
      </c>
      <c r="E264" s="43" t="s">
        <v>43</v>
      </c>
    </row>
    <row r="265" spans="2:5" x14ac:dyDescent="0.35">
      <c r="B265" s="44">
        <v>7</v>
      </c>
      <c r="C265" s="43" t="s">
        <v>43</v>
      </c>
      <c r="D265" s="43" t="s">
        <v>43</v>
      </c>
      <c r="E265" s="43" t="s">
        <v>43</v>
      </c>
    </row>
    <row r="266" spans="2:5" x14ac:dyDescent="0.35">
      <c r="B266" s="44">
        <v>6</v>
      </c>
      <c r="C266" s="43" t="s">
        <v>43</v>
      </c>
      <c r="D266" s="43" t="s">
        <v>43</v>
      </c>
      <c r="E266" s="43" t="s">
        <v>43</v>
      </c>
    </row>
    <row r="267" spans="2:5" x14ac:dyDescent="0.35">
      <c r="B267" s="44">
        <v>5</v>
      </c>
      <c r="C267" s="43" t="s">
        <v>43</v>
      </c>
      <c r="D267" s="43" t="s">
        <v>43</v>
      </c>
      <c r="E267" s="43" t="s">
        <v>43</v>
      </c>
    </row>
    <row r="268" spans="2:5" x14ac:dyDescent="0.35">
      <c r="B268" s="44">
        <v>4</v>
      </c>
      <c r="C268" s="43" t="s">
        <v>43</v>
      </c>
      <c r="D268" s="43" t="s">
        <v>43</v>
      </c>
      <c r="E268" s="43" t="s">
        <v>43</v>
      </c>
    </row>
    <row r="269" spans="2:5" x14ac:dyDescent="0.35">
      <c r="B269" s="44">
        <v>3</v>
      </c>
      <c r="C269" s="43" t="s">
        <v>43</v>
      </c>
      <c r="D269" s="43" t="s">
        <v>43</v>
      </c>
      <c r="E269" s="43" t="s">
        <v>43</v>
      </c>
    </row>
    <row r="270" spans="2:5" x14ac:dyDescent="0.35">
      <c r="B270" s="44">
        <v>2</v>
      </c>
      <c r="C270" s="43" t="s">
        <v>43</v>
      </c>
      <c r="D270" s="43" t="s">
        <v>43</v>
      </c>
      <c r="E270" s="43" t="s">
        <v>43</v>
      </c>
    </row>
    <row r="271" spans="2:5" x14ac:dyDescent="0.35">
      <c r="B271" s="44">
        <v>1</v>
      </c>
      <c r="C271" s="43" t="s">
        <v>43</v>
      </c>
      <c r="D271" s="43" t="s">
        <v>43</v>
      </c>
      <c r="E271" s="43" t="s">
        <v>43</v>
      </c>
    </row>
    <row r="272" spans="2:5" x14ac:dyDescent="0.35">
      <c r="B272" s="44" t="s">
        <v>204</v>
      </c>
      <c r="C272" s="43" t="s">
        <v>43</v>
      </c>
      <c r="D272" s="43" t="s">
        <v>43</v>
      </c>
      <c r="E272" s="43" t="s">
        <v>43</v>
      </c>
    </row>
    <row r="273" spans="2:5" s="36" customFormat="1" x14ac:dyDescent="0.3">
      <c r="B273" s="56" t="s">
        <v>24</v>
      </c>
      <c r="C273" s="60">
        <f>'Australia Crunch  Output'!G307</f>
        <v>32</v>
      </c>
      <c r="D273" s="60">
        <f>'Australia Crunch  Output'!H307</f>
        <v>39</v>
      </c>
      <c r="E273" s="60">
        <f>'Australia Crunch  Output'!I307</f>
        <v>33</v>
      </c>
    </row>
    <row r="274" spans="2:5" x14ac:dyDescent="0.35">
      <c r="B274" s="27"/>
      <c r="C274" s="33"/>
      <c r="D274" s="33"/>
      <c r="E274" s="33"/>
    </row>
    <row r="275" spans="2:5" x14ac:dyDescent="0.35">
      <c r="B275" s="110" t="s">
        <v>206</v>
      </c>
      <c r="C275" s="39" t="s">
        <v>22</v>
      </c>
      <c r="D275" s="39" t="s">
        <v>22</v>
      </c>
      <c r="E275" s="39" t="s">
        <v>22</v>
      </c>
    </row>
    <row r="276" spans="2:5" x14ac:dyDescent="0.35">
      <c r="B276" s="111"/>
      <c r="C276" s="40" t="s">
        <v>43</v>
      </c>
      <c r="D276" s="40" t="s">
        <v>43</v>
      </c>
      <c r="E276" s="40" t="s">
        <v>43</v>
      </c>
    </row>
    <row r="277" spans="2:5" x14ac:dyDescent="0.35">
      <c r="B277" s="41" t="s">
        <v>336</v>
      </c>
      <c r="C277" s="42" t="s">
        <v>43</v>
      </c>
      <c r="D277" s="42" t="s">
        <v>43</v>
      </c>
      <c r="E277" s="42" t="s">
        <v>43</v>
      </c>
    </row>
    <row r="278" spans="2:5" x14ac:dyDescent="0.35">
      <c r="B278" s="41" t="s">
        <v>194</v>
      </c>
      <c r="C278" s="42" t="s">
        <v>43</v>
      </c>
      <c r="D278" s="42" t="s">
        <v>43</v>
      </c>
      <c r="E278" s="42" t="s">
        <v>43</v>
      </c>
    </row>
    <row r="279" spans="2:5" x14ac:dyDescent="0.35">
      <c r="B279" s="41" t="s">
        <v>195</v>
      </c>
      <c r="C279" s="42" t="s">
        <v>43</v>
      </c>
      <c r="D279" s="42" t="s">
        <v>43</v>
      </c>
      <c r="E279" s="42" t="s">
        <v>43</v>
      </c>
    </row>
    <row r="280" spans="2:5" x14ac:dyDescent="0.35">
      <c r="B280" s="28" t="s">
        <v>196</v>
      </c>
      <c r="C280" s="43" t="s">
        <v>43</v>
      </c>
      <c r="D280" s="43" t="s">
        <v>43</v>
      </c>
      <c r="E280" s="43" t="s">
        <v>43</v>
      </c>
    </row>
    <row r="281" spans="2:5" x14ac:dyDescent="0.35">
      <c r="B281" s="44">
        <v>9</v>
      </c>
      <c r="C281" s="43" t="s">
        <v>43</v>
      </c>
      <c r="D281" s="43" t="s">
        <v>43</v>
      </c>
      <c r="E281" s="43" t="s">
        <v>43</v>
      </c>
    </row>
    <row r="282" spans="2:5" x14ac:dyDescent="0.35">
      <c r="B282" s="44">
        <v>8</v>
      </c>
      <c r="C282" s="43" t="s">
        <v>43</v>
      </c>
      <c r="D282" s="43" t="s">
        <v>43</v>
      </c>
      <c r="E282" s="43" t="s">
        <v>43</v>
      </c>
    </row>
    <row r="283" spans="2:5" x14ac:dyDescent="0.35">
      <c r="B283" s="44">
        <v>7</v>
      </c>
      <c r="C283" s="43" t="s">
        <v>43</v>
      </c>
      <c r="D283" s="43" t="s">
        <v>43</v>
      </c>
      <c r="E283" s="43" t="s">
        <v>43</v>
      </c>
    </row>
    <row r="284" spans="2:5" x14ac:dyDescent="0.35">
      <c r="B284" s="44">
        <v>6</v>
      </c>
      <c r="C284" s="43" t="s">
        <v>43</v>
      </c>
      <c r="D284" s="43" t="s">
        <v>43</v>
      </c>
      <c r="E284" s="43" t="s">
        <v>43</v>
      </c>
    </row>
    <row r="285" spans="2:5" x14ac:dyDescent="0.35">
      <c r="B285" s="44">
        <v>5</v>
      </c>
      <c r="C285" s="43" t="s">
        <v>43</v>
      </c>
      <c r="D285" s="43" t="s">
        <v>43</v>
      </c>
      <c r="E285" s="43" t="s">
        <v>43</v>
      </c>
    </row>
    <row r="286" spans="2:5" x14ac:dyDescent="0.35">
      <c r="B286" s="44">
        <v>4</v>
      </c>
      <c r="C286" s="43" t="s">
        <v>43</v>
      </c>
      <c r="D286" s="43" t="s">
        <v>43</v>
      </c>
      <c r="E286" s="43" t="s">
        <v>43</v>
      </c>
    </row>
    <row r="287" spans="2:5" x14ac:dyDescent="0.35">
      <c r="B287" s="44">
        <v>3</v>
      </c>
      <c r="C287" s="43" t="s">
        <v>43</v>
      </c>
      <c r="D287" s="43" t="s">
        <v>43</v>
      </c>
      <c r="E287" s="43" t="s">
        <v>43</v>
      </c>
    </row>
    <row r="288" spans="2:5" x14ac:dyDescent="0.35">
      <c r="B288" s="44">
        <v>2</v>
      </c>
      <c r="C288" s="43" t="s">
        <v>43</v>
      </c>
      <c r="D288" s="43" t="s">
        <v>43</v>
      </c>
      <c r="E288" s="43" t="s">
        <v>43</v>
      </c>
    </row>
    <row r="289" spans="2:5" x14ac:dyDescent="0.35">
      <c r="B289" s="44">
        <v>1</v>
      </c>
      <c r="C289" s="43" t="s">
        <v>43</v>
      </c>
      <c r="D289" s="43" t="s">
        <v>43</v>
      </c>
      <c r="E289" s="43" t="s">
        <v>43</v>
      </c>
    </row>
    <row r="290" spans="2:5" x14ac:dyDescent="0.35">
      <c r="B290" s="44" t="s">
        <v>204</v>
      </c>
      <c r="C290" s="43" t="s">
        <v>43</v>
      </c>
      <c r="D290" s="43" t="s">
        <v>43</v>
      </c>
      <c r="E290" s="43" t="s">
        <v>43</v>
      </c>
    </row>
    <row r="291" spans="2:5" s="36" customFormat="1" ht="15" thickBot="1" x14ac:dyDescent="0.35">
      <c r="B291" s="57" t="s">
        <v>24</v>
      </c>
      <c r="C291" s="61">
        <f>'Australia Crunch  Output'!G326</f>
        <v>14</v>
      </c>
      <c r="D291" s="61">
        <f>'Australia Crunch  Output'!H326</f>
        <v>15</v>
      </c>
      <c r="E291" s="61">
        <f>'Australia Crunch  Output'!I326</f>
        <v>19</v>
      </c>
    </row>
    <row r="292" spans="2:5" x14ac:dyDescent="0.35">
      <c r="B292" s="27"/>
      <c r="C292" s="33"/>
      <c r="D292" s="33"/>
      <c r="E292" s="33"/>
    </row>
    <row r="293" spans="2:5" x14ac:dyDescent="0.35">
      <c r="B293" s="110" t="s">
        <v>105</v>
      </c>
      <c r="C293" s="39" t="s">
        <v>22</v>
      </c>
      <c r="D293" s="39" t="s">
        <v>22</v>
      </c>
      <c r="E293" s="39" t="s">
        <v>22</v>
      </c>
    </row>
    <row r="294" spans="2:5" x14ac:dyDescent="0.35">
      <c r="B294" s="111"/>
      <c r="C294" s="40" t="s">
        <v>43</v>
      </c>
      <c r="D294" s="40" t="s">
        <v>43</v>
      </c>
      <c r="E294" s="40" t="s">
        <v>43</v>
      </c>
    </row>
    <row r="295" spans="2:5" x14ac:dyDescent="0.35">
      <c r="B295" s="41" t="s">
        <v>336</v>
      </c>
      <c r="C295" s="42" t="s">
        <v>43</v>
      </c>
      <c r="D295" s="42" t="s">
        <v>43</v>
      </c>
      <c r="E295" s="42" t="s">
        <v>43</v>
      </c>
    </row>
    <row r="296" spans="2:5" x14ac:dyDescent="0.35">
      <c r="B296" s="41" t="s">
        <v>194</v>
      </c>
      <c r="C296" s="42" t="s">
        <v>43</v>
      </c>
      <c r="D296" s="42" t="s">
        <v>43</v>
      </c>
      <c r="E296" s="42" t="s">
        <v>43</v>
      </c>
    </row>
    <row r="297" spans="2:5" x14ac:dyDescent="0.35">
      <c r="B297" s="41" t="s">
        <v>195</v>
      </c>
      <c r="C297" s="42" t="s">
        <v>43</v>
      </c>
      <c r="D297" s="42" t="s">
        <v>43</v>
      </c>
      <c r="E297" s="42" t="s">
        <v>43</v>
      </c>
    </row>
    <row r="298" spans="2:5" x14ac:dyDescent="0.35">
      <c r="B298" s="28" t="s">
        <v>196</v>
      </c>
      <c r="C298" s="43" t="s">
        <v>43</v>
      </c>
      <c r="D298" s="43" t="s">
        <v>43</v>
      </c>
      <c r="E298" s="43" t="s">
        <v>43</v>
      </c>
    </row>
    <row r="299" spans="2:5" x14ac:dyDescent="0.35">
      <c r="B299" s="44">
        <v>9</v>
      </c>
      <c r="C299" s="43" t="s">
        <v>43</v>
      </c>
      <c r="D299" s="43" t="s">
        <v>43</v>
      </c>
      <c r="E299" s="43" t="s">
        <v>43</v>
      </c>
    </row>
    <row r="300" spans="2:5" x14ac:dyDescent="0.35">
      <c r="B300" s="44">
        <v>8</v>
      </c>
      <c r="C300" s="43" t="s">
        <v>43</v>
      </c>
      <c r="D300" s="43" t="s">
        <v>43</v>
      </c>
      <c r="E300" s="43" t="s">
        <v>43</v>
      </c>
    </row>
    <row r="301" spans="2:5" x14ac:dyDescent="0.35">
      <c r="B301" s="44">
        <v>7</v>
      </c>
      <c r="C301" s="43" t="s">
        <v>43</v>
      </c>
      <c r="D301" s="43" t="s">
        <v>43</v>
      </c>
      <c r="E301" s="43" t="s">
        <v>43</v>
      </c>
    </row>
    <row r="302" spans="2:5" x14ac:dyDescent="0.35">
      <c r="B302" s="44">
        <v>6</v>
      </c>
      <c r="C302" s="43" t="s">
        <v>43</v>
      </c>
      <c r="D302" s="43" t="s">
        <v>43</v>
      </c>
      <c r="E302" s="43" t="s">
        <v>43</v>
      </c>
    </row>
    <row r="303" spans="2:5" x14ac:dyDescent="0.35">
      <c r="B303" s="44">
        <v>5</v>
      </c>
      <c r="C303" s="43" t="s">
        <v>43</v>
      </c>
      <c r="D303" s="43" t="s">
        <v>43</v>
      </c>
      <c r="E303" s="43" t="s">
        <v>43</v>
      </c>
    </row>
    <row r="304" spans="2:5" x14ac:dyDescent="0.35">
      <c r="B304" s="44">
        <v>4</v>
      </c>
      <c r="C304" s="43" t="s">
        <v>43</v>
      </c>
      <c r="D304" s="43" t="s">
        <v>43</v>
      </c>
      <c r="E304" s="43" t="s">
        <v>43</v>
      </c>
    </row>
    <row r="305" spans="2:5" x14ac:dyDescent="0.35">
      <c r="B305" s="44">
        <v>3</v>
      </c>
      <c r="C305" s="43" t="s">
        <v>43</v>
      </c>
      <c r="D305" s="43" t="s">
        <v>43</v>
      </c>
      <c r="E305" s="43" t="s">
        <v>43</v>
      </c>
    </row>
    <row r="306" spans="2:5" x14ac:dyDescent="0.35">
      <c r="B306" s="44">
        <v>2</v>
      </c>
      <c r="C306" s="43" t="s">
        <v>43</v>
      </c>
      <c r="D306" s="43" t="s">
        <v>43</v>
      </c>
      <c r="E306" s="43" t="s">
        <v>43</v>
      </c>
    </row>
    <row r="307" spans="2:5" x14ac:dyDescent="0.35">
      <c r="B307" s="44">
        <v>1</v>
      </c>
      <c r="C307" s="43" t="s">
        <v>43</v>
      </c>
      <c r="D307" s="43" t="s">
        <v>43</v>
      </c>
      <c r="E307" s="43" t="s">
        <v>43</v>
      </c>
    </row>
    <row r="308" spans="2:5" x14ac:dyDescent="0.35">
      <c r="B308" s="44" t="s">
        <v>204</v>
      </c>
      <c r="C308" s="43" t="s">
        <v>43</v>
      </c>
      <c r="D308" s="43" t="s">
        <v>43</v>
      </c>
      <c r="E308" s="43" t="s">
        <v>43</v>
      </c>
    </row>
    <row r="309" spans="2:5" s="36" customFormat="1" x14ac:dyDescent="0.3">
      <c r="B309" s="56" t="s">
        <v>24</v>
      </c>
      <c r="C309" s="60">
        <f>'Australia Crunch  Output'!G364</f>
        <v>30</v>
      </c>
      <c r="D309" s="60">
        <f>'Australia Crunch  Output'!H364</f>
        <v>40</v>
      </c>
      <c r="E309" s="60">
        <f>'Australia Crunch  Output'!I364</f>
        <v>42</v>
      </c>
    </row>
    <row r="310" spans="2:5" x14ac:dyDescent="0.35">
      <c r="B310" s="27"/>
      <c r="C310" s="33"/>
      <c r="D310" s="33"/>
      <c r="E310" s="33"/>
    </row>
    <row r="311" spans="2:5" x14ac:dyDescent="0.35">
      <c r="B311" s="110" t="s">
        <v>449</v>
      </c>
      <c r="C311" s="39" t="s">
        <v>22</v>
      </c>
      <c r="D311" s="39" t="s">
        <v>22</v>
      </c>
      <c r="E311" s="39" t="s">
        <v>22</v>
      </c>
    </row>
    <row r="312" spans="2:5" x14ac:dyDescent="0.35">
      <c r="B312" s="111"/>
      <c r="C312" s="40" t="s">
        <v>43</v>
      </c>
      <c r="D312" s="40" t="s">
        <v>43</v>
      </c>
      <c r="E312" s="40" t="s">
        <v>43</v>
      </c>
    </row>
    <row r="313" spans="2:5" x14ac:dyDescent="0.35">
      <c r="B313" s="41" t="s">
        <v>336</v>
      </c>
      <c r="C313" s="42" t="s">
        <v>43</v>
      </c>
      <c r="D313" s="42" t="s">
        <v>43</v>
      </c>
      <c r="E313" s="42" t="s">
        <v>43</v>
      </c>
    </row>
    <row r="314" spans="2:5" x14ac:dyDescent="0.35">
      <c r="B314" s="41" t="s">
        <v>194</v>
      </c>
      <c r="C314" s="42" t="s">
        <v>43</v>
      </c>
      <c r="D314" s="42" t="s">
        <v>43</v>
      </c>
      <c r="E314" s="42" t="s">
        <v>43</v>
      </c>
    </row>
    <row r="315" spans="2:5" x14ac:dyDescent="0.35">
      <c r="B315" s="41" t="s">
        <v>195</v>
      </c>
      <c r="C315" s="42" t="s">
        <v>43</v>
      </c>
      <c r="D315" s="42" t="s">
        <v>43</v>
      </c>
      <c r="E315" s="42" t="s">
        <v>43</v>
      </c>
    </row>
    <row r="316" spans="2:5" x14ac:dyDescent="0.35">
      <c r="B316" s="28" t="s">
        <v>196</v>
      </c>
      <c r="C316" s="43" t="s">
        <v>43</v>
      </c>
      <c r="D316" s="43" t="s">
        <v>43</v>
      </c>
      <c r="E316" s="43" t="s">
        <v>43</v>
      </c>
    </row>
    <row r="317" spans="2:5" x14ac:dyDescent="0.35">
      <c r="B317" s="44">
        <v>9</v>
      </c>
      <c r="C317" s="43" t="s">
        <v>43</v>
      </c>
      <c r="D317" s="43" t="s">
        <v>43</v>
      </c>
      <c r="E317" s="43" t="s">
        <v>43</v>
      </c>
    </row>
    <row r="318" spans="2:5" x14ac:dyDescent="0.35">
      <c r="B318" s="44">
        <v>8</v>
      </c>
      <c r="C318" s="43" t="s">
        <v>43</v>
      </c>
      <c r="D318" s="43" t="s">
        <v>43</v>
      </c>
      <c r="E318" s="43" t="s">
        <v>43</v>
      </c>
    </row>
    <row r="319" spans="2:5" x14ac:dyDescent="0.35">
      <c r="B319" s="44">
        <v>7</v>
      </c>
      <c r="C319" s="43" t="s">
        <v>43</v>
      </c>
      <c r="D319" s="43" t="s">
        <v>43</v>
      </c>
      <c r="E319" s="43" t="s">
        <v>43</v>
      </c>
    </row>
    <row r="320" spans="2:5" x14ac:dyDescent="0.35">
      <c r="B320" s="44">
        <v>6</v>
      </c>
      <c r="C320" s="43" t="s">
        <v>43</v>
      </c>
      <c r="D320" s="43" t="s">
        <v>43</v>
      </c>
      <c r="E320" s="43" t="s">
        <v>43</v>
      </c>
    </row>
    <row r="321" spans="2:5" x14ac:dyDescent="0.35">
      <c r="B321" s="44">
        <v>5</v>
      </c>
      <c r="C321" s="43" t="s">
        <v>43</v>
      </c>
      <c r="D321" s="43" t="s">
        <v>43</v>
      </c>
      <c r="E321" s="43" t="s">
        <v>43</v>
      </c>
    </row>
    <row r="322" spans="2:5" x14ac:dyDescent="0.35">
      <c r="B322" s="44">
        <v>4</v>
      </c>
      <c r="C322" s="43" t="s">
        <v>43</v>
      </c>
      <c r="D322" s="43" t="s">
        <v>43</v>
      </c>
      <c r="E322" s="43" t="s">
        <v>43</v>
      </c>
    </row>
    <row r="323" spans="2:5" x14ac:dyDescent="0.35">
      <c r="B323" s="44">
        <v>3</v>
      </c>
      <c r="C323" s="43" t="s">
        <v>43</v>
      </c>
      <c r="D323" s="43" t="s">
        <v>43</v>
      </c>
      <c r="E323" s="43" t="s">
        <v>43</v>
      </c>
    </row>
    <row r="324" spans="2:5" x14ac:dyDescent="0.35">
      <c r="B324" s="44">
        <v>2</v>
      </c>
      <c r="C324" s="43" t="s">
        <v>43</v>
      </c>
      <c r="D324" s="43" t="s">
        <v>43</v>
      </c>
      <c r="E324" s="43" t="s">
        <v>43</v>
      </c>
    </row>
    <row r="325" spans="2:5" x14ac:dyDescent="0.35">
      <c r="B325" s="44">
        <v>1</v>
      </c>
      <c r="C325" s="43" t="s">
        <v>43</v>
      </c>
      <c r="D325" s="43" t="s">
        <v>43</v>
      </c>
      <c r="E325" s="43" t="s">
        <v>43</v>
      </c>
    </row>
    <row r="326" spans="2:5" x14ac:dyDescent="0.35">
      <c r="B326" s="44" t="s">
        <v>204</v>
      </c>
      <c r="C326" s="43" t="s">
        <v>43</v>
      </c>
      <c r="D326" s="43" t="s">
        <v>43</v>
      </c>
      <c r="E326" s="43" t="s">
        <v>43</v>
      </c>
    </row>
    <row r="327" spans="2:5" s="36" customFormat="1" ht="15" thickBot="1" x14ac:dyDescent="0.35">
      <c r="B327" s="57" t="s">
        <v>24</v>
      </c>
      <c r="C327" s="61">
        <f>'Australia Crunch  Output'!G383</f>
        <v>13</v>
      </c>
      <c r="D327" s="61">
        <f>'Australia Crunch  Output'!H383</f>
        <v>14</v>
      </c>
      <c r="E327" s="61">
        <f>'Australia Crunch  Output'!I383</f>
        <v>14</v>
      </c>
    </row>
  </sheetData>
  <phoneticPr fontId="5" type="noConversion"/>
  <conditionalFormatting sqref="C21:E21 C39:E39 C57:E57 C75:E75 C93:E93 C111:E111 C129:E129 C147:E147 C165:E165 C183:E183 C201:E201 C219:E219 C237:E237 C255:E255 C273:E273 C291:E291">
    <cfRule type="expression" dxfId="13" priority="39">
      <formula>C21&lt;100</formula>
    </cfRule>
  </conditionalFormatting>
  <conditionalFormatting sqref="C309:E309 C327:E327">
    <cfRule type="expression" dxfId="12" priority="1">
      <formula>C309&lt;50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9115-9DC6-4E23-BE2E-B4EA619A82C4}">
  <dimension ref="A1:I403"/>
  <sheetViews>
    <sheetView topLeftCell="A382" workbookViewId="0">
      <selection activeCell="M3" sqref="M3"/>
    </sheetView>
  </sheetViews>
  <sheetFormatPr defaultRowHeight="14.5" x14ac:dyDescent="0.35"/>
  <cols>
    <col min="1" max="1" width="25.7265625" customWidth="1"/>
    <col min="2" max="9" width="12.7265625" customWidth="1"/>
  </cols>
  <sheetData>
    <row r="1" spans="1:9" ht="26" x14ac:dyDescent="0.6">
      <c r="A1" s="9" t="s">
        <v>207</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634</v>
      </c>
      <c r="H5" s="13" t="s">
        <v>641</v>
      </c>
      <c r="I5" s="13" t="s">
        <v>647</v>
      </c>
    </row>
    <row r="6" spans="1:9" x14ac:dyDescent="0.35">
      <c r="A6" s="14" t="s">
        <v>209</v>
      </c>
      <c r="B6" s="15">
        <v>34</v>
      </c>
      <c r="C6" s="15">
        <v>12</v>
      </c>
      <c r="D6" s="15">
        <v>16</v>
      </c>
      <c r="E6" s="15">
        <v>26</v>
      </c>
      <c r="F6" s="15">
        <v>34</v>
      </c>
      <c r="G6" s="15">
        <v>42</v>
      </c>
      <c r="H6" s="15">
        <v>53</v>
      </c>
      <c r="I6" s="15">
        <v>48</v>
      </c>
    </row>
    <row r="7" spans="1:9" x14ac:dyDescent="0.35">
      <c r="A7" s="16" t="s">
        <v>336</v>
      </c>
      <c r="B7" s="17">
        <v>0.43309219035019342</v>
      </c>
      <c r="C7" s="17">
        <v>0.60029294376074438</v>
      </c>
      <c r="D7" s="17">
        <v>0.57510470381772894</v>
      </c>
      <c r="E7" s="17">
        <v>0.495784862308292</v>
      </c>
      <c r="F7" s="17">
        <v>0.43309219035019347</v>
      </c>
      <c r="G7" s="17">
        <v>0.39838158086709452</v>
      </c>
      <c r="H7" s="152">
        <v>0.39646689112524502</v>
      </c>
      <c r="I7" s="17">
        <v>0.35230341308456248</v>
      </c>
    </row>
    <row r="8" spans="1:9" x14ac:dyDescent="0.35">
      <c r="A8" s="16" t="s">
        <v>194</v>
      </c>
      <c r="B8" s="17">
        <v>0.34740457187343499</v>
      </c>
      <c r="C8" s="17">
        <v>0.31339770250930449</v>
      </c>
      <c r="D8" s="17">
        <v>0.23521059682926229</v>
      </c>
      <c r="E8" s="17">
        <v>0.34543323273767113</v>
      </c>
      <c r="F8" s="17">
        <v>0.34740457187343499</v>
      </c>
      <c r="G8" s="17">
        <v>0.37728548461026762</v>
      </c>
      <c r="H8" s="17">
        <v>0.41568178820373608</v>
      </c>
      <c r="I8" s="17">
        <v>0.43522524530509471</v>
      </c>
    </row>
    <row r="9" spans="1:9" x14ac:dyDescent="0.35">
      <c r="A9" s="16" t="s">
        <v>195</v>
      </c>
      <c r="B9" s="17">
        <v>0.2195032377763716</v>
      </c>
      <c r="C9" s="17">
        <v>8.6309353729951147E-2</v>
      </c>
      <c r="D9" s="17">
        <v>0.1896846993530088</v>
      </c>
      <c r="E9" s="17">
        <v>0.15878190495403691</v>
      </c>
      <c r="F9" s="17">
        <v>0.2195032377763716</v>
      </c>
      <c r="G9" s="17">
        <v>0.22433293452263811</v>
      </c>
      <c r="H9" s="17">
        <v>0.1878513206710192</v>
      </c>
      <c r="I9" s="17">
        <v>0.21247134161034301</v>
      </c>
    </row>
    <row r="10" spans="1:9" x14ac:dyDescent="0.35">
      <c r="A10" s="14" t="s">
        <v>210</v>
      </c>
      <c r="B10" s="18">
        <v>0.28166926852785479</v>
      </c>
      <c r="C10" s="20">
        <v>0.47703712767656259</v>
      </c>
      <c r="D10" s="20">
        <v>0.42845271090784021</v>
      </c>
      <c r="E10" s="18">
        <v>0.28946751855440339</v>
      </c>
      <c r="F10" s="18">
        <v>0.2816692685278549</v>
      </c>
      <c r="G10" s="18">
        <v>0.25217443965806458</v>
      </c>
      <c r="H10" s="18">
        <v>0.26119080887855628</v>
      </c>
      <c r="I10" s="23">
        <v>0.21694214994501271</v>
      </c>
    </row>
    <row r="11" spans="1:9" x14ac:dyDescent="0.35">
      <c r="A11" s="14" t="s">
        <v>197</v>
      </c>
      <c r="B11" s="18">
        <v>0.15142292182233849</v>
      </c>
      <c r="C11" s="18">
        <v>0.1232558160841818</v>
      </c>
      <c r="D11" s="18">
        <v>0.14665199290988881</v>
      </c>
      <c r="E11" s="18">
        <v>0.2063173437538886</v>
      </c>
      <c r="F11" s="18">
        <v>0.15142292182233849</v>
      </c>
      <c r="G11" s="18">
        <v>0.14620714120902989</v>
      </c>
      <c r="H11" s="18">
        <v>0.13527608224668861</v>
      </c>
      <c r="I11" s="18">
        <v>0.13536126313954969</v>
      </c>
    </row>
    <row r="12" spans="1:9" x14ac:dyDescent="0.35">
      <c r="A12" s="14" t="s">
        <v>198</v>
      </c>
      <c r="B12" s="18">
        <v>0.20872221807976329</v>
      </c>
      <c r="C12" s="18">
        <v>0.1756830830234439</v>
      </c>
      <c r="D12" s="18">
        <v>0.13185330485797761</v>
      </c>
      <c r="E12" s="18">
        <v>0.20062037355409831</v>
      </c>
      <c r="F12" s="18">
        <v>0.20872221807976341</v>
      </c>
      <c r="G12" s="18">
        <v>0.26618878507405103</v>
      </c>
      <c r="H12" s="18">
        <v>0.28948344891021971</v>
      </c>
      <c r="I12" s="18">
        <v>0.2930996652416476</v>
      </c>
    </row>
    <row r="13" spans="1:9" x14ac:dyDescent="0.35">
      <c r="A13" s="14" t="s">
        <v>199</v>
      </c>
      <c r="B13" s="18">
        <v>0.13868235379367161</v>
      </c>
      <c r="C13" s="18">
        <v>0.13771461948586061</v>
      </c>
      <c r="D13" s="18">
        <v>0.1033572919712847</v>
      </c>
      <c r="E13" s="18">
        <v>0.14481285918357281</v>
      </c>
      <c r="F13" s="18">
        <v>0.13868235379367169</v>
      </c>
      <c r="G13" s="18">
        <v>0.11109669953621661</v>
      </c>
      <c r="H13" s="18">
        <v>0.1261983392935164</v>
      </c>
      <c r="I13" s="18">
        <v>0.142125580063447</v>
      </c>
    </row>
    <row r="14" spans="1:9" x14ac:dyDescent="0.35">
      <c r="A14" s="14" t="s">
        <v>200</v>
      </c>
      <c r="B14" s="18">
        <v>0.19010889063336339</v>
      </c>
      <c r="C14" s="18">
        <v>8.6309353729951147E-2</v>
      </c>
      <c r="D14" s="18">
        <v>0.1896846993530088</v>
      </c>
      <c r="E14" s="18">
        <v>0.15878190495403691</v>
      </c>
      <c r="F14" s="18">
        <v>0.19010889063336339</v>
      </c>
      <c r="G14" s="18">
        <v>0.17702313559013441</v>
      </c>
      <c r="H14" s="18">
        <v>0.150275286155924</v>
      </c>
      <c r="I14" s="18">
        <v>0.17180228675703119</v>
      </c>
    </row>
    <row r="15" spans="1:9" x14ac:dyDescent="0.35">
      <c r="A15" s="14" t="s">
        <v>201</v>
      </c>
      <c r="B15" s="18">
        <v>2.9394347143008211E-2</v>
      </c>
      <c r="C15" s="18">
        <v>0</v>
      </c>
      <c r="D15" s="18">
        <v>0</v>
      </c>
      <c r="E15" s="23">
        <v>0</v>
      </c>
      <c r="F15" s="18">
        <v>2.9394347143008221E-2</v>
      </c>
      <c r="G15" s="18">
        <v>2.3547443948554091E-2</v>
      </c>
      <c r="H15" s="18">
        <v>1.8702670197679301E-2</v>
      </c>
      <c r="I15" s="18">
        <v>2.0242155139261999E-2</v>
      </c>
    </row>
    <row r="16" spans="1:9" x14ac:dyDescent="0.35">
      <c r="A16" s="14" t="s">
        <v>202</v>
      </c>
      <c r="B16" s="18">
        <v>0</v>
      </c>
      <c r="C16" s="18">
        <v>0</v>
      </c>
      <c r="D16" s="18">
        <v>0</v>
      </c>
      <c r="E16" s="18">
        <v>0</v>
      </c>
      <c r="F16" s="18">
        <v>0</v>
      </c>
      <c r="G16" s="18">
        <v>2.376235498394963E-2</v>
      </c>
      <c r="H16" s="18">
        <v>1.8873364317415861E-2</v>
      </c>
      <c r="I16" s="18">
        <v>2.0426899714049821E-2</v>
      </c>
    </row>
    <row r="17" spans="1:9" x14ac:dyDescent="0.35">
      <c r="A17" s="14" t="s">
        <v>211</v>
      </c>
      <c r="B17" s="18">
        <v>0</v>
      </c>
      <c r="C17" s="18">
        <v>0</v>
      </c>
      <c r="D17" s="18">
        <v>0</v>
      </c>
      <c r="E17" s="18">
        <v>0</v>
      </c>
      <c r="F17" s="18">
        <v>0</v>
      </c>
      <c r="G17" s="18">
        <v>0</v>
      </c>
      <c r="H17" s="18">
        <v>0</v>
      </c>
      <c r="I17" s="18">
        <v>0</v>
      </c>
    </row>
    <row r="18" spans="1:9" x14ac:dyDescent="0.35">
      <c r="A18" s="14" t="s">
        <v>212</v>
      </c>
      <c r="B18" s="18">
        <v>0</v>
      </c>
      <c r="C18" s="18">
        <v>0</v>
      </c>
      <c r="D18" s="18">
        <v>0</v>
      </c>
      <c r="E18" s="18">
        <v>0</v>
      </c>
      <c r="F18" s="18">
        <v>0</v>
      </c>
      <c r="G18" s="18">
        <v>0</v>
      </c>
      <c r="H18" s="18">
        <v>0</v>
      </c>
      <c r="I18" s="18">
        <v>0</v>
      </c>
    </row>
    <row r="19" spans="1:9" x14ac:dyDescent="0.35">
      <c r="A19" s="14" t="s">
        <v>203</v>
      </c>
      <c r="B19" s="18">
        <v>0</v>
      </c>
      <c r="C19" s="18">
        <v>0</v>
      </c>
      <c r="D19" s="18">
        <v>0</v>
      </c>
      <c r="E19" s="18">
        <v>0</v>
      </c>
      <c r="F19" s="18">
        <v>0</v>
      </c>
      <c r="G19" s="18">
        <v>0</v>
      </c>
      <c r="H19" s="18">
        <v>0</v>
      </c>
      <c r="I19" s="18">
        <v>0</v>
      </c>
    </row>
    <row r="20" spans="1:9" x14ac:dyDescent="0.35">
      <c r="A20" s="14" t="s">
        <v>204</v>
      </c>
      <c r="B20" s="18">
        <v>0</v>
      </c>
      <c r="C20" s="18">
        <v>0</v>
      </c>
      <c r="D20" s="18">
        <v>0</v>
      </c>
      <c r="E20" s="18">
        <v>0</v>
      </c>
      <c r="F20" s="18">
        <v>0</v>
      </c>
      <c r="G20" s="18">
        <v>0</v>
      </c>
      <c r="H20" s="18">
        <v>0</v>
      </c>
      <c r="I20" s="18">
        <v>0</v>
      </c>
    </row>
    <row r="21" spans="1:9" x14ac:dyDescent="0.35">
      <c r="A21" s="14" t="s">
        <v>213</v>
      </c>
      <c r="B21" s="1">
        <f>(B7-B9)*100</f>
        <v>21.358895257382184</v>
      </c>
      <c r="C21" s="1">
        <f>(C7-C9)*100</f>
        <v>51.398359003079321</v>
      </c>
      <c r="D21" s="1">
        <f t="shared" ref="D21:F21" si="0">(D7-D9)*100</f>
        <v>38.542000446472017</v>
      </c>
      <c r="E21" s="1">
        <f t="shared" si="0"/>
        <v>33.700295735425513</v>
      </c>
      <c r="F21" s="1">
        <f t="shared" si="0"/>
        <v>21.358895257382187</v>
      </c>
      <c r="G21" s="1">
        <v>17.404864634445641</v>
      </c>
      <c r="H21" s="1">
        <v>20.861557045422568</v>
      </c>
      <c r="I21" s="1">
        <v>13.98320714742195</v>
      </c>
    </row>
    <row r="23" spans="1:9" x14ac:dyDescent="0.35">
      <c r="C23" s="187"/>
      <c r="D23" s="187"/>
      <c r="E23" s="187"/>
      <c r="F23" s="187"/>
      <c r="G23" s="170"/>
      <c r="H23" s="170"/>
      <c r="I23" s="170"/>
    </row>
    <row r="24" spans="1:9" ht="29" x14ac:dyDescent="0.35">
      <c r="A24" s="12" t="s">
        <v>474</v>
      </c>
      <c r="B24" s="13" t="s">
        <v>208</v>
      </c>
      <c r="C24" s="13" t="s">
        <v>458</v>
      </c>
      <c r="D24" s="13" t="s">
        <v>466</v>
      </c>
      <c r="E24" s="13" t="s">
        <v>467</v>
      </c>
      <c r="F24" s="13" t="s">
        <v>468</v>
      </c>
      <c r="G24" s="13" t="s">
        <v>634</v>
      </c>
      <c r="H24" s="13" t="s">
        <v>641</v>
      </c>
      <c r="I24" s="13" t="s">
        <v>647</v>
      </c>
    </row>
    <row r="25" spans="1:9" x14ac:dyDescent="0.35">
      <c r="A25" s="14" t="s">
        <v>209</v>
      </c>
      <c r="B25" s="15">
        <v>102</v>
      </c>
      <c r="C25" s="15">
        <v>27</v>
      </c>
      <c r="D25" s="15">
        <v>48</v>
      </c>
      <c r="E25" s="15">
        <v>76</v>
      </c>
      <c r="F25" s="15">
        <v>102</v>
      </c>
      <c r="G25" s="15">
        <v>124</v>
      </c>
      <c r="H25" s="15">
        <v>157</v>
      </c>
      <c r="I25" s="15">
        <v>149</v>
      </c>
    </row>
    <row r="26" spans="1:9" x14ac:dyDescent="0.35">
      <c r="A26" s="16" t="s">
        <v>336</v>
      </c>
      <c r="B26" s="17">
        <v>0.51344408624498927</v>
      </c>
      <c r="C26" s="17">
        <v>0.63005152386716934</v>
      </c>
      <c r="D26" s="17">
        <v>0.59530686844028524</v>
      </c>
      <c r="E26" s="17">
        <v>0.54317670417638608</v>
      </c>
      <c r="F26" s="152">
        <v>0.51344408624498916</v>
      </c>
      <c r="G26" s="17">
        <v>0.52486817067880132</v>
      </c>
      <c r="H26" s="17">
        <v>0.52061667209887863</v>
      </c>
      <c r="I26" s="17">
        <v>0.50065197801915329</v>
      </c>
    </row>
    <row r="27" spans="1:9" x14ac:dyDescent="0.35">
      <c r="A27" s="16" t="s">
        <v>194</v>
      </c>
      <c r="B27" s="17">
        <v>0.40287059797040592</v>
      </c>
      <c r="C27" s="17">
        <v>0.28389129252526751</v>
      </c>
      <c r="D27" s="155">
        <v>0.28942978877491132</v>
      </c>
      <c r="E27" s="17">
        <v>0.36181017909365693</v>
      </c>
      <c r="F27" s="17">
        <v>0.40287059797040581</v>
      </c>
      <c r="G27" s="17">
        <v>0.39648190410118211</v>
      </c>
      <c r="H27" s="17">
        <v>0.38365193536256298</v>
      </c>
      <c r="I27" s="17">
        <v>0.38242899389826701</v>
      </c>
    </row>
    <row r="28" spans="1:9" x14ac:dyDescent="0.35">
      <c r="A28" s="16" t="s">
        <v>195</v>
      </c>
      <c r="B28" s="17">
        <v>8.3685315784604974E-2</v>
      </c>
      <c r="C28" s="17">
        <v>8.605718360756312E-2</v>
      </c>
      <c r="D28" s="17">
        <v>0.11526334278480339</v>
      </c>
      <c r="E28" s="17">
        <v>9.501311672995702E-2</v>
      </c>
      <c r="F28" s="17">
        <v>8.3685315784604961E-2</v>
      </c>
      <c r="G28" s="17">
        <v>7.864992522001657E-2</v>
      </c>
      <c r="H28" s="17">
        <v>9.5731392538558294E-2</v>
      </c>
      <c r="I28" s="17">
        <v>0.1169190280825799</v>
      </c>
    </row>
    <row r="29" spans="1:9" x14ac:dyDescent="0.35">
      <c r="A29" s="14" t="s">
        <v>210</v>
      </c>
      <c r="B29" s="18">
        <v>0.2465919734646673</v>
      </c>
      <c r="C29" s="18">
        <v>0.3356552183528933</v>
      </c>
      <c r="D29" s="18">
        <v>0.26720384436065581</v>
      </c>
      <c r="E29" s="18">
        <v>0.25172551630071222</v>
      </c>
      <c r="F29" s="18">
        <v>0.2465919734646673</v>
      </c>
      <c r="G29" s="18">
        <v>0.26180030275088972</v>
      </c>
      <c r="H29" s="18">
        <v>0.26383603975361752</v>
      </c>
      <c r="I29" s="18">
        <v>0.25196123830006828</v>
      </c>
    </row>
    <row r="30" spans="1:9" x14ac:dyDescent="0.35">
      <c r="A30" s="14" t="s">
        <v>197</v>
      </c>
      <c r="B30" s="18">
        <v>0.26685211278032189</v>
      </c>
      <c r="C30" s="18">
        <v>0.29439630551427598</v>
      </c>
      <c r="D30" s="18">
        <v>0.32810302407962938</v>
      </c>
      <c r="E30" s="18">
        <v>0.29145118787567381</v>
      </c>
      <c r="F30" s="18">
        <v>0.26685211278032178</v>
      </c>
      <c r="G30" s="18">
        <v>0.26306786792791148</v>
      </c>
      <c r="H30" s="18">
        <v>0.25678063234526111</v>
      </c>
      <c r="I30" s="18">
        <v>0.2486907397190849</v>
      </c>
    </row>
    <row r="31" spans="1:9" x14ac:dyDescent="0.35">
      <c r="A31" s="14" t="s">
        <v>198</v>
      </c>
      <c r="B31" s="18">
        <v>0.2868492561367183</v>
      </c>
      <c r="C31" s="18">
        <v>0.2461813512244744</v>
      </c>
      <c r="D31" s="21">
        <v>0.183366715311337</v>
      </c>
      <c r="E31" s="21">
        <v>0.22335577965004669</v>
      </c>
      <c r="F31" s="18">
        <v>0.28684925613671819</v>
      </c>
      <c r="G31" s="18">
        <v>0.27788914425092831</v>
      </c>
      <c r="H31" s="18">
        <v>0.28287398795540952</v>
      </c>
      <c r="I31" s="18">
        <v>0.27779568033053681</v>
      </c>
    </row>
    <row r="32" spans="1:9" x14ac:dyDescent="0.35">
      <c r="A32" s="14" t="s">
        <v>199</v>
      </c>
      <c r="B32" s="18">
        <v>0.11602134183368749</v>
      </c>
      <c r="C32" s="18">
        <v>3.7709941300793047E-2</v>
      </c>
      <c r="D32" s="18">
        <v>0.1060630734635743</v>
      </c>
      <c r="E32" s="18">
        <v>0.13845439944361021</v>
      </c>
      <c r="F32" s="18">
        <v>0.11602134183368749</v>
      </c>
      <c r="G32" s="18">
        <v>0.1185927598502538</v>
      </c>
      <c r="H32" s="25">
        <v>0.1007779474071535</v>
      </c>
      <c r="I32" s="18">
        <v>0.1046333135677302</v>
      </c>
    </row>
    <row r="33" spans="1:9" x14ac:dyDescent="0.35">
      <c r="A33" s="14" t="s">
        <v>200</v>
      </c>
      <c r="B33" s="18">
        <v>5.027104767253502E-2</v>
      </c>
      <c r="C33" s="18">
        <v>0</v>
      </c>
      <c r="D33" s="18">
        <v>4.156543526530438E-2</v>
      </c>
      <c r="E33" s="18">
        <v>4.8814529997811593E-2</v>
      </c>
      <c r="F33" s="18">
        <v>5.0271047672535013E-2</v>
      </c>
      <c r="G33" s="18">
        <v>4.1566954669369632E-2</v>
      </c>
      <c r="H33" s="18">
        <v>3.3017906995857008E-2</v>
      </c>
      <c r="I33" s="18">
        <v>4.3605856396746932E-2</v>
      </c>
    </row>
    <row r="34" spans="1:9" x14ac:dyDescent="0.35">
      <c r="A34" s="14" t="s">
        <v>201</v>
      </c>
      <c r="B34" s="18">
        <v>3.3414268112069961E-2</v>
      </c>
      <c r="C34" s="20">
        <v>8.605718360756312E-2</v>
      </c>
      <c r="D34" s="19">
        <v>7.369790751949902E-2</v>
      </c>
      <c r="E34" s="18">
        <v>4.6198586732145427E-2</v>
      </c>
      <c r="F34" s="25">
        <v>3.3414268112069948E-2</v>
      </c>
      <c r="G34" s="18">
        <v>3.7082970550646938E-2</v>
      </c>
      <c r="H34" s="18">
        <v>5.6081123286395078E-2</v>
      </c>
      <c r="I34" s="18">
        <v>5.4296796939038272E-2</v>
      </c>
    </row>
    <row r="35" spans="1:9" x14ac:dyDescent="0.35">
      <c r="A35" s="14" t="s">
        <v>202</v>
      </c>
      <c r="B35" s="18">
        <v>0</v>
      </c>
      <c r="C35" s="18">
        <v>0</v>
      </c>
      <c r="D35" s="18">
        <v>0</v>
      </c>
      <c r="E35" s="18">
        <v>0</v>
      </c>
      <c r="F35" s="18">
        <v>0</v>
      </c>
      <c r="G35" s="18">
        <v>0</v>
      </c>
      <c r="H35" s="18">
        <v>0</v>
      </c>
      <c r="I35" s="18">
        <v>5.6585511345352314E-3</v>
      </c>
    </row>
    <row r="36" spans="1:9" x14ac:dyDescent="0.35">
      <c r="A36" s="14" t="s">
        <v>211</v>
      </c>
      <c r="B36" s="18">
        <v>0</v>
      </c>
      <c r="C36" s="18">
        <v>0</v>
      </c>
      <c r="D36" s="18">
        <v>0</v>
      </c>
      <c r="E36" s="18">
        <v>0</v>
      </c>
      <c r="F36" s="18">
        <v>0</v>
      </c>
      <c r="G36" s="18">
        <v>0</v>
      </c>
      <c r="H36" s="18">
        <v>0</v>
      </c>
      <c r="I36" s="18">
        <v>0</v>
      </c>
    </row>
    <row r="37" spans="1:9" x14ac:dyDescent="0.35">
      <c r="A37" s="14" t="s">
        <v>212</v>
      </c>
      <c r="B37" s="18">
        <v>0</v>
      </c>
      <c r="C37" s="18">
        <v>0</v>
      </c>
      <c r="D37" s="18">
        <v>0</v>
      </c>
      <c r="E37" s="18">
        <v>0</v>
      </c>
      <c r="F37" s="18">
        <v>0</v>
      </c>
      <c r="G37" s="18">
        <v>0</v>
      </c>
      <c r="H37" s="18">
        <v>6.6323622563062151E-3</v>
      </c>
      <c r="I37" s="18">
        <v>6.8913056928548251E-3</v>
      </c>
    </row>
    <row r="38" spans="1:9" x14ac:dyDescent="0.35">
      <c r="A38" s="14" t="s">
        <v>203</v>
      </c>
      <c r="B38" s="18">
        <v>0</v>
      </c>
      <c r="C38" s="18">
        <v>0</v>
      </c>
      <c r="D38" s="18">
        <v>0</v>
      </c>
      <c r="E38" s="18">
        <v>0</v>
      </c>
      <c r="F38" s="18">
        <v>0</v>
      </c>
      <c r="G38" s="18">
        <v>0</v>
      </c>
      <c r="H38" s="18">
        <v>0</v>
      </c>
      <c r="I38" s="18">
        <v>6.4665179194046086E-3</v>
      </c>
    </row>
    <row r="39" spans="1:9" x14ac:dyDescent="0.35">
      <c r="A39" s="14" t="s">
        <v>204</v>
      </c>
      <c r="B39" s="18">
        <v>0</v>
      </c>
      <c r="C39" s="18">
        <v>0</v>
      </c>
      <c r="D39" s="18">
        <v>0</v>
      </c>
      <c r="E39" s="18">
        <v>0</v>
      </c>
      <c r="F39" s="18">
        <v>0</v>
      </c>
      <c r="G39" s="18">
        <v>0</v>
      </c>
      <c r="H39" s="18">
        <v>0</v>
      </c>
      <c r="I39" s="18">
        <v>0</v>
      </c>
    </row>
    <row r="40" spans="1:9" x14ac:dyDescent="0.35">
      <c r="A40" s="14" t="s">
        <v>213</v>
      </c>
      <c r="B40" s="1">
        <f>(B26-B28)*100</f>
        <v>42.975877046038427</v>
      </c>
      <c r="C40" s="1">
        <f>(C26-C28)*100</f>
        <v>54.399434025960623</v>
      </c>
      <c r="D40" s="1">
        <f t="shared" ref="D40:F40" si="1">(D26-D28)*100</f>
        <v>48.004352565548189</v>
      </c>
      <c r="E40" s="1">
        <f t="shared" si="1"/>
        <v>44.816358744642905</v>
      </c>
      <c r="F40" s="1">
        <f t="shared" si="1"/>
        <v>42.97587704603842</v>
      </c>
      <c r="G40" s="1">
        <v>44.621824545878482</v>
      </c>
      <c r="H40" s="1">
        <v>42.48852795603203</v>
      </c>
      <c r="I40" s="1">
        <v>38.373294993657318</v>
      </c>
    </row>
    <row r="42" spans="1:9" x14ac:dyDescent="0.35">
      <c r="C42" s="187"/>
      <c r="D42" s="187"/>
      <c r="E42" s="187"/>
      <c r="F42" s="187"/>
      <c r="G42" s="170"/>
      <c r="H42" s="170"/>
      <c r="I42" s="170"/>
    </row>
    <row r="43" spans="1:9" ht="29" x14ac:dyDescent="0.35">
      <c r="A43" s="12" t="s">
        <v>475</v>
      </c>
      <c r="B43" s="13" t="s">
        <v>208</v>
      </c>
      <c r="C43" s="13" t="s">
        <v>458</v>
      </c>
      <c r="D43" s="13" t="s">
        <v>466</v>
      </c>
      <c r="E43" s="13" t="s">
        <v>467</v>
      </c>
      <c r="F43" s="13" t="s">
        <v>468</v>
      </c>
      <c r="G43" s="13" t="s">
        <v>634</v>
      </c>
      <c r="H43" s="13" t="s">
        <v>641</v>
      </c>
      <c r="I43" s="13" t="s">
        <v>647</v>
      </c>
    </row>
    <row r="44" spans="1:9" x14ac:dyDescent="0.35">
      <c r="A44" s="14" t="s">
        <v>209</v>
      </c>
      <c r="B44" s="15">
        <v>268</v>
      </c>
      <c r="C44" s="15">
        <v>66</v>
      </c>
      <c r="D44" s="15">
        <v>135</v>
      </c>
      <c r="E44" s="15">
        <v>199</v>
      </c>
      <c r="F44" s="15">
        <v>268</v>
      </c>
      <c r="G44" s="15">
        <v>331</v>
      </c>
      <c r="H44" s="15">
        <v>401</v>
      </c>
      <c r="I44" s="15">
        <v>391</v>
      </c>
    </row>
    <row r="45" spans="1:9" x14ac:dyDescent="0.35">
      <c r="A45" s="16" t="s">
        <v>336</v>
      </c>
      <c r="B45" s="17">
        <v>0.53682547000385905</v>
      </c>
      <c r="C45" s="17">
        <v>0.50680944081011381</v>
      </c>
      <c r="D45" s="17">
        <v>0.54133150574063316</v>
      </c>
      <c r="E45" s="17">
        <v>0.55748606854231597</v>
      </c>
      <c r="F45" s="17">
        <v>0.53682547000385883</v>
      </c>
      <c r="G45" s="17">
        <v>0.55019220299193428</v>
      </c>
      <c r="H45" s="17">
        <v>0.54792716343202208</v>
      </c>
      <c r="I45" s="17">
        <v>0.55717796661074492</v>
      </c>
    </row>
    <row r="46" spans="1:9" x14ac:dyDescent="0.35">
      <c r="A46" s="16" t="s">
        <v>194</v>
      </c>
      <c r="B46" s="17">
        <v>0.3335933150384407</v>
      </c>
      <c r="C46" s="17">
        <v>0.33747056982732132</v>
      </c>
      <c r="D46" s="17">
        <v>0.3529516755996685</v>
      </c>
      <c r="E46" s="17">
        <v>0.32056232161808762</v>
      </c>
      <c r="F46" s="17">
        <v>0.3335933150384407</v>
      </c>
      <c r="G46" s="17">
        <v>0.33680903509384141</v>
      </c>
      <c r="H46" s="17">
        <v>0.33138707335407219</v>
      </c>
      <c r="I46" s="17">
        <v>0.32494292353431597</v>
      </c>
    </row>
    <row r="47" spans="1:9" x14ac:dyDescent="0.35">
      <c r="A47" s="16" t="s">
        <v>195</v>
      </c>
      <c r="B47" s="17">
        <v>0.1295812149577002</v>
      </c>
      <c r="C47" s="17">
        <v>0.15571998936256501</v>
      </c>
      <c r="D47" s="17">
        <v>0.1057168186596983</v>
      </c>
      <c r="E47" s="17">
        <v>0.12195160983959651</v>
      </c>
      <c r="F47" s="17">
        <v>0.1295812149577002</v>
      </c>
      <c r="G47" s="17">
        <v>0.1129987619142243</v>
      </c>
      <c r="H47" s="17">
        <v>0.1206857632139057</v>
      </c>
      <c r="I47" s="17">
        <v>0.117879109854939</v>
      </c>
    </row>
    <row r="48" spans="1:9" x14ac:dyDescent="0.35">
      <c r="A48" s="14" t="s">
        <v>210</v>
      </c>
      <c r="B48" s="18">
        <v>0.29650350633783801</v>
      </c>
      <c r="C48" s="18">
        <v>0.31053977129860372</v>
      </c>
      <c r="D48" s="18">
        <v>0.31320032158313071</v>
      </c>
      <c r="E48" s="18">
        <v>0.30909499422268372</v>
      </c>
      <c r="F48" s="18">
        <v>0.29650350633783779</v>
      </c>
      <c r="G48" s="18">
        <v>0.31431099506684462</v>
      </c>
      <c r="H48" s="18">
        <v>0.30747942754278801</v>
      </c>
      <c r="I48" s="18">
        <v>0.31299308074296378</v>
      </c>
    </row>
    <row r="49" spans="1:9" x14ac:dyDescent="0.35">
      <c r="A49" s="14" t="s">
        <v>197</v>
      </c>
      <c r="B49" s="18">
        <v>0.2403219636660211</v>
      </c>
      <c r="C49" s="18">
        <v>0.19626966951151001</v>
      </c>
      <c r="D49" s="18">
        <v>0.2281311841575025</v>
      </c>
      <c r="E49" s="18">
        <v>0.24839107431963231</v>
      </c>
      <c r="F49" s="18">
        <v>0.2403219636660211</v>
      </c>
      <c r="G49" s="18">
        <v>0.2358812079250896</v>
      </c>
      <c r="H49" s="18">
        <v>0.2404477358892341</v>
      </c>
      <c r="I49" s="18">
        <v>0.24418488586778109</v>
      </c>
    </row>
    <row r="50" spans="1:9" x14ac:dyDescent="0.35">
      <c r="A50" s="14" t="s">
        <v>198</v>
      </c>
      <c r="B50" s="18">
        <v>0.2463594200015356</v>
      </c>
      <c r="C50" s="18">
        <v>0.2516471451821099</v>
      </c>
      <c r="D50" s="18">
        <v>0.27553001707824648</v>
      </c>
      <c r="E50" s="18">
        <v>0.2411630455014131</v>
      </c>
      <c r="F50" s="18">
        <v>0.2463594200015356</v>
      </c>
      <c r="G50" s="18">
        <v>0.24603948478706869</v>
      </c>
      <c r="H50" s="18">
        <v>0.23794384975794669</v>
      </c>
      <c r="I50" s="18">
        <v>0.23413661610845971</v>
      </c>
    </row>
    <row r="51" spans="1:9" x14ac:dyDescent="0.35">
      <c r="A51" s="14" t="s">
        <v>199</v>
      </c>
      <c r="B51" s="18">
        <v>8.723389503690511E-2</v>
      </c>
      <c r="C51" s="18">
        <v>8.5823424645211394E-2</v>
      </c>
      <c r="D51" s="18">
        <v>7.7421658521421952E-2</v>
      </c>
      <c r="E51" s="18">
        <v>7.9399276116674522E-2</v>
      </c>
      <c r="F51" s="18">
        <v>8.723389503690511E-2</v>
      </c>
      <c r="G51" s="18">
        <v>9.0769550306772667E-2</v>
      </c>
      <c r="H51" s="18">
        <v>9.3443223596125433E-2</v>
      </c>
      <c r="I51" s="18">
        <v>9.0806307425856242E-2</v>
      </c>
    </row>
    <row r="52" spans="1:9" x14ac:dyDescent="0.35">
      <c r="A52" s="14" t="s">
        <v>200</v>
      </c>
      <c r="B52" s="18">
        <v>6.206751692309518E-2</v>
      </c>
      <c r="C52" s="18">
        <v>6.5415740831009234E-2</v>
      </c>
      <c r="D52" s="21">
        <v>3.1824057294841668E-2</v>
      </c>
      <c r="E52" s="18">
        <v>5.1588667784366993E-2</v>
      </c>
      <c r="F52" s="18">
        <v>6.206751692309518E-2</v>
      </c>
      <c r="G52" s="18">
        <v>5.3182736887152388E-2</v>
      </c>
      <c r="H52" s="18">
        <v>5.9227137666854633E-2</v>
      </c>
      <c r="I52" s="18">
        <v>5.6393854721200773E-2</v>
      </c>
    </row>
    <row r="53" spans="1:9" x14ac:dyDescent="0.35">
      <c r="A53" s="14" t="s">
        <v>201</v>
      </c>
      <c r="B53" s="18">
        <v>3.4658081464670101E-2</v>
      </c>
      <c r="C53" s="18">
        <v>4.9026642750671257E-2</v>
      </c>
      <c r="D53" s="18">
        <v>4.5847434885006193E-2</v>
      </c>
      <c r="E53" s="18">
        <v>4.0666687379802828E-2</v>
      </c>
      <c r="F53" s="18">
        <v>3.4658081464670101E-2</v>
      </c>
      <c r="G53" s="18">
        <v>3.1595726112932723E-2</v>
      </c>
      <c r="H53" s="18">
        <v>2.8391748253290099E-2</v>
      </c>
      <c r="I53" s="18">
        <v>2.5148864989882429E-2</v>
      </c>
    </row>
    <row r="54" spans="1:9" x14ac:dyDescent="0.35">
      <c r="A54" s="14" t="s">
        <v>202</v>
      </c>
      <c r="B54" s="18">
        <v>0</v>
      </c>
      <c r="C54" s="18">
        <v>0</v>
      </c>
      <c r="D54" s="18">
        <v>0</v>
      </c>
      <c r="E54" s="18">
        <v>0</v>
      </c>
      <c r="F54" s="18">
        <v>0</v>
      </c>
      <c r="G54" s="18">
        <v>0</v>
      </c>
      <c r="H54" s="18">
        <v>5.0450562541246814E-3</v>
      </c>
      <c r="I54" s="18">
        <v>5.1110602841859159E-3</v>
      </c>
    </row>
    <row r="55" spans="1:9" x14ac:dyDescent="0.35">
      <c r="A55" s="14" t="s">
        <v>211</v>
      </c>
      <c r="B55" s="18">
        <v>8.8547766552042658E-3</v>
      </c>
      <c r="C55" s="18">
        <v>0</v>
      </c>
      <c r="D55" s="18">
        <v>0</v>
      </c>
      <c r="E55" s="18">
        <v>4.6942288180271702E-3</v>
      </c>
      <c r="F55" s="18">
        <v>8.8547766552042658E-3</v>
      </c>
      <c r="G55" s="18">
        <v>8.8276816557981072E-3</v>
      </c>
      <c r="H55" s="18">
        <v>7.2261484229212006E-3</v>
      </c>
      <c r="I55" s="18">
        <v>1.089574926752959E-2</v>
      </c>
    </row>
    <row r="56" spans="1:9" x14ac:dyDescent="0.35">
      <c r="A56" s="14" t="s">
        <v>212</v>
      </c>
      <c r="B56" s="18">
        <v>3.536467952068691E-3</v>
      </c>
      <c r="C56" s="18">
        <v>0</v>
      </c>
      <c r="D56" s="18">
        <v>0</v>
      </c>
      <c r="E56" s="18">
        <v>0</v>
      </c>
      <c r="F56" s="18">
        <v>3.536467952068691E-3</v>
      </c>
      <c r="G56" s="18">
        <v>2.8574570591908912E-3</v>
      </c>
      <c r="H56" s="25">
        <v>4.8539810853973986E-3</v>
      </c>
      <c r="I56" s="18">
        <v>1.07705200479856E-2</v>
      </c>
    </row>
    <row r="57" spans="1:9" x14ac:dyDescent="0.35">
      <c r="A57" s="14" t="s">
        <v>203</v>
      </c>
      <c r="B57" s="18">
        <v>2.1337337054521772E-3</v>
      </c>
      <c r="C57" s="18">
        <v>8.9537664823155175E-3</v>
      </c>
      <c r="D57" s="18">
        <v>4.3015639510630239E-3</v>
      </c>
      <c r="E57" s="18">
        <v>2.900892106772844E-3</v>
      </c>
      <c r="F57" s="18">
        <v>2.1337337054521772E-3</v>
      </c>
      <c r="G57" s="18">
        <v>1.7240513760378711E-3</v>
      </c>
      <c r="H57" s="18">
        <v>1.411271001578143E-3</v>
      </c>
      <c r="I57" s="23">
        <v>0</v>
      </c>
    </row>
    <row r="58" spans="1:9" x14ac:dyDescent="0.35">
      <c r="A58" s="14" t="s">
        <v>204</v>
      </c>
      <c r="B58" s="18">
        <v>1.833063825720976E-2</v>
      </c>
      <c r="C58" s="18">
        <v>3.2323839298568947E-2</v>
      </c>
      <c r="D58" s="18">
        <v>2.3743762528787449E-2</v>
      </c>
      <c r="E58" s="18">
        <v>2.210113375062666E-2</v>
      </c>
      <c r="F58" s="18">
        <v>1.833063825720976E-2</v>
      </c>
      <c r="G58" s="18">
        <v>1.4811108823112351E-2</v>
      </c>
      <c r="H58" s="18">
        <v>1.453042052973951E-2</v>
      </c>
      <c r="I58" s="18">
        <v>9.5590605441547762E-3</v>
      </c>
    </row>
    <row r="59" spans="1:9" x14ac:dyDescent="0.35">
      <c r="A59" s="14" t="s">
        <v>213</v>
      </c>
      <c r="B59" s="1">
        <f>(B45-B47)*100</f>
        <v>40.724425504615887</v>
      </c>
      <c r="C59" s="1">
        <f t="shared" ref="C59:F59" si="2">(C45-C47)*100</f>
        <v>35.108945144754877</v>
      </c>
      <c r="D59" s="1">
        <f t="shared" si="2"/>
        <v>43.561468708093486</v>
      </c>
      <c r="E59" s="1">
        <f t="shared" si="2"/>
        <v>43.553445870271943</v>
      </c>
      <c r="F59" s="1">
        <f t="shared" si="2"/>
        <v>40.724425504615866</v>
      </c>
      <c r="G59" s="1">
        <v>43.719344107770993</v>
      </c>
      <c r="H59" s="1">
        <v>42.72414002181165</v>
      </c>
      <c r="I59" s="1">
        <v>43.929885675580593</v>
      </c>
    </row>
    <row r="61" spans="1:9" x14ac:dyDescent="0.35">
      <c r="C61" s="187"/>
      <c r="D61" s="187"/>
      <c r="E61" s="187"/>
      <c r="F61" s="187"/>
      <c r="G61" s="170"/>
      <c r="H61" s="170"/>
      <c r="I61" s="170"/>
    </row>
    <row r="62" spans="1:9" ht="29" x14ac:dyDescent="0.35">
      <c r="A62" s="12" t="s">
        <v>476</v>
      </c>
      <c r="B62" s="13" t="s">
        <v>208</v>
      </c>
      <c r="C62" s="13" t="s">
        <v>458</v>
      </c>
      <c r="D62" s="13" t="s">
        <v>466</v>
      </c>
      <c r="E62" s="13" t="s">
        <v>467</v>
      </c>
      <c r="F62" s="13" t="s">
        <v>468</v>
      </c>
      <c r="G62" s="13" t="s">
        <v>634</v>
      </c>
      <c r="H62" s="13" t="s">
        <v>641</v>
      </c>
      <c r="I62" s="13" t="s">
        <v>647</v>
      </c>
    </row>
    <row r="63" spans="1:9" x14ac:dyDescent="0.35">
      <c r="A63" s="14" t="s">
        <v>209</v>
      </c>
      <c r="B63" s="15">
        <v>87</v>
      </c>
      <c r="C63" s="15">
        <v>24</v>
      </c>
      <c r="D63" s="15">
        <v>47</v>
      </c>
      <c r="E63" s="15">
        <v>68</v>
      </c>
      <c r="F63" s="15">
        <v>87</v>
      </c>
      <c r="G63" s="15">
        <v>104</v>
      </c>
      <c r="H63" s="15">
        <v>120</v>
      </c>
      <c r="I63" s="15">
        <v>117</v>
      </c>
    </row>
    <row r="64" spans="1:9" x14ac:dyDescent="0.35">
      <c r="A64" s="16" t="s">
        <v>336</v>
      </c>
      <c r="B64" s="17">
        <v>0.42661054147496019</v>
      </c>
      <c r="C64" s="17">
        <v>0.53364225938406162</v>
      </c>
      <c r="D64" s="17">
        <v>0.43238447493651649</v>
      </c>
      <c r="E64" s="17">
        <v>0.39957101837705528</v>
      </c>
      <c r="F64" s="17">
        <v>0.42661054147496019</v>
      </c>
      <c r="G64" s="17">
        <v>0.4337368209606563</v>
      </c>
      <c r="H64" s="17">
        <v>0.41842987492882028</v>
      </c>
      <c r="I64" s="17">
        <v>0.43771644810432059</v>
      </c>
    </row>
    <row r="65" spans="1:9" x14ac:dyDescent="0.35">
      <c r="A65" s="16" t="s">
        <v>194</v>
      </c>
      <c r="B65" s="17">
        <v>0.45587290209452558</v>
      </c>
      <c r="C65" s="17">
        <v>0.44233976568791677</v>
      </c>
      <c r="D65" s="17">
        <v>0.4630254709614523</v>
      </c>
      <c r="E65" s="17">
        <v>0.47493781893197318</v>
      </c>
      <c r="F65" s="17">
        <v>0.45587290209452558</v>
      </c>
      <c r="G65" s="17">
        <v>0.44663719543978481</v>
      </c>
      <c r="H65" s="17">
        <v>0.45920557636815512</v>
      </c>
      <c r="I65" s="17">
        <v>0.42019663223574549</v>
      </c>
    </row>
    <row r="66" spans="1:9" x14ac:dyDescent="0.35">
      <c r="A66" s="16" t="s">
        <v>195</v>
      </c>
      <c r="B66" s="17">
        <v>0.1175165564305141</v>
      </c>
      <c r="C66" s="154">
        <v>2.401797492802173E-2</v>
      </c>
      <c r="D66" s="17">
        <v>0.1045900541020312</v>
      </c>
      <c r="E66" s="17">
        <v>0.12549116269097141</v>
      </c>
      <c r="F66" s="17">
        <v>0.1175165564305141</v>
      </c>
      <c r="G66" s="17">
        <v>0.119625983599559</v>
      </c>
      <c r="H66" s="17">
        <v>0.1223645487030246</v>
      </c>
      <c r="I66" s="17">
        <v>0.142086919659934</v>
      </c>
    </row>
    <row r="67" spans="1:9" x14ac:dyDescent="0.35">
      <c r="A67" s="14" t="s">
        <v>210</v>
      </c>
      <c r="B67" s="18">
        <v>0.14808910352200419</v>
      </c>
      <c r="C67" s="18">
        <v>0.22173738798777101</v>
      </c>
      <c r="D67" s="18">
        <v>0.19138510293519451</v>
      </c>
      <c r="E67" s="18">
        <v>0.1519638186301572</v>
      </c>
      <c r="F67" s="18">
        <v>0.14808910352200419</v>
      </c>
      <c r="G67" s="18">
        <v>0.15801526367494681</v>
      </c>
      <c r="H67" s="18">
        <v>0.15402962629409719</v>
      </c>
      <c r="I67" s="18">
        <v>0.1648378012705862</v>
      </c>
    </row>
    <row r="68" spans="1:9" x14ac:dyDescent="0.35">
      <c r="A68" s="14" t="s">
        <v>197</v>
      </c>
      <c r="B68" s="18">
        <v>0.27852143795295597</v>
      </c>
      <c r="C68" s="18">
        <v>0.31190487139629058</v>
      </c>
      <c r="D68" s="18">
        <v>0.24099937200132199</v>
      </c>
      <c r="E68" s="18">
        <v>0.2476071997468981</v>
      </c>
      <c r="F68" s="18">
        <v>0.27852143795295597</v>
      </c>
      <c r="G68" s="18">
        <v>0.27572155728570952</v>
      </c>
      <c r="H68" s="18">
        <v>0.26440024863472311</v>
      </c>
      <c r="I68" s="18">
        <v>0.27287864683373442</v>
      </c>
    </row>
    <row r="69" spans="1:9" x14ac:dyDescent="0.35">
      <c r="A69" s="14" t="s">
        <v>198</v>
      </c>
      <c r="B69" s="18">
        <v>0.34698535226928812</v>
      </c>
      <c r="C69" s="18">
        <v>0.40175225057853647</v>
      </c>
      <c r="D69" s="18">
        <v>0.33686505659865829</v>
      </c>
      <c r="E69" s="18">
        <v>0.36895891327558689</v>
      </c>
      <c r="F69" s="18">
        <v>0.34698535226928812</v>
      </c>
      <c r="G69" s="18">
        <v>0.34520906153415859</v>
      </c>
      <c r="H69" s="18">
        <v>0.33132869031059842</v>
      </c>
      <c r="I69" s="18">
        <v>0.27256569962014482</v>
      </c>
    </row>
    <row r="70" spans="1:9" x14ac:dyDescent="0.35">
      <c r="A70" s="14" t="s">
        <v>199</v>
      </c>
      <c r="B70" s="18">
        <v>0.1088875498252375</v>
      </c>
      <c r="C70" s="18">
        <v>4.0587515109380252E-2</v>
      </c>
      <c r="D70" s="18">
        <v>0.1261604143627941</v>
      </c>
      <c r="E70" s="18">
        <v>0.1059789056563863</v>
      </c>
      <c r="F70" s="18">
        <v>0.1088875498252375</v>
      </c>
      <c r="G70" s="18">
        <v>0.10142813390562611</v>
      </c>
      <c r="H70" s="25">
        <v>0.1278768860575567</v>
      </c>
      <c r="I70" s="18">
        <v>0.14763093261560059</v>
      </c>
    </row>
    <row r="71" spans="1:9" x14ac:dyDescent="0.35">
      <c r="A71" s="14" t="s">
        <v>200</v>
      </c>
      <c r="B71" s="18">
        <v>5.8002940452854472E-2</v>
      </c>
      <c r="C71" s="18">
        <v>2.401797492802173E-2</v>
      </c>
      <c r="D71" s="18">
        <v>8.0583764958354412E-2</v>
      </c>
      <c r="E71" s="18">
        <v>7.4774446141240986E-2</v>
      </c>
      <c r="F71" s="18">
        <v>5.8002940452854472E-2</v>
      </c>
      <c r="G71" s="18">
        <v>6.0030452020542947E-2</v>
      </c>
      <c r="H71" s="18">
        <v>7.1045055382484026E-2</v>
      </c>
      <c r="I71" s="18">
        <v>8.9103590173533781E-2</v>
      </c>
    </row>
    <row r="72" spans="1:9" x14ac:dyDescent="0.35">
      <c r="A72" s="14" t="s">
        <v>201</v>
      </c>
      <c r="B72" s="18">
        <v>4.4942646694145577E-2</v>
      </c>
      <c r="C72" s="18">
        <v>0</v>
      </c>
      <c r="D72" s="18">
        <v>2.4006289143676789E-2</v>
      </c>
      <c r="E72" s="18">
        <v>3.2791987012136967E-2</v>
      </c>
      <c r="F72" s="25">
        <v>4.4942646694145577E-2</v>
      </c>
      <c r="G72" s="18">
        <v>4.7426507691094119E-2</v>
      </c>
      <c r="H72" s="18">
        <v>4.0840383166020178E-2</v>
      </c>
      <c r="I72" s="18">
        <v>4.2164474698155208E-2</v>
      </c>
    </row>
    <row r="73" spans="1:9" x14ac:dyDescent="0.35">
      <c r="A73" s="14" t="s">
        <v>202</v>
      </c>
      <c r="B73" s="18">
        <v>1.3904309207970519E-2</v>
      </c>
      <c r="C73" s="18">
        <v>0</v>
      </c>
      <c r="D73" s="18">
        <v>0</v>
      </c>
      <c r="E73" s="18">
        <v>1.7924729537593422E-2</v>
      </c>
      <c r="F73" s="18">
        <v>1.3904309207970519E-2</v>
      </c>
      <c r="G73" s="18">
        <v>1.1612259116370909E-2</v>
      </c>
      <c r="H73" s="18">
        <v>9.9996633702117334E-3</v>
      </c>
      <c r="I73" s="18">
        <v>1.0323863795532779E-2</v>
      </c>
    </row>
    <row r="74" spans="1:9" x14ac:dyDescent="0.35">
      <c r="A74" s="14" t="s">
        <v>211</v>
      </c>
      <c r="B74" s="18">
        <v>0</v>
      </c>
      <c r="C74" s="18">
        <v>0</v>
      </c>
      <c r="D74" s="18">
        <v>0</v>
      </c>
      <c r="E74" s="18">
        <v>0</v>
      </c>
      <c r="F74" s="18">
        <v>0</v>
      </c>
      <c r="G74" s="18">
        <v>0</v>
      </c>
      <c r="H74" s="18">
        <v>0</v>
      </c>
      <c r="I74" s="18">
        <v>0</v>
      </c>
    </row>
    <row r="75" spans="1:9" x14ac:dyDescent="0.35">
      <c r="A75" s="14" t="s">
        <v>212</v>
      </c>
      <c r="B75" s="18">
        <v>0</v>
      </c>
      <c r="C75" s="18">
        <v>0</v>
      </c>
      <c r="D75" s="18">
        <v>0</v>
      </c>
      <c r="E75" s="18">
        <v>0</v>
      </c>
      <c r="F75" s="18">
        <v>0</v>
      </c>
      <c r="G75" s="18">
        <v>0</v>
      </c>
      <c r="H75" s="18">
        <v>0</v>
      </c>
      <c r="I75" s="18">
        <v>0</v>
      </c>
    </row>
    <row r="76" spans="1:9" x14ac:dyDescent="0.35">
      <c r="A76" s="14" t="s">
        <v>203</v>
      </c>
      <c r="B76" s="18">
        <v>0</v>
      </c>
      <c r="C76" s="18">
        <v>0</v>
      </c>
      <c r="D76" s="18">
        <v>0</v>
      </c>
      <c r="E76" s="18">
        <v>0</v>
      </c>
      <c r="F76" s="18">
        <v>0</v>
      </c>
      <c r="G76" s="18">
        <v>0</v>
      </c>
      <c r="H76" s="18">
        <v>0</v>
      </c>
      <c r="I76" s="18">
        <v>0</v>
      </c>
    </row>
    <row r="77" spans="1:9" x14ac:dyDescent="0.35">
      <c r="A77" s="14" t="s">
        <v>204</v>
      </c>
      <c r="B77" s="18">
        <v>6.6666007554351168E-4</v>
      </c>
      <c r="C77" s="18">
        <v>0</v>
      </c>
      <c r="D77" s="18">
        <v>0</v>
      </c>
      <c r="E77" s="18">
        <v>0</v>
      </c>
      <c r="F77" s="25">
        <v>6.6666007554351168E-4</v>
      </c>
      <c r="G77" s="18">
        <v>5.5676477155103537E-4</v>
      </c>
      <c r="H77" s="18">
        <v>4.794467843086803E-4</v>
      </c>
      <c r="I77" s="18">
        <v>4.9499099271220687E-4</v>
      </c>
    </row>
    <row r="78" spans="1:9" x14ac:dyDescent="0.35">
      <c r="A78" s="14" t="s">
        <v>213</v>
      </c>
      <c r="B78" s="1">
        <f>(B64-B66)*100</f>
        <v>30.909398504444606</v>
      </c>
      <c r="C78" s="1">
        <f t="shared" ref="C78:F78" si="3">(C64-C66)*100</f>
        <v>50.96242844560399</v>
      </c>
      <c r="D78" s="1">
        <f t="shared" si="3"/>
        <v>32.779442083448529</v>
      </c>
      <c r="E78" s="1">
        <f t="shared" si="3"/>
        <v>27.407985568608385</v>
      </c>
      <c r="F78" s="1">
        <f t="shared" si="3"/>
        <v>30.909398504444606</v>
      </c>
      <c r="G78" s="1">
        <v>31.411083736109731</v>
      </c>
      <c r="H78" s="1">
        <v>29.606532622579561</v>
      </c>
      <c r="I78" s="1">
        <v>29.562952844438659</v>
      </c>
    </row>
    <row r="80" spans="1:9" x14ac:dyDescent="0.35">
      <c r="C80" s="187"/>
      <c r="D80" s="187"/>
      <c r="E80" s="187"/>
      <c r="F80" s="187"/>
      <c r="G80" s="170"/>
      <c r="H80" s="170"/>
      <c r="I80" s="170"/>
    </row>
    <row r="81" spans="1:9" ht="29" x14ac:dyDescent="0.35">
      <c r="A81" s="12" t="s">
        <v>477</v>
      </c>
      <c r="B81" s="13" t="s">
        <v>208</v>
      </c>
      <c r="C81" s="13" t="s">
        <v>458</v>
      </c>
      <c r="D81" s="13" t="s">
        <v>466</v>
      </c>
      <c r="E81" s="13" t="s">
        <v>467</v>
      </c>
      <c r="F81" s="13" t="s">
        <v>468</v>
      </c>
      <c r="G81" s="13" t="s">
        <v>634</v>
      </c>
      <c r="H81" s="13" t="s">
        <v>641</v>
      </c>
      <c r="I81" s="13" t="s">
        <v>647</v>
      </c>
    </row>
    <row r="82" spans="1:9" x14ac:dyDescent="0.35">
      <c r="A82" s="14" t="s">
        <v>209</v>
      </c>
      <c r="B82" s="15">
        <v>89</v>
      </c>
      <c r="C82" s="15">
        <v>25</v>
      </c>
      <c r="D82" s="15">
        <v>48</v>
      </c>
      <c r="E82" s="15">
        <v>70</v>
      </c>
      <c r="F82" s="15">
        <v>89</v>
      </c>
      <c r="G82" s="15">
        <v>113</v>
      </c>
      <c r="H82" s="15">
        <v>141</v>
      </c>
      <c r="I82" s="15">
        <v>137</v>
      </c>
    </row>
    <row r="83" spans="1:9" x14ac:dyDescent="0.35">
      <c r="A83" s="16" t="s">
        <v>336</v>
      </c>
      <c r="B83" s="17">
        <v>0.55980950294464282</v>
      </c>
      <c r="C83" s="17">
        <v>0.61657250756266635</v>
      </c>
      <c r="D83" s="17">
        <v>0.55262818539141967</v>
      </c>
      <c r="E83" s="154">
        <v>0.50807645045043426</v>
      </c>
      <c r="F83" s="152">
        <v>0.55980950294464282</v>
      </c>
      <c r="G83" s="17">
        <v>0.57904489732230346</v>
      </c>
      <c r="H83" s="17">
        <v>0.55601699083873124</v>
      </c>
      <c r="I83" s="17">
        <v>0.5280270403128372</v>
      </c>
    </row>
    <row r="84" spans="1:9" x14ac:dyDescent="0.35">
      <c r="A84" s="16" t="s">
        <v>194</v>
      </c>
      <c r="B84" s="17">
        <v>0.343373228326953</v>
      </c>
      <c r="C84" s="17">
        <v>0.38342749243733382</v>
      </c>
      <c r="D84" s="17">
        <v>0.40255139227309839</v>
      </c>
      <c r="E84" s="153">
        <v>0.39202059511623172</v>
      </c>
      <c r="F84" s="17">
        <v>0.34337322832695288</v>
      </c>
      <c r="G84" s="17">
        <v>0.34303219211578029</v>
      </c>
      <c r="H84" s="17">
        <v>0.33461926005630249</v>
      </c>
      <c r="I84" s="17">
        <v>0.32059152671432972</v>
      </c>
    </row>
    <row r="85" spans="1:9" x14ac:dyDescent="0.35">
      <c r="A85" s="16" t="s">
        <v>195</v>
      </c>
      <c r="B85" s="17">
        <v>9.6817268728404238E-2</v>
      </c>
      <c r="C85" s="155">
        <v>0</v>
      </c>
      <c r="D85" s="154">
        <v>4.4820422335482037E-2</v>
      </c>
      <c r="E85" s="17">
        <v>9.990295443333394E-2</v>
      </c>
      <c r="F85" s="17">
        <v>9.6817268728404224E-2</v>
      </c>
      <c r="G85" s="17">
        <v>7.7922910561916275E-2</v>
      </c>
      <c r="H85" s="17">
        <v>0.1093637491049662</v>
      </c>
      <c r="I85" s="149">
        <v>0.1513814329728333</v>
      </c>
    </row>
    <row r="86" spans="1:9" x14ac:dyDescent="0.35">
      <c r="A86" s="14" t="s">
        <v>210</v>
      </c>
      <c r="B86" s="18">
        <v>0.34142431376455329</v>
      </c>
      <c r="C86" s="18">
        <v>0.40278039685741462</v>
      </c>
      <c r="D86" s="18">
        <v>0.3393233196032811</v>
      </c>
      <c r="E86" s="18">
        <v>0.29970642650820678</v>
      </c>
      <c r="F86" s="25">
        <v>0.34142431376455329</v>
      </c>
      <c r="G86" s="18">
        <v>0.3315707905308744</v>
      </c>
      <c r="H86" s="18">
        <v>0.32578109870400018</v>
      </c>
      <c r="I86" s="18">
        <v>0.31703834862350122</v>
      </c>
    </row>
    <row r="87" spans="1:9" x14ac:dyDescent="0.35">
      <c r="A87" s="14" t="s">
        <v>197</v>
      </c>
      <c r="B87" s="18">
        <v>0.21838518918008951</v>
      </c>
      <c r="C87" s="18">
        <v>0.2137921107052517</v>
      </c>
      <c r="D87" s="18">
        <v>0.21330486578813859</v>
      </c>
      <c r="E87" s="18">
        <v>0.20837002394222739</v>
      </c>
      <c r="F87" s="18">
        <v>0.21838518918008951</v>
      </c>
      <c r="G87" s="18">
        <v>0.247474106791429</v>
      </c>
      <c r="H87" s="18">
        <v>0.230235892134731</v>
      </c>
      <c r="I87" s="18">
        <v>0.21098869168933601</v>
      </c>
    </row>
    <row r="88" spans="1:9" x14ac:dyDescent="0.35">
      <c r="A88" s="14" t="s">
        <v>198</v>
      </c>
      <c r="B88" s="18">
        <v>0.19260301697289381</v>
      </c>
      <c r="C88" s="18">
        <v>0.2004423702607957</v>
      </c>
      <c r="D88" s="18">
        <v>0.20383827560456291</v>
      </c>
      <c r="E88" s="18">
        <v>0.21408898154185299</v>
      </c>
      <c r="F88" s="18">
        <v>0.19260301697289381</v>
      </c>
      <c r="G88" s="18">
        <v>0.17376252640381651</v>
      </c>
      <c r="H88" s="18">
        <v>0.1676344517335612</v>
      </c>
      <c r="I88" s="18">
        <v>0.15589968391233219</v>
      </c>
    </row>
    <row r="89" spans="1:9" x14ac:dyDescent="0.35">
      <c r="A89" s="14" t="s">
        <v>199</v>
      </c>
      <c r="B89" s="18">
        <v>0.15077021135405921</v>
      </c>
      <c r="C89" s="18">
        <v>0.18298512217653809</v>
      </c>
      <c r="D89" s="18">
        <v>0.1987131166685355</v>
      </c>
      <c r="E89" s="18">
        <v>0.17793161357437859</v>
      </c>
      <c r="F89" s="18">
        <v>0.15077021135405921</v>
      </c>
      <c r="G89" s="18">
        <v>0.16926966571196389</v>
      </c>
      <c r="H89" s="18">
        <v>0.1669848083227414</v>
      </c>
      <c r="I89" s="18">
        <v>0.1646918428019975</v>
      </c>
    </row>
    <row r="90" spans="1:9" x14ac:dyDescent="0.35">
      <c r="A90" s="14" t="s">
        <v>200</v>
      </c>
      <c r="B90" s="18">
        <v>4.6912040685633052E-2</v>
      </c>
      <c r="C90" s="18">
        <v>0</v>
      </c>
      <c r="D90" s="18">
        <v>2.2410211167741018E-2</v>
      </c>
      <c r="E90" s="18">
        <v>5.9645291536896822E-2</v>
      </c>
      <c r="F90" s="18">
        <v>4.6912040685633052E-2</v>
      </c>
      <c r="G90" s="18">
        <v>3.7756929095760623E-2</v>
      </c>
      <c r="H90" s="18">
        <v>4.4673409898531462E-2</v>
      </c>
      <c r="I90" s="18">
        <v>7.7402933281938022E-2</v>
      </c>
    </row>
    <row r="91" spans="1:9" x14ac:dyDescent="0.35">
      <c r="A91" s="14" t="s">
        <v>201</v>
      </c>
      <c r="B91" s="18">
        <v>4.9905228042771192E-2</v>
      </c>
      <c r="C91" s="18">
        <v>0</v>
      </c>
      <c r="D91" s="18">
        <v>2.2410211167741018E-2</v>
      </c>
      <c r="E91" s="18">
        <v>4.0257662896437112E-2</v>
      </c>
      <c r="F91" s="18">
        <v>4.9905228042771192E-2</v>
      </c>
      <c r="G91" s="18">
        <v>4.0165981466155652E-2</v>
      </c>
      <c r="H91" s="18">
        <v>5.948374829214749E-2</v>
      </c>
      <c r="I91" s="18">
        <v>6.1693572347452409E-2</v>
      </c>
    </row>
    <row r="92" spans="1:9" x14ac:dyDescent="0.35">
      <c r="A92" s="14" t="s">
        <v>202</v>
      </c>
      <c r="B92" s="18">
        <v>0</v>
      </c>
      <c r="C92" s="18">
        <v>0</v>
      </c>
      <c r="D92" s="18">
        <v>0</v>
      </c>
      <c r="E92" s="18">
        <v>0</v>
      </c>
      <c r="F92" s="18">
        <v>0</v>
      </c>
      <c r="G92" s="18">
        <v>0</v>
      </c>
      <c r="H92" s="18">
        <v>0</v>
      </c>
      <c r="I92" s="18">
        <v>0</v>
      </c>
    </row>
    <row r="93" spans="1:9" x14ac:dyDescent="0.35">
      <c r="A93" s="14" t="s">
        <v>211</v>
      </c>
      <c r="B93" s="18">
        <v>0</v>
      </c>
      <c r="C93" s="18">
        <v>0</v>
      </c>
      <c r="D93" s="18">
        <v>0</v>
      </c>
      <c r="E93" s="18">
        <v>0</v>
      </c>
      <c r="F93" s="18">
        <v>0</v>
      </c>
      <c r="G93" s="18">
        <v>0</v>
      </c>
      <c r="H93" s="18">
        <v>0</v>
      </c>
      <c r="I93" s="18">
        <v>0</v>
      </c>
    </row>
    <row r="94" spans="1:9" x14ac:dyDescent="0.35">
      <c r="A94" s="14" t="s">
        <v>212</v>
      </c>
      <c r="B94" s="18">
        <v>0</v>
      </c>
      <c r="C94" s="18">
        <v>0</v>
      </c>
      <c r="D94" s="18">
        <v>0</v>
      </c>
      <c r="E94" s="18">
        <v>0</v>
      </c>
      <c r="F94" s="18">
        <v>0</v>
      </c>
      <c r="G94" s="18">
        <v>0</v>
      </c>
      <c r="H94" s="18">
        <v>5.2065909142872298E-3</v>
      </c>
      <c r="I94" s="18">
        <v>1.2284927343442871E-2</v>
      </c>
    </row>
    <row r="95" spans="1:9" x14ac:dyDescent="0.35">
      <c r="A95" s="14" t="s">
        <v>203</v>
      </c>
      <c r="B95" s="18">
        <v>0</v>
      </c>
      <c r="C95" s="18">
        <v>0</v>
      </c>
      <c r="D95" s="18">
        <v>0</v>
      </c>
      <c r="E95" s="18">
        <v>0</v>
      </c>
      <c r="F95" s="18">
        <v>0</v>
      </c>
      <c r="G95" s="18">
        <v>0</v>
      </c>
      <c r="H95" s="18">
        <v>0</v>
      </c>
      <c r="I95" s="18">
        <v>0</v>
      </c>
    </row>
    <row r="96" spans="1:9" x14ac:dyDescent="0.35">
      <c r="A96" s="14" t="s">
        <v>204</v>
      </c>
      <c r="B96" s="18">
        <v>0</v>
      </c>
      <c r="C96" s="18">
        <v>0</v>
      </c>
      <c r="D96" s="18">
        <v>0</v>
      </c>
      <c r="E96" s="18">
        <v>0</v>
      </c>
      <c r="F96" s="18">
        <v>0</v>
      </c>
      <c r="G96" s="18">
        <v>0</v>
      </c>
      <c r="H96" s="18">
        <v>0</v>
      </c>
      <c r="I96" s="18">
        <v>0</v>
      </c>
    </row>
    <row r="97" spans="1:9" x14ac:dyDescent="0.35">
      <c r="A97" s="14" t="s">
        <v>213</v>
      </c>
      <c r="B97" s="1">
        <f>(B83-B85)*100</f>
        <v>46.299223421623857</v>
      </c>
      <c r="C97" s="1">
        <f t="shared" ref="C97:F97" si="4">(C83-C85)*100</f>
        <v>61.657250756266635</v>
      </c>
      <c r="D97" s="1">
        <f t="shared" si="4"/>
        <v>50.780776305593768</v>
      </c>
      <c r="E97" s="1">
        <f t="shared" si="4"/>
        <v>40.817349601710028</v>
      </c>
      <c r="F97" s="1">
        <f t="shared" si="4"/>
        <v>46.299223421623857</v>
      </c>
      <c r="G97" s="1">
        <v>50.112198676038702</v>
      </c>
      <c r="H97" s="1">
        <v>44.665324173376497</v>
      </c>
      <c r="I97" s="1">
        <v>37.664560734000382</v>
      </c>
    </row>
    <row r="99" spans="1:9" x14ac:dyDescent="0.35">
      <c r="C99" s="187"/>
      <c r="D99" s="187"/>
      <c r="E99" s="187"/>
      <c r="F99" s="187"/>
      <c r="G99" s="170"/>
      <c r="H99" s="170"/>
      <c r="I99" s="170"/>
    </row>
    <row r="100" spans="1:9" ht="29" x14ac:dyDescent="0.35">
      <c r="A100" s="12" t="s">
        <v>478</v>
      </c>
      <c r="B100" s="13" t="s">
        <v>208</v>
      </c>
      <c r="C100" s="13" t="s">
        <v>458</v>
      </c>
      <c r="D100" s="13" t="s">
        <v>466</v>
      </c>
      <c r="E100" s="13" t="s">
        <v>467</v>
      </c>
      <c r="F100" s="13" t="s">
        <v>468</v>
      </c>
      <c r="G100" s="13" t="s">
        <v>634</v>
      </c>
      <c r="H100" s="13" t="s">
        <v>641</v>
      </c>
      <c r="I100" s="13" t="s">
        <v>647</v>
      </c>
    </row>
    <row r="101" spans="1:9" x14ac:dyDescent="0.35">
      <c r="A101" s="14" t="s">
        <v>209</v>
      </c>
      <c r="B101" s="15">
        <v>0</v>
      </c>
      <c r="C101" s="15">
        <v>0</v>
      </c>
      <c r="D101" s="15">
        <v>0</v>
      </c>
      <c r="E101" s="15">
        <v>0</v>
      </c>
      <c r="F101" s="15">
        <v>0</v>
      </c>
      <c r="G101" s="15">
        <v>0</v>
      </c>
      <c r="H101" s="15">
        <v>0</v>
      </c>
      <c r="I101" s="15">
        <v>0</v>
      </c>
    </row>
    <row r="102" spans="1:9" x14ac:dyDescent="0.35">
      <c r="A102" s="16" t="s">
        <v>336</v>
      </c>
      <c r="B102" s="17" t="s">
        <v>214</v>
      </c>
      <c r="C102" s="168" t="s">
        <v>214</v>
      </c>
      <c r="D102" s="168" t="s">
        <v>214</v>
      </c>
      <c r="E102" s="168" t="s">
        <v>214</v>
      </c>
      <c r="F102" s="168" t="s">
        <v>214</v>
      </c>
      <c r="G102" s="168" t="s">
        <v>214</v>
      </c>
      <c r="H102" s="168" t="s">
        <v>214</v>
      </c>
      <c r="I102" s="168" t="s">
        <v>214</v>
      </c>
    </row>
    <row r="103" spans="1:9" x14ac:dyDescent="0.35">
      <c r="A103" s="16" t="s">
        <v>194</v>
      </c>
      <c r="B103" s="17" t="s">
        <v>214</v>
      </c>
      <c r="C103" s="168" t="s">
        <v>214</v>
      </c>
      <c r="D103" s="168" t="s">
        <v>214</v>
      </c>
      <c r="E103" s="168" t="s">
        <v>214</v>
      </c>
      <c r="F103" s="168" t="s">
        <v>214</v>
      </c>
      <c r="G103" s="168" t="s">
        <v>214</v>
      </c>
      <c r="H103" s="168" t="s">
        <v>214</v>
      </c>
      <c r="I103" s="168" t="s">
        <v>214</v>
      </c>
    </row>
    <row r="104" spans="1:9" x14ac:dyDescent="0.35">
      <c r="A104" s="16" t="s">
        <v>195</v>
      </c>
      <c r="B104" s="17" t="s">
        <v>214</v>
      </c>
      <c r="C104" s="168" t="s">
        <v>214</v>
      </c>
      <c r="D104" s="168" t="s">
        <v>214</v>
      </c>
      <c r="E104" s="168" t="s">
        <v>214</v>
      </c>
      <c r="F104" s="168" t="s">
        <v>214</v>
      </c>
      <c r="G104" s="168" t="s">
        <v>214</v>
      </c>
      <c r="H104" s="168" t="s">
        <v>214</v>
      </c>
      <c r="I104" s="168" t="s">
        <v>214</v>
      </c>
    </row>
    <row r="105" spans="1:9" x14ac:dyDescent="0.35">
      <c r="A105" s="14" t="s">
        <v>210</v>
      </c>
      <c r="B105" s="18" t="s">
        <v>214</v>
      </c>
      <c r="C105" s="18" t="s">
        <v>214</v>
      </c>
      <c r="D105" s="18" t="s">
        <v>214</v>
      </c>
      <c r="E105" s="18" t="s">
        <v>214</v>
      </c>
      <c r="F105" s="18" t="s">
        <v>214</v>
      </c>
      <c r="G105" s="18" t="s">
        <v>214</v>
      </c>
      <c r="H105" s="18" t="s">
        <v>214</v>
      </c>
      <c r="I105" s="18" t="s">
        <v>214</v>
      </c>
    </row>
    <row r="106" spans="1:9" x14ac:dyDescent="0.35">
      <c r="A106" s="14" t="s">
        <v>197</v>
      </c>
      <c r="B106" s="18" t="s">
        <v>214</v>
      </c>
      <c r="C106" s="18" t="s">
        <v>214</v>
      </c>
      <c r="D106" s="18" t="s">
        <v>214</v>
      </c>
      <c r="E106" s="18" t="s">
        <v>214</v>
      </c>
      <c r="F106" s="18" t="s">
        <v>214</v>
      </c>
      <c r="G106" s="18" t="s">
        <v>214</v>
      </c>
      <c r="H106" s="18" t="s">
        <v>214</v>
      </c>
      <c r="I106" s="18" t="s">
        <v>214</v>
      </c>
    </row>
    <row r="107" spans="1:9" x14ac:dyDescent="0.35">
      <c r="A107" s="14" t="s">
        <v>198</v>
      </c>
      <c r="B107" s="18" t="s">
        <v>214</v>
      </c>
      <c r="C107" s="18" t="s">
        <v>214</v>
      </c>
      <c r="D107" s="18" t="s">
        <v>214</v>
      </c>
      <c r="E107" s="18" t="s">
        <v>214</v>
      </c>
      <c r="F107" s="18" t="s">
        <v>214</v>
      </c>
      <c r="G107" s="18" t="s">
        <v>214</v>
      </c>
      <c r="H107" s="18" t="s">
        <v>214</v>
      </c>
      <c r="I107" s="18" t="s">
        <v>214</v>
      </c>
    </row>
    <row r="108" spans="1:9" x14ac:dyDescent="0.35">
      <c r="A108" s="14" t="s">
        <v>199</v>
      </c>
      <c r="B108" s="18" t="s">
        <v>214</v>
      </c>
      <c r="C108" s="18" t="s">
        <v>214</v>
      </c>
      <c r="D108" s="18" t="s">
        <v>214</v>
      </c>
      <c r="E108" s="18" t="s">
        <v>214</v>
      </c>
      <c r="F108" s="18" t="s">
        <v>214</v>
      </c>
      <c r="G108" s="18" t="s">
        <v>214</v>
      </c>
      <c r="H108" s="18" t="s">
        <v>214</v>
      </c>
      <c r="I108" s="18" t="s">
        <v>214</v>
      </c>
    </row>
    <row r="109" spans="1:9" x14ac:dyDescent="0.35">
      <c r="A109" s="14" t="s">
        <v>200</v>
      </c>
      <c r="B109" s="18" t="s">
        <v>214</v>
      </c>
      <c r="C109" s="18" t="s">
        <v>214</v>
      </c>
      <c r="D109" s="18" t="s">
        <v>214</v>
      </c>
      <c r="E109" s="18" t="s">
        <v>214</v>
      </c>
      <c r="F109" s="18" t="s">
        <v>214</v>
      </c>
      <c r="G109" s="18" t="s">
        <v>214</v>
      </c>
      <c r="H109" s="18" t="s">
        <v>214</v>
      </c>
      <c r="I109" s="18" t="s">
        <v>214</v>
      </c>
    </row>
    <row r="110" spans="1:9" x14ac:dyDescent="0.35">
      <c r="A110" s="14" t="s">
        <v>201</v>
      </c>
      <c r="B110" s="18" t="s">
        <v>214</v>
      </c>
      <c r="C110" s="18" t="s">
        <v>214</v>
      </c>
      <c r="D110" s="18" t="s">
        <v>214</v>
      </c>
      <c r="E110" s="18" t="s">
        <v>214</v>
      </c>
      <c r="F110" s="18" t="s">
        <v>214</v>
      </c>
      <c r="G110" s="18" t="s">
        <v>214</v>
      </c>
      <c r="H110" s="18" t="s">
        <v>214</v>
      </c>
      <c r="I110" s="18" t="s">
        <v>214</v>
      </c>
    </row>
    <row r="111" spans="1:9" x14ac:dyDescent="0.35">
      <c r="A111" s="14" t="s">
        <v>202</v>
      </c>
      <c r="B111" s="18" t="s">
        <v>214</v>
      </c>
      <c r="C111" s="18" t="s">
        <v>214</v>
      </c>
      <c r="D111" s="18" t="s">
        <v>214</v>
      </c>
      <c r="E111" s="18" t="s">
        <v>214</v>
      </c>
      <c r="F111" s="18" t="s">
        <v>214</v>
      </c>
      <c r="G111" s="18" t="s">
        <v>214</v>
      </c>
      <c r="H111" s="18" t="s">
        <v>214</v>
      </c>
      <c r="I111" s="18" t="s">
        <v>214</v>
      </c>
    </row>
    <row r="112" spans="1:9" x14ac:dyDescent="0.35">
      <c r="A112" s="14" t="s">
        <v>211</v>
      </c>
      <c r="B112" s="18" t="s">
        <v>214</v>
      </c>
      <c r="C112" s="18" t="s">
        <v>214</v>
      </c>
      <c r="D112" s="18" t="s">
        <v>214</v>
      </c>
      <c r="E112" s="18" t="s">
        <v>214</v>
      </c>
      <c r="F112" s="18" t="s">
        <v>214</v>
      </c>
      <c r="G112" s="18" t="s">
        <v>214</v>
      </c>
      <c r="H112" s="18" t="s">
        <v>214</v>
      </c>
      <c r="I112" s="18" t="s">
        <v>214</v>
      </c>
    </row>
    <row r="113" spans="1:9" x14ac:dyDescent="0.35">
      <c r="A113" s="14" t="s">
        <v>212</v>
      </c>
      <c r="B113" s="18" t="s">
        <v>214</v>
      </c>
      <c r="C113" s="18" t="s">
        <v>214</v>
      </c>
      <c r="D113" s="18" t="s">
        <v>214</v>
      </c>
      <c r="E113" s="18" t="s">
        <v>214</v>
      </c>
      <c r="F113" s="18" t="s">
        <v>214</v>
      </c>
      <c r="G113" s="18" t="s">
        <v>214</v>
      </c>
      <c r="H113" s="18" t="s">
        <v>214</v>
      </c>
      <c r="I113" s="18" t="s">
        <v>214</v>
      </c>
    </row>
    <row r="114" spans="1:9" x14ac:dyDescent="0.35">
      <c r="A114" s="14" t="s">
        <v>203</v>
      </c>
      <c r="B114" s="18" t="s">
        <v>214</v>
      </c>
      <c r="C114" s="18" t="s">
        <v>214</v>
      </c>
      <c r="D114" s="18" t="s">
        <v>214</v>
      </c>
      <c r="E114" s="18" t="s">
        <v>214</v>
      </c>
      <c r="F114" s="18" t="s">
        <v>214</v>
      </c>
      <c r="G114" s="18" t="s">
        <v>214</v>
      </c>
      <c r="H114" s="18" t="s">
        <v>214</v>
      </c>
      <c r="I114" s="18" t="s">
        <v>214</v>
      </c>
    </row>
    <row r="115" spans="1:9" x14ac:dyDescent="0.35">
      <c r="A115" s="14" t="s">
        <v>204</v>
      </c>
      <c r="B115" s="18" t="s">
        <v>214</v>
      </c>
      <c r="C115" s="18" t="s">
        <v>214</v>
      </c>
      <c r="D115" s="18" t="s">
        <v>214</v>
      </c>
      <c r="E115" s="18" t="s">
        <v>214</v>
      </c>
      <c r="F115" s="18" t="s">
        <v>214</v>
      </c>
      <c r="G115" s="18" t="s">
        <v>214</v>
      </c>
      <c r="H115" s="18" t="s">
        <v>214</v>
      </c>
      <c r="I115" s="18" t="s">
        <v>214</v>
      </c>
    </row>
    <row r="117" spans="1:9" x14ac:dyDescent="0.35">
      <c r="C117" s="187"/>
      <c r="D117" s="187"/>
      <c r="E117" s="187"/>
      <c r="F117" s="187"/>
      <c r="G117" s="170"/>
      <c r="H117" s="170"/>
      <c r="I117" s="170"/>
    </row>
    <row r="118" spans="1:9" ht="29" x14ac:dyDescent="0.35">
      <c r="A118" s="12" t="s">
        <v>479</v>
      </c>
      <c r="B118" s="13" t="s">
        <v>208</v>
      </c>
      <c r="C118" s="13" t="s">
        <v>458</v>
      </c>
      <c r="D118" s="13" t="s">
        <v>466</v>
      </c>
      <c r="E118" s="13" t="s">
        <v>467</v>
      </c>
      <c r="F118" s="13" t="s">
        <v>468</v>
      </c>
      <c r="G118" s="13" t="s">
        <v>634</v>
      </c>
      <c r="H118" s="13" t="s">
        <v>641</v>
      </c>
      <c r="I118" s="13" t="s">
        <v>647</v>
      </c>
    </row>
    <row r="119" spans="1:9" x14ac:dyDescent="0.35">
      <c r="A119" s="14" t="s">
        <v>209</v>
      </c>
      <c r="B119" s="15">
        <v>12</v>
      </c>
      <c r="C119" s="15">
        <v>6</v>
      </c>
      <c r="D119" s="15">
        <v>9</v>
      </c>
      <c r="E119" s="15">
        <v>11</v>
      </c>
      <c r="F119" s="15">
        <v>12</v>
      </c>
      <c r="G119" s="15">
        <v>13</v>
      </c>
      <c r="H119" s="15">
        <v>14</v>
      </c>
      <c r="I119" s="15">
        <v>13</v>
      </c>
    </row>
    <row r="120" spans="1:9" x14ac:dyDescent="0.35">
      <c r="A120" s="16" t="s">
        <v>336</v>
      </c>
      <c r="B120" s="17">
        <v>0.54621609573626895</v>
      </c>
      <c r="C120" s="17">
        <v>0.43136447620442059</v>
      </c>
      <c r="D120" s="17">
        <v>0.62215747965147938</v>
      </c>
      <c r="E120" s="17">
        <v>0.59672575827457486</v>
      </c>
      <c r="F120" s="17">
        <v>0.54621609573626895</v>
      </c>
      <c r="G120" s="17">
        <v>0.57904189889631408</v>
      </c>
      <c r="H120" s="17">
        <v>0.54375991969438986</v>
      </c>
      <c r="I120" s="17">
        <v>0.6171577233650597</v>
      </c>
    </row>
    <row r="121" spans="1:9" x14ac:dyDescent="0.35">
      <c r="A121" s="16" t="s">
        <v>194</v>
      </c>
      <c r="B121" s="17">
        <v>0.36913922144602612</v>
      </c>
      <c r="C121" s="17">
        <v>0.56863552379557925</v>
      </c>
      <c r="D121" s="17">
        <v>0.37784252034852073</v>
      </c>
      <c r="E121" s="17">
        <v>0.40327424172542509</v>
      </c>
      <c r="F121" s="152">
        <v>0.36913922144602612</v>
      </c>
      <c r="G121" s="17">
        <v>0.34243644219804908</v>
      </c>
      <c r="H121" s="17">
        <v>0.38250287575757652</v>
      </c>
      <c r="I121" s="17">
        <v>0.23514579400032251</v>
      </c>
    </row>
    <row r="122" spans="1:9" x14ac:dyDescent="0.35">
      <c r="A122" s="16" t="s">
        <v>195</v>
      </c>
      <c r="B122" s="17">
        <v>8.4644682817704875E-2</v>
      </c>
      <c r="C122" s="17">
        <v>0</v>
      </c>
      <c r="D122" s="154">
        <v>0</v>
      </c>
      <c r="E122" s="152">
        <v>0</v>
      </c>
      <c r="F122" s="17">
        <v>8.4644682817704875E-2</v>
      </c>
      <c r="G122" s="17">
        <v>7.8521658905636824E-2</v>
      </c>
      <c r="H122" s="17">
        <v>7.3737204548033689E-2</v>
      </c>
      <c r="I122" s="17">
        <v>0.14769648263461771</v>
      </c>
    </row>
    <row r="123" spans="1:9" x14ac:dyDescent="0.35">
      <c r="A123" s="14" t="s">
        <v>210</v>
      </c>
      <c r="B123" s="18">
        <v>0.16084517578062041</v>
      </c>
      <c r="C123" s="18">
        <v>0.15773358963307429</v>
      </c>
      <c r="D123" s="18">
        <v>0.1048095916568261</v>
      </c>
      <c r="E123" s="18">
        <v>0.17571884137380039</v>
      </c>
      <c r="F123" s="18">
        <v>0.16084517578062041</v>
      </c>
      <c r="G123" s="25">
        <v>0.14920996344759571</v>
      </c>
      <c r="H123" s="18">
        <v>0.1401183539507489</v>
      </c>
      <c r="I123" s="18">
        <v>0.20274262609704191</v>
      </c>
    </row>
    <row r="124" spans="1:9" x14ac:dyDescent="0.35">
      <c r="A124" s="14" t="s">
        <v>197</v>
      </c>
      <c r="B124" s="18">
        <v>0.38537091995564848</v>
      </c>
      <c r="C124" s="18">
        <v>0.27363088657134638</v>
      </c>
      <c r="D124" s="20">
        <v>0.51734788799465337</v>
      </c>
      <c r="E124" s="18">
        <v>0.42100691690077452</v>
      </c>
      <c r="F124" s="18">
        <v>0.38537091995564848</v>
      </c>
      <c r="G124" s="18">
        <v>0.42983193544871839</v>
      </c>
      <c r="H124" s="18">
        <v>0.40364156574364102</v>
      </c>
      <c r="I124" s="18">
        <v>0.41441509726801778</v>
      </c>
    </row>
    <row r="125" spans="1:9" x14ac:dyDescent="0.35">
      <c r="A125" s="14" t="s">
        <v>198</v>
      </c>
      <c r="B125" s="18">
        <v>0.18946980014733711</v>
      </c>
      <c r="C125" s="18">
        <v>0.20564016882543759</v>
      </c>
      <c r="D125" s="18">
        <v>0.13664218365265399</v>
      </c>
      <c r="E125" s="18">
        <v>0.2069904403140139</v>
      </c>
      <c r="F125" s="18">
        <v>0.18946980014733711</v>
      </c>
      <c r="G125" s="18">
        <v>0.17576394080333771</v>
      </c>
      <c r="H125" s="18">
        <v>0.2259860051366476</v>
      </c>
      <c r="I125" s="18">
        <v>0.23514579400032251</v>
      </c>
    </row>
    <row r="126" spans="1:9" x14ac:dyDescent="0.35">
      <c r="A126" s="14" t="s">
        <v>199</v>
      </c>
      <c r="B126" s="18">
        <v>0.17966942129868901</v>
      </c>
      <c r="C126" s="20">
        <v>0.36299535497014168</v>
      </c>
      <c r="D126" s="18">
        <v>0.24120033669586671</v>
      </c>
      <c r="E126" s="18">
        <v>0.1962838014114113</v>
      </c>
      <c r="F126" s="18">
        <v>0.17966942129868901</v>
      </c>
      <c r="G126" s="18">
        <v>0.16667250139471129</v>
      </c>
      <c r="H126" s="18">
        <v>0.15651687062092881</v>
      </c>
      <c r="I126" s="21">
        <v>0</v>
      </c>
    </row>
    <row r="127" spans="1:9" x14ac:dyDescent="0.35">
      <c r="A127" s="14" t="s">
        <v>200</v>
      </c>
      <c r="B127" s="18">
        <v>0</v>
      </c>
      <c r="C127" s="18">
        <v>0</v>
      </c>
      <c r="D127" s="18">
        <v>0</v>
      </c>
      <c r="E127" s="18">
        <v>0</v>
      </c>
      <c r="F127" s="18">
        <v>0</v>
      </c>
      <c r="G127" s="18">
        <v>0</v>
      </c>
      <c r="H127" s="18">
        <v>0</v>
      </c>
      <c r="I127" s="18">
        <v>5.8584398749397602E-2</v>
      </c>
    </row>
    <row r="128" spans="1:9" x14ac:dyDescent="0.35">
      <c r="A128" s="14" t="s">
        <v>201</v>
      </c>
      <c r="B128" s="18">
        <v>8.4644682817704875E-2</v>
      </c>
      <c r="C128" s="18">
        <v>0</v>
      </c>
      <c r="D128" s="23">
        <v>0</v>
      </c>
      <c r="E128" s="25">
        <v>0</v>
      </c>
      <c r="F128" s="18">
        <v>8.4644682817704875E-2</v>
      </c>
      <c r="G128" s="18">
        <v>7.8521658905636824E-2</v>
      </c>
      <c r="H128" s="18">
        <v>7.3737204548033689E-2</v>
      </c>
      <c r="I128" s="18">
        <v>8.9112083885220142E-2</v>
      </c>
    </row>
    <row r="129" spans="1:9" x14ac:dyDescent="0.35">
      <c r="A129" s="14" t="s">
        <v>202</v>
      </c>
      <c r="B129" s="18">
        <v>0</v>
      </c>
      <c r="C129" s="18">
        <v>0</v>
      </c>
      <c r="D129" s="18">
        <v>0</v>
      </c>
      <c r="E129" s="18">
        <v>0</v>
      </c>
      <c r="F129" s="18">
        <v>0</v>
      </c>
      <c r="G129" s="18">
        <v>0</v>
      </c>
      <c r="H129" s="18">
        <v>0</v>
      </c>
      <c r="I129" s="18">
        <v>0</v>
      </c>
    </row>
    <row r="130" spans="1:9" x14ac:dyDescent="0.35">
      <c r="A130" s="14" t="s">
        <v>211</v>
      </c>
      <c r="B130" s="18">
        <v>0</v>
      </c>
      <c r="C130" s="18">
        <v>0</v>
      </c>
      <c r="D130" s="18">
        <v>0</v>
      </c>
      <c r="E130" s="18">
        <v>0</v>
      </c>
      <c r="F130" s="18">
        <v>0</v>
      </c>
      <c r="G130" s="18">
        <v>0</v>
      </c>
      <c r="H130" s="18">
        <v>0</v>
      </c>
      <c r="I130" s="18">
        <v>0</v>
      </c>
    </row>
    <row r="131" spans="1:9" x14ac:dyDescent="0.35">
      <c r="A131" s="14" t="s">
        <v>212</v>
      </c>
      <c r="B131" s="18">
        <v>0</v>
      </c>
      <c r="C131" s="18">
        <v>0</v>
      </c>
      <c r="D131" s="18">
        <v>0</v>
      </c>
      <c r="E131" s="18">
        <v>0</v>
      </c>
      <c r="F131" s="18">
        <v>0</v>
      </c>
      <c r="G131" s="18">
        <v>0</v>
      </c>
      <c r="H131" s="18">
        <v>0</v>
      </c>
      <c r="I131" s="18">
        <v>0</v>
      </c>
    </row>
    <row r="132" spans="1:9" x14ac:dyDescent="0.35">
      <c r="A132" s="14" t="s">
        <v>203</v>
      </c>
      <c r="B132" s="18">
        <v>0</v>
      </c>
      <c r="C132" s="18">
        <v>0</v>
      </c>
      <c r="D132" s="18">
        <v>0</v>
      </c>
      <c r="E132" s="18">
        <v>0</v>
      </c>
      <c r="F132" s="18">
        <v>0</v>
      </c>
      <c r="G132" s="18">
        <v>0</v>
      </c>
      <c r="H132" s="18">
        <v>0</v>
      </c>
      <c r="I132" s="18">
        <v>0</v>
      </c>
    </row>
    <row r="133" spans="1:9" x14ac:dyDescent="0.35">
      <c r="A133" s="14" t="s">
        <v>204</v>
      </c>
      <c r="B133" s="18">
        <v>0</v>
      </c>
      <c r="C133" s="18">
        <v>0</v>
      </c>
      <c r="D133" s="18">
        <v>0</v>
      </c>
      <c r="E133" s="18">
        <v>0</v>
      </c>
      <c r="F133" s="18">
        <v>0</v>
      </c>
      <c r="G133" s="18">
        <v>0</v>
      </c>
      <c r="H133" s="18">
        <v>0</v>
      </c>
      <c r="I133" s="18">
        <v>0</v>
      </c>
    </row>
    <row r="134" spans="1:9" x14ac:dyDescent="0.35">
      <c r="A134" s="14" t="s">
        <v>213</v>
      </c>
      <c r="B134" s="1">
        <f>(B120-B122)*100</f>
        <v>46.157141291856405</v>
      </c>
      <c r="C134" s="1">
        <f t="shared" ref="C134:F134" si="5">(C120-C122)*100</f>
        <v>43.136447620442055</v>
      </c>
      <c r="D134" s="1">
        <f t="shared" si="5"/>
        <v>62.215747965147941</v>
      </c>
      <c r="E134" s="1">
        <f t="shared" si="5"/>
        <v>59.672575827457486</v>
      </c>
      <c r="F134" s="1">
        <f t="shared" si="5"/>
        <v>46.157141291856405</v>
      </c>
      <c r="G134" s="1">
        <v>50.052023999067728</v>
      </c>
      <c r="H134" s="1">
        <v>47.002271514635623</v>
      </c>
      <c r="I134" s="1">
        <v>46.946124073044203</v>
      </c>
    </row>
    <row r="136" spans="1:9" x14ac:dyDescent="0.35">
      <c r="C136" s="187"/>
      <c r="D136" s="187"/>
      <c r="E136" s="187"/>
      <c r="F136" s="187"/>
      <c r="G136" s="170"/>
      <c r="H136" s="170"/>
      <c r="I136" s="170"/>
    </row>
    <row r="137" spans="1:9" ht="29" x14ac:dyDescent="0.35">
      <c r="A137" s="12" t="s">
        <v>480</v>
      </c>
      <c r="B137" s="13" t="s">
        <v>208</v>
      </c>
      <c r="C137" s="13" t="s">
        <v>458</v>
      </c>
      <c r="D137" s="13" t="s">
        <v>466</v>
      </c>
      <c r="E137" s="13" t="s">
        <v>467</v>
      </c>
      <c r="F137" s="13" t="s">
        <v>468</v>
      </c>
      <c r="G137" s="13" t="s">
        <v>634</v>
      </c>
      <c r="H137" s="13" t="s">
        <v>641</v>
      </c>
      <c r="I137" s="13" t="s">
        <v>647</v>
      </c>
    </row>
    <row r="138" spans="1:9" x14ac:dyDescent="0.35">
      <c r="A138" s="14" t="s">
        <v>209</v>
      </c>
      <c r="B138" s="15">
        <v>14</v>
      </c>
      <c r="C138" s="15">
        <v>5</v>
      </c>
      <c r="D138" s="15">
        <v>8</v>
      </c>
      <c r="E138" s="15">
        <v>12</v>
      </c>
      <c r="F138" s="15">
        <v>14</v>
      </c>
      <c r="G138" s="15">
        <v>19</v>
      </c>
      <c r="H138" s="15">
        <v>25</v>
      </c>
      <c r="I138" s="15">
        <v>25</v>
      </c>
    </row>
    <row r="139" spans="1:9" x14ac:dyDescent="0.35">
      <c r="A139" s="16" t="s">
        <v>336</v>
      </c>
      <c r="B139" s="17">
        <v>0.56956407147350452</v>
      </c>
      <c r="C139" s="149">
        <v>1</v>
      </c>
      <c r="D139" s="17">
        <v>0.73430851749425508</v>
      </c>
      <c r="E139" s="17">
        <v>0.48165378629754579</v>
      </c>
      <c r="F139" s="17">
        <v>0.56956407147350452</v>
      </c>
      <c r="G139" s="17">
        <v>0.59002957287507585</v>
      </c>
      <c r="H139" s="17">
        <v>0.44970511466623242</v>
      </c>
      <c r="I139" s="155">
        <v>0.46474771279309518</v>
      </c>
    </row>
    <row r="140" spans="1:9" x14ac:dyDescent="0.35">
      <c r="A140" s="16" t="s">
        <v>194</v>
      </c>
      <c r="B140" s="17">
        <v>0.28824030902870501</v>
      </c>
      <c r="C140" s="154">
        <v>0</v>
      </c>
      <c r="D140" s="17">
        <v>0.12863973337269319</v>
      </c>
      <c r="E140" s="17">
        <v>0.34710920469144291</v>
      </c>
      <c r="F140" s="17">
        <v>0.28824030902870512</v>
      </c>
      <c r="G140" s="17">
        <v>0.25009099359306958</v>
      </c>
      <c r="H140" s="17">
        <v>0.38450076842252279</v>
      </c>
      <c r="I140" s="153">
        <v>0.37399023908089191</v>
      </c>
    </row>
    <row r="141" spans="1:9" x14ac:dyDescent="0.35">
      <c r="A141" s="16" t="s">
        <v>195</v>
      </c>
      <c r="B141" s="17">
        <v>0.14219561949779039</v>
      </c>
      <c r="C141" s="17">
        <v>0</v>
      </c>
      <c r="D141" s="17">
        <v>0.13705174913305179</v>
      </c>
      <c r="E141" s="17">
        <v>0.17123700901101141</v>
      </c>
      <c r="F141" s="17">
        <v>0.14219561949779039</v>
      </c>
      <c r="G141" s="17">
        <v>0.15987943353185441</v>
      </c>
      <c r="H141" s="17">
        <v>0.16579411691124479</v>
      </c>
      <c r="I141" s="17">
        <v>0.1612620481260128</v>
      </c>
    </row>
    <row r="142" spans="1:9" x14ac:dyDescent="0.35">
      <c r="A142" s="14" t="s">
        <v>210</v>
      </c>
      <c r="B142" s="18">
        <v>0.24329227013317151</v>
      </c>
      <c r="C142" s="18">
        <v>0.21348427668868569</v>
      </c>
      <c r="D142" s="18">
        <v>0.1352978679491135</v>
      </c>
      <c r="E142" s="24">
        <v>8.8745709498304626E-2</v>
      </c>
      <c r="F142" s="18">
        <v>0.24329227013317151</v>
      </c>
      <c r="G142" s="18">
        <v>0.24033686962952161</v>
      </c>
      <c r="H142" s="18">
        <v>0.1831784786457657</v>
      </c>
      <c r="I142" s="18">
        <v>0.23053039179712551</v>
      </c>
    </row>
    <row r="143" spans="1:9" x14ac:dyDescent="0.35">
      <c r="A143" s="14" t="s">
        <v>197</v>
      </c>
      <c r="B143" s="18">
        <v>0.32627180134033301</v>
      </c>
      <c r="C143" s="22">
        <v>0.78651572331131414</v>
      </c>
      <c r="D143" s="19">
        <v>0.5990106495451416</v>
      </c>
      <c r="E143" s="18">
        <v>0.39290807679924122</v>
      </c>
      <c r="F143" s="18">
        <v>0.32627180134033312</v>
      </c>
      <c r="G143" s="18">
        <v>0.34969270324555418</v>
      </c>
      <c r="H143" s="18">
        <v>0.26652663602046661</v>
      </c>
      <c r="I143" s="21">
        <v>0.2342173209959697</v>
      </c>
    </row>
    <row r="144" spans="1:9" x14ac:dyDescent="0.35">
      <c r="A144" s="14" t="s">
        <v>198</v>
      </c>
      <c r="B144" s="18">
        <v>0.2208311614225057</v>
      </c>
      <c r="C144" s="18">
        <v>0</v>
      </c>
      <c r="D144" s="18">
        <v>0.12863973337269319</v>
      </c>
      <c r="E144" s="18">
        <v>0.26593271798365992</v>
      </c>
      <c r="F144" s="18">
        <v>0.2208311614225057</v>
      </c>
      <c r="G144" s="25">
        <v>0.20027027771482109</v>
      </c>
      <c r="H144" s="18">
        <v>0.30933755480946112</v>
      </c>
      <c r="I144" s="18">
        <v>0.30088165117204518</v>
      </c>
    </row>
    <row r="145" spans="1:9" x14ac:dyDescent="0.35">
      <c r="A145" s="14" t="s">
        <v>199</v>
      </c>
      <c r="B145" s="18">
        <v>6.7409147606199343E-2</v>
      </c>
      <c r="C145" s="18">
        <v>0</v>
      </c>
      <c r="D145" s="18">
        <v>0</v>
      </c>
      <c r="E145" s="18">
        <v>8.1176486707783005E-2</v>
      </c>
      <c r="F145" s="18">
        <v>6.7409147606199357E-2</v>
      </c>
      <c r="G145" s="18">
        <v>4.9820715878248448E-2</v>
      </c>
      <c r="H145" s="25">
        <v>7.5163213613061802E-2</v>
      </c>
      <c r="I145" s="18">
        <v>7.3108587908846737E-2</v>
      </c>
    </row>
    <row r="146" spans="1:9" x14ac:dyDescent="0.35">
      <c r="A146" s="14" t="s">
        <v>200</v>
      </c>
      <c r="B146" s="18">
        <v>0.14219561949779039</v>
      </c>
      <c r="C146" s="18">
        <v>0</v>
      </c>
      <c r="D146" s="18">
        <v>0.13705174913305179</v>
      </c>
      <c r="E146" s="18">
        <v>0.17123700901101141</v>
      </c>
      <c r="F146" s="18">
        <v>0.14219561949779039</v>
      </c>
      <c r="G146" s="18">
        <v>0.10509386054719121</v>
      </c>
      <c r="H146" s="18">
        <v>8.0099792926986116E-2</v>
      </c>
      <c r="I146" s="18">
        <v>7.7910223248694857E-2</v>
      </c>
    </row>
    <row r="147" spans="1:9" x14ac:dyDescent="0.35">
      <c r="A147" s="14" t="s">
        <v>201</v>
      </c>
      <c r="B147" s="18">
        <v>0</v>
      </c>
      <c r="C147" s="18">
        <v>0</v>
      </c>
      <c r="D147" s="18">
        <v>0</v>
      </c>
      <c r="E147" s="18">
        <v>0</v>
      </c>
      <c r="F147" s="18">
        <v>0</v>
      </c>
      <c r="G147" s="18">
        <v>0</v>
      </c>
      <c r="H147" s="18">
        <v>0</v>
      </c>
      <c r="I147" s="18">
        <v>0</v>
      </c>
    </row>
    <row r="148" spans="1:9" x14ac:dyDescent="0.35">
      <c r="A148" s="14" t="s">
        <v>202</v>
      </c>
      <c r="B148" s="18">
        <v>0</v>
      </c>
      <c r="C148" s="18">
        <v>0</v>
      </c>
      <c r="D148" s="18">
        <v>0</v>
      </c>
      <c r="E148" s="18">
        <v>0</v>
      </c>
      <c r="F148" s="18">
        <v>0</v>
      </c>
      <c r="G148" s="18">
        <v>0</v>
      </c>
      <c r="H148" s="18">
        <v>0</v>
      </c>
      <c r="I148" s="18">
        <v>0</v>
      </c>
    </row>
    <row r="149" spans="1:9" x14ac:dyDescent="0.35">
      <c r="A149" s="14" t="s">
        <v>211</v>
      </c>
      <c r="B149" s="18">
        <v>0</v>
      </c>
      <c r="C149" s="18">
        <v>0</v>
      </c>
      <c r="D149" s="18">
        <v>0</v>
      </c>
      <c r="E149" s="18">
        <v>0</v>
      </c>
      <c r="F149" s="18">
        <v>0</v>
      </c>
      <c r="G149" s="18">
        <v>0</v>
      </c>
      <c r="H149" s="18">
        <v>4.393819257363938E-2</v>
      </c>
      <c r="I149" s="18">
        <v>4.2737119129343977E-2</v>
      </c>
    </row>
    <row r="150" spans="1:9" x14ac:dyDescent="0.35">
      <c r="A150" s="14" t="s">
        <v>212</v>
      </c>
      <c r="B150" s="18">
        <v>0</v>
      </c>
      <c r="C150" s="18">
        <v>0</v>
      </c>
      <c r="D150" s="18">
        <v>0</v>
      </c>
      <c r="E150" s="18">
        <v>0</v>
      </c>
      <c r="F150" s="18">
        <v>0</v>
      </c>
      <c r="G150" s="18">
        <v>0</v>
      </c>
      <c r="H150" s="18">
        <v>0</v>
      </c>
      <c r="I150" s="18">
        <v>0</v>
      </c>
    </row>
    <row r="151" spans="1:9" x14ac:dyDescent="0.35">
      <c r="A151" s="14" t="s">
        <v>203</v>
      </c>
      <c r="B151" s="18">
        <v>0</v>
      </c>
      <c r="C151" s="18">
        <v>0</v>
      </c>
      <c r="D151" s="18">
        <v>0</v>
      </c>
      <c r="E151" s="18">
        <v>0</v>
      </c>
      <c r="F151" s="18">
        <v>0</v>
      </c>
      <c r="G151" s="18">
        <v>0</v>
      </c>
      <c r="H151" s="18">
        <v>0</v>
      </c>
      <c r="I151" s="18">
        <v>0</v>
      </c>
    </row>
    <row r="152" spans="1:9" x14ac:dyDescent="0.35">
      <c r="A152" s="14" t="s">
        <v>204</v>
      </c>
      <c r="B152" s="18">
        <v>0</v>
      </c>
      <c r="C152" s="18">
        <v>0</v>
      </c>
      <c r="D152" s="18">
        <v>0</v>
      </c>
      <c r="E152" s="18">
        <v>0</v>
      </c>
      <c r="F152" s="18">
        <v>0</v>
      </c>
      <c r="G152" s="18">
        <v>5.4785572984663251E-2</v>
      </c>
      <c r="H152" s="18">
        <v>4.175613141061927E-2</v>
      </c>
      <c r="I152" s="18">
        <v>4.0614705747973961E-2</v>
      </c>
    </row>
    <row r="153" spans="1:9" x14ac:dyDescent="0.35">
      <c r="A153" s="14" t="s">
        <v>213</v>
      </c>
      <c r="B153" s="1">
        <f>(B139-B141)*100</f>
        <v>42.736845197571412</v>
      </c>
      <c r="C153" s="1">
        <f t="shared" ref="C153:F153" si="6">(C139-C141)*100</f>
        <v>100</v>
      </c>
      <c r="D153" s="1">
        <f t="shared" si="6"/>
        <v>59.725676836120336</v>
      </c>
      <c r="E153" s="1">
        <f t="shared" si="6"/>
        <v>31.04167772865344</v>
      </c>
      <c r="F153" s="1">
        <f t="shared" si="6"/>
        <v>42.736845197571412</v>
      </c>
      <c r="G153" s="1">
        <v>43.015013934322148</v>
      </c>
      <c r="H153" s="1">
        <v>28.391099775498759</v>
      </c>
      <c r="I153" s="1">
        <v>30.348566466708242</v>
      </c>
    </row>
    <row r="155" spans="1:9" x14ac:dyDescent="0.35">
      <c r="C155" s="187"/>
      <c r="D155" s="187"/>
      <c r="E155" s="187"/>
      <c r="F155" s="187"/>
      <c r="G155" s="170"/>
      <c r="H155" s="170"/>
      <c r="I155" s="170"/>
    </row>
    <row r="156" spans="1:9" ht="29" x14ac:dyDescent="0.35">
      <c r="A156" s="12" t="s">
        <v>481</v>
      </c>
      <c r="B156" s="13" t="s">
        <v>208</v>
      </c>
      <c r="C156" s="13" t="s">
        <v>458</v>
      </c>
      <c r="D156" s="13" t="s">
        <v>466</v>
      </c>
      <c r="E156" s="13" t="s">
        <v>467</v>
      </c>
      <c r="F156" s="13" t="s">
        <v>468</v>
      </c>
      <c r="G156" s="13" t="s">
        <v>634</v>
      </c>
      <c r="H156" s="13" t="s">
        <v>641</v>
      </c>
      <c r="I156" s="13" t="s">
        <v>647</v>
      </c>
    </row>
    <row r="157" spans="1:9" x14ac:dyDescent="0.35">
      <c r="A157" s="14" t="s">
        <v>209</v>
      </c>
      <c r="B157" s="15">
        <v>23</v>
      </c>
      <c r="C157" s="15">
        <v>8</v>
      </c>
      <c r="D157" s="15">
        <v>12</v>
      </c>
      <c r="E157" s="15">
        <v>16</v>
      </c>
      <c r="F157" s="15">
        <v>23</v>
      </c>
      <c r="G157" s="15">
        <v>25</v>
      </c>
      <c r="H157" s="15">
        <v>31</v>
      </c>
      <c r="I157" s="15">
        <v>26</v>
      </c>
    </row>
    <row r="158" spans="1:9" x14ac:dyDescent="0.35">
      <c r="A158" s="16" t="s">
        <v>336</v>
      </c>
      <c r="B158" s="17">
        <v>0.59005233329754769</v>
      </c>
      <c r="C158" s="17">
        <v>0.72727712363088548</v>
      </c>
      <c r="D158" s="17">
        <v>0.76279652388490871</v>
      </c>
      <c r="E158" s="17">
        <v>0.56804677863019748</v>
      </c>
      <c r="F158" s="17">
        <v>0.59005233329754769</v>
      </c>
      <c r="G158" s="17">
        <v>0.5788121733457241</v>
      </c>
      <c r="H158" s="17">
        <v>0.55776900262929285</v>
      </c>
      <c r="I158" s="17">
        <v>0.47365908820653208</v>
      </c>
    </row>
    <row r="159" spans="1:9" x14ac:dyDescent="0.35">
      <c r="A159" s="16" t="s">
        <v>194</v>
      </c>
      <c r="B159" s="17">
        <v>0.35834756586774469</v>
      </c>
      <c r="C159" s="17">
        <v>0.27272287636911458</v>
      </c>
      <c r="D159" s="17">
        <v>0.23720347611509129</v>
      </c>
      <c r="E159" s="17">
        <v>0.43195322136980269</v>
      </c>
      <c r="F159" s="152">
        <v>0.35834756586774469</v>
      </c>
      <c r="G159" s="17">
        <v>0.33209970607870992</v>
      </c>
      <c r="H159" s="17">
        <v>0.33382551038702962</v>
      </c>
      <c r="I159" s="17">
        <v>0.30876429489658552</v>
      </c>
    </row>
    <row r="160" spans="1:9" x14ac:dyDescent="0.35">
      <c r="A160" s="16" t="s">
        <v>195</v>
      </c>
      <c r="B160" s="17">
        <v>5.1600100834707591E-2</v>
      </c>
      <c r="C160" s="17">
        <v>0</v>
      </c>
      <c r="D160" s="17">
        <v>0</v>
      </c>
      <c r="E160" s="17">
        <v>0</v>
      </c>
      <c r="F160" s="17">
        <v>5.1600100834707591E-2</v>
      </c>
      <c r="G160" s="17">
        <v>8.9088120575566018E-2</v>
      </c>
      <c r="H160" s="17">
        <v>0.1084054869836775</v>
      </c>
      <c r="I160" s="17">
        <v>0.21757661689688229</v>
      </c>
    </row>
    <row r="161" spans="1:9" x14ac:dyDescent="0.35">
      <c r="A161" s="14" t="s">
        <v>210</v>
      </c>
      <c r="B161" s="18">
        <v>0.30150153762917609</v>
      </c>
      <c r="C161" s="18">
        <v>0.44346106651096029</v>
      </c>
      <c r="D161" s="19">
        <v>0.49623891663809622</v>
      </c>
      <c r="E161" s="18">
        <v>0.36954405165818632</v>
      </c>
      <c r="F161" s="18">
        <v>0.30150153762917609</v>
      </c>
      <c r="G161" s="18">
        <v>0.31139683818586111</v>
      </c>
      <c r="H161" s="18">
        <v>0.34428652372830232</v>
      </c>
      <c r="I161" s="18">
        <v>0.30827299701367739</v>
      </c>
    </row>
    <row r="162" spans="1:9" x14ac:dyDescent="0.35">
      <c r="A162" s="14" t="s">
        <v>197</v>
      </c>
      <c r="B162" s="18">
        <v>0.2885507956683715</v>
      </c>
      <c r="C162" s="18">
        <v>0.28381605711992519</v>
      </c>
      <c r="D162" s="18">
        <v>0.2665576072468126</v>
      </c>
      <c r="E162" s="18">
        <v>0.19850272697201121</v>
      </c>
      <c r="F162" s="25">
        <v>0.2885507956683715</v>
      </c>
      <c r="G162" s="25">
        <v>0.26741533515986299</v>
      </c>
      <c r="H162" s="25">
        <v>0.21348247890099059</v>
      </c>
      <c r="I162" s="18">
        <v>0.16538609119285469</v>
      </c>
    </row>
    <row r="163" spans="1:9" x14ac:dyDescent="0.35">
      <c r="A163" s="14" t="s">
        <v>198</v>
      </c>
      <c r="B163" s="18">
        <v>7.9495143243475383E-2</v>
      </c>
      <c r="C163" s="18">
        <v>0.124912548390982</v>
      </c>
      <c r="D163" s="18">
        <v>8.4811255159135721E-2</v>
      </c>
      <c r="E163" s="18">
        <v>0.1181303059404413</v>
      </c>
      <c r="F163" s="18">
        <v>7.9495143243475383E-2</v>
      </c>
      <c r="G163" s="18">
        <v>7.3672367892089086E-2</v>
      </c>
      <c r="H163" s="18">
        <v>5.8813978318433928E-2</v>
      </c>
      <c r="I163" s="18">
        <v>3.186854399185296E-2</v>
      </c>
    </row>
    <row r="164" spans="1:9" x14ac:dyDescent="0.35">
      <c r="A164" s="14" t="s">
        <v>199</v>
      </c>
      <c r="B164" s="18">
        <v>0.27885242262426929</v>
      </c>
      <c r="C164" s="18">
        <v>0.14781032797813259</v>
      </c>
      <c r="D164" s="18">
        <v>0.15239222095595559</v>
      </c>
      <c r="E164" s="18">
        <v>0.31382291542936142</v>
      </c>
      <c r="F164" s="18">
        <v>0.27885242262426929</v>
      </c>
      <c r="G164" s="18">
        <v>0.25842733818662078</v>
      </c>
      <c r="H164" s="18">
        <v>0.27501153206859569</v>
      </c>
      <c r="I164" s="18">
        <v>0.27689575090473262</v>
      </c>
    </row>
    <row r="165" spans="1:9" x14ac:dyDescent="0.35">
      <c r="A165" s="14" t="s">
        <v>200</v>
      </c>
      <c r="B165" s="18">
        <v>5.1600100834707591E-2</v>
      </c>
      <c r="C165" s="18">
        <v>0</v>
      </c>
      <c r="D165" s="18">
        <v>0</v>
      </c>
      <c r="E165" s="18">
        <v>0</v>
      </c>
      <c r="F165" s="18">
        <v>5.1600100834707591E-2</v>
      </c>
      <c r="G165" s="18">
        <v>4.782055175773875E-2</v>
      </c>
      <c r="H165" s="18">
        <v>7.5460843460596269E-2</v>
      </c>
      <c r="I165" s="18">
        <v>0.14184178671171349</v>
      </c>
    </row>
    <row r="166" spans="1:9" x14ac:dyDescent="0.35">
      <c r="A166" s="14" t="s">
        <v>201</v>
      </c>
      <c r="B166" s="18">
        <v>0</v>
      </c>
      <c r="C166" s="18">
        <v>0</v>
      </c>
      <c r="D166" s="18">
        <v>0</v>
      </c>
      <c r="E166" s="18">
        <v>0</v>
      </c>
      <c r="F166" s="18">
        <v>0</v>
      </c>
      <c r="G166" s="18">
        <v>4.1267568817827262E-2</v>
      </c>
      <c r="H166" s="18">
        <v>3.2944643523081261E-2</v>
      </c>
      <c r="I166" s="18">
        <v>7.5734830185168744E-2</v>
      </c>
    </row>
    <row r="167" spans="1:9" x14ac:dyDescent="0.35">
      <c r="A167" s="14" t="s">
        <v>202</v>
      </c>
      <c r="B167" s="18">
        <v>0</v>
      </c>
      <c r="C167" s="18">
        <v>0</v>
      </c>
      <c r="D167" s="18">
        <v>0</v>
      </c>
      <c r="E167" s="18">
        <v>0</v>
      </c>
      <c r="F167" s="18">
        <v>0</v>
      </c>
      <c r="G167" s="18">
        <v>0</v>
      </c>
      <c r="H167" s="18">
        <v>0</v>
      </c>
      <c r="I167" s="18">
        <v>0</v>
      </c>
    </row>
    <row r="168" spans="1:9" x14ac:dyDescent="0.35">
      <c r="A168" s="14" t="s">
        <v>211</v>
      </c>
      <c r="B168" s="18">
        <v>0</v>
      </c>
      <c r="C168" s="18">
        <v>0</v>
      </c>
      <c r="D168" s="18">
        <v>0</v>
      </c>
      <c r="E168" s="18">
        <v>0</v>
      </c>
      <c r="F168" s="18">
        <v>0</v>
      </c>
      <c r="G168" s="18">
        <v>0</v>
      </c>
      <c r="H168" s="18">
        <v>0</v>
      </c>
      <c r="I168" s="18">
        <v>0</v>
      </c>
    </row>
    <row r="169" spans="1:9" x14ac:dyDescent="0.35">
      <c r="A169" s="14" t="s">
        <v>212</v>
      </c>
      <c r="B169" s="18">
        <v>0</v>
      </c>
      <c r="C169" s="18">
        <v>0</v>
      </c>
      <c r="D169" s="18">
        <v>0</v>
      </c>
      <c r="E169" s="18">
        <v>0</v>
      </c>
      <c r="F169" s="18">
        <v>0</v>
      </c>
      <c r="G169" s="18">
        <v>0</v>
      </c>
      <c r="H169" s="18">
        <v>0</v>
      </c>
      <c r="I169" s="18">
        <v>0</v>
      </c>
    </row>
    <row r="170" spans="1:9" x14ac:dyDescent="0.35">
      <c r="A170" s="14" t="s">
        <v>203</v>
      </c>
      <c r="B170" s="18">
        <v>0</v>
      </c>
      <c r="C170" s="18">
        <v>0</v>
      </c>
      <c r="D170" s="18">
        <v>0</v>
      </c>
      <c r="E170" s="18">
        <v>0</v>
      </c>
      <c r="F170" s="18">
        <v>0</v>
      </c>
      <c r="G170" s="18">
        <v>0</v>
      </c>
      <c r="H170" s="18">
        <v>0</v>
      </c>
      <c r="I170" s="18">
        <v>0</v>
      </c>
    </row>
    <row r="171" spans="1:9" x14ac:dyDescent="0.35">
      <c r="A171" s="14" t="s">
        <v>204</v>
      </c>
      <c r="B171" s="18">
        <v>0</v>
      </c>
      <c r="C171" s="18">
        <v>0</v>
      </c>
      <c r="D171" s="18">
        <v>0</v>
      </c>
      <c r="E171" s="18">
        <v>0</v>
      </c>
      <c r="F171" s="18">
        <v>0</v>
      </c>
      <c r="G171" s="18">
        <v>0</v>
      </c>
      <c r="H171" s="18">
        <v>0</v>
      </c>
      <c r="I171" s="18">
        <v>0</v>
      </c>
    </row>
    <row r="172" spans="1:9" x14ac:dyDescent="0.35">
      <c r="A172" s="14" t="s">
        <v>213</v>
      </c>
      <c r="B172" s="1">
        <f>(B158-B160)*100</f>
        <v>53.845223246284014</v>
      </c>
      <c r="C172" s="1">
        <f t="shared" ref="C172:F172" si="7">(C158-C160)*100</f>
        <v>72.727712363088543</v>
      </c>
      <c r="D172" s="1">
        <f t="shared" si="7"/>
        <v>76.279652388490874</v>
      </c>
      <c r="E172" s="1">
        <f t="shared" si="7"/>
        <v>56.804677863019748</v>
      </c>
      <c r="F172" s="1">
        <f t="shared" si="7"/>
        <v>53.845223246284014</v>
      </c>
      <c r="G172" s="1">
        <v>48.97240527701581</v>
      </c>
      <c r="H172" s="1">
        <v>44.936351564561527</v>
      </c>
      <c r="I172" s="1">
        <v>25.60824713096499</v>
      </c>
    </row>
    <row r="174" spans="1:9" x14ac:dyDescent="0.35">
      <c r="C174" s="187"/>
      <c r="D174" s="187"/>
      <c r="E174" s="187"/>
      <c r="F174" s="187"/>
      <c r="G174" s="170"/>
      <c r="H174" s="170"/>
      <c r="I174" s="170"/>
    </row>
    <row r="175" spans="1:9" ht="29" x14ac:dyDescent="0.35">
      <c r="A175" s="12" t="s">
        <v>482</v>
      </c>
      <c r="B175" s="13" t="s">
        <v>208</v>
      </c>
      <c r="C175" s="13" t="s">
        <v>458</v>
      </c>
      <c r="D175" s="13" t="s">
        <v>466</v>
      </c>
      <c r="E175" s="13" t="s">
        <v>467</v>
      </c>
      <c r="F175" s="13" t="s">
        <v>468</v>
      </c>
      <c r="G175" s="13" t="s">
        <v>634</v>
      </c>
      <c r="H175" s="13" t="s">
        <v>641</v>
      </c>
      <c r="I175" s="13" t="s">
        <v>647</v>
      </c>
    </row>
    <row r="176" spans="1:9" x14ac:dyDescent="0.35">
      <c r="A176" s="14" t="s">
        <v>209</v>
      </c>
      <c r="B176" s="15">
        <v>28</v>
      </c>
      <c r="C176" s="15">
        <v>12</v>
      </c>
      <c r="D176" s="15">
        <v>19</v>
      </c>
      <c r="E176" s="15">
        <v>23</v>
      </c>
      <c r="F176" s="15">
        <v>28</v>
      </c>
      <c r="G176" s="15">
        <v>34</v>
      </c>
      <c r="H176" s="15">
        <v>43</v>
      </c>
      <c r="I176" s="15">
        <v>40</v>
      </c>
    </row>
    <row r="177" spans="1:9" x14ac:dyDescent="0.35">
      <c r="A177" s="16" t="s">
        <v>336</v>
      </c>
      <c r="B177" s="17">
        <v>0.52150441861745411</v>
      </c>
      <c r="C177" s="17">
        <v>0.67039574191123386</v>
      </c>
      <c r="D177" s="17">
        <v>0.58822070987090469</v>
      </c>
      <c r="E177" s="17">
        <v>0.52705981015685943</v>
      </c>
      <c r="F177" s="17">
        <v>0.52150441861745422</v>
      </c>
      <c r="G177" s="17">
        <v>0.57425786500663578</v>
      </c>
      <c r="H177" s="17">
        <v>0.54005018708591634</v>
      </c>
      <c r="I177" s="17">
        <v>0.4461868484940707</v>
      </c>
    </row>
    <row r="178" spans="1:9" x14ac:dyDescent="0.35">
      <c r="A178" s="16" t="s">
        <v>194</v>
      </c>
      <c r="B178" s="17">
        <v>0.47849558138254578</v>
      </c>
      <c r="C178" s="17">
        <v>0.32960425808876598</v>
      </c>
      <c r="D178" s="17">
        <v>0.41177929012909542</v>
      </c>
      <c r="E178" s="17">
        <v>0.47294018984314068</v>
      </c>
      <c r="F178" s="17">
        <v>0.47849558138254589</v>
      </c>
      <c r="G178" s="17">
        <v>0.42574213499336422</v>
      </c>
      <c r="H178" s="17">
        <v>0.41235409366369669</v>
      </c>
      <c r="I178" s="17">
        <v>0.46093694763000059</v>
      </c>
    </row>
    <row r="179" spans="1:9" x14ac:dyDescent="0.35">
      <c r="A179" s="16" t="s">
        <v>195</v>
      </c>
      <c r="B179" s="17">
        <v>0</v>
      </c>
      <c r="C179" s="17">
        <v>0</v>
      </c>
      <c r="D179" s="17">
        <v>0</v>
      </c>
      <c r="E179" s="17">
        <v>0</v>
      </c>
      <c r="F179" s="17">
        <v>0</v>
      </c>
      <c r="G179" s="17">
        <v>0</v>
      </c>
      <c r="H179" s="17">
        <v>4.7595719250387122E-2</v>
      </c>
      <c r="I179" s="17">
        <v>9.2876203875928542E-2</v>
      </c>
    </row>
    <row r="180" spans="1:9" x14ac:dyDescent="0.35">
      <c r="A180" s="14" t="s">
        <v>210</v>
      </c>
      <c r="B180" s="18">
        <v>0.37187405739856871</v>
      </c>
      <c r="C180" s="18">
        <v>0.49099074990061309</v>
      </c>
      <c r="D180" s="18">
        <v>0.47199703648717251</v>
      </c>
      <c r="E180" s="18">
        <v>0.38642099580568351</v>
      </c>
      <c r="F180" s="18">
        <v>0.37187405739856871</v>
      </c>
      <c r="G180" s="18">
        <v>0.39361825084825758</v>
      </c>
      <c r="H180" s="18">
        <v>0.35117309349776898</v>
      </c>
      <c r="I180" s="18">
        <v>0.28610152685167273</v>
      </c>
    </row>
    <row r="181" spans="1:9" x14ac:dyDescent="0.35">
      <c r="A181" s="14" t="s">
        <v>197</v>
      </c>
      <c r="B181" s="18">
        <v>0.14963036121888551</v>
      </c>
      <c r="C181" s="18">
        <v>0.1794049920106208</v>
      </c>
      <c r="D181" s="18">
        <v>0.1162236733837322</v>
      </c>
      <c r="E181" s="18">
        <v>0.14063881435117589</v>
      </c>
      <c r="F181" s="18">
        <v>0.14963036121888551</v>
      </c>
      <c r="G181" s="18">
        <v>0.1806396141583782</v>
      </c>
      <c r="H181" s="18">
        <v>0.1888770935881473</v>
      </c>
      <c r="I181" s="18">
        <v>0.160085321642398</v>
      </c>
    </row>
    <row r="182" spans="1:9" x14ac:dyDescent="0.35">
      <c r="A182" s="14" t="s">
        <v>198</v>
      </c>
      <c r="B182" s="18">
        <v>0.3993055827975745</v>
      </c>
      <c r="C182" s="23">
        <v>0.2239274096854974</v>
      </c>
      <c r="D182" s="23">
        <v>0.29255961431580679</v>
      </c>
      <c r="E182" s="18">
        <v>0.37533579344635581</v>
      </c>
      <c r="F182" s="18">
        <v>0.39930558279757461</v>
      </c>
      <c r="G182" s="18">
        <v>0.36009607984966813</v>
      </c>
      <c r="H182" s="18">
        <v>0.33393768921315692</v>
      </c>
      <c r="I182" s="18">
        <v>0.35118469878322672</v>
      </c>
    </row>
    <row r="183" spans="1:9" x14ac:dyDescent="0.35">
      <c r="A183" s="14" t="s">
        <v>199</v>
      </c>
      <c r="B183" s="18">
        <v>7.9189998584971333E-2</v>
      </c>
      <c r="C183" s="18">
        <v>0.1056768484032687</v>
      </c>
      <c r="D183" s="18">
        <v>0.1192196758132886</v>
      </c>
      <c r="E183" s="18">
        <v>9.760439639678492E-2</v>
      </c>
      <c r="F183" s="18">
        <v>7.9189998584971347E-2</v>
      </c>
      <c r="G183" s="18">
        <v>6.5646055143696092E-2</v>
      </c>
      <c r="H183" s="18">
        <v>7.8416404450539753E-2</v>
      </c>
      <c r="I183" s="18">
        <v>0.1097522488467739</v>
      </c>
    </row>
    <row r="184" spans="1:9" x14ac:dyDescent="0.35">
      <c r="A184" s="14" t="s">
        <v>200</v>
      </c>
      <c r="B184" s="18">
        <v>0</v>
      </c>
      <c r="C184" s="18">
        <v>0</v>
      </c>
      <c r="D184" s="18">
        <v>0</v>
      </c>
      <c r="E184" s="18">
        <v>0</v>
      </c>
      <c r="F184" s="18">
        <v>0</v>
      </c>
      <c r="G184" s="18">
        <v>0</v>
      </c>
      <c r="H184" s="18">
        <v>4.7595719250387122E-2</v>
      </c>
      <c r="I184" s="18">
        <v>7.4660114506947192E-2</v>
      </c>
    </row>
    <row r="185" spans="1:9" x14ac:dyDescent="0.35">
      <c r="A185" s="14" t="s">
        <v>201</v>
      </c>
      <c r="B185" s="18">
        <v>0</v>
      </c>
      <c r="C185" s="18">
        <v>0</v>
      </c>
      <c r="D185" s="18">
        <v>0</v>
      </c>
      <c r="E185" s="18">
        <v>0</v>
      </c>
      <c r="F185" s="18">
        <v>0</v>
      </c>
      <c r="G185" s="18">
        <v>0</v>
      </c>
      <c r="H185" s="18">
        <v>0</v>
      </c>
      <c r="I185" s="18">
        <v>0</v>
      </c>
    </row>
    <row r="186" spans="1:9" x14ac:dyDescent="0.35">
      <c r="A186" s="14" t="s">
        <v>202</v>
      </c>
      <c r="B186" s="18">
        <v>0</v>
      </c>
      <c r="C186" s="18">
        <v>0</v>
      </c>
      <c r="D186" s="18">
        <v>0</v>
      </c>
      <c r="E186" s="18">
        <v>0</v>
      </c>
      <c r="F186" s="18">
        <v>0</v>
      </c>
      <c r="G186" s="18">
        <v>0</v>
      </c>
      <c r="H186" s="18">
        <v>0</v>
      </c>
      <c r="I186" s="18">
        <v>1.821608936898135E-2</v>
      </c>
    </row>
    <row r="187" spans="1:9" x14ac:dyDescent="0.35">
      <c r="A187" s="14" t="s">
        <v>211</v>
      </c>
      <c r="B187" s="18">
        <v>0</v>
      </c>
      <c r="C187" s="18">
        <v>0</v>
      </c>
      <c r="D187" s="18">
        <v>0</v>
      </c>
      <c r="E187" s="18">
        <v>0</v>
      </c>
      <c r="F187" s="18">
        <v>0</v>
      </c>
      <c r="G187" s="18">
        <v>0</v>
      </c>
      <c r="H187" s="18">
        <v>0</v>
      </c>
      <c r="I187" s="18">
        <v>0</v>
      </c>
    </row>
    <row r="188" spans="1:9" x14ac:dyDescent="0.35">
      <c r="A188" s="14" t="s">
        <v>212</v>
      </c>
      <c r="B188" s="18">
        <v>0</v>
      </c>
      <c r="C188" s="18">
        <v>0</v>
      </c>
      <c r="D188" s="18">
        <v>0</v>
      </c>
      <c r="E188" s="18">
        <v>0</v>
      </c>
      <c r="F188" s="18">
        <v>0</v>
      </c>
      <c r="G188" s="18">
        <v>0</v>
      </c>
      <c r="H188" s="18">
        <v>0</v>
      </c>
      <c r="I188" s="18">
        <v>0</v>
      </c>
    </row>
    <row r="189" spans="1:9" x14ac:dyDescent="0.35">
      <c r="A189" s="14" t="s">
        <v>203</v>
      </c>
      <c r="B189" s="18">
        <v>0</v>
      </c>
      <c r="C189" s="18">
        <v>0</v>
      </c>
      <c r="D189" s="18">
        <v>0</v>
      </c>
      <c r="E189" s="18">
        <v>0</v>
      </c>
      <c r="F189" s="18">
        <v>0</v>
      </c>
      <c r="G189" s="18">
        <v>0</v>
      </c>
      <c r="H189" s="18">
        <v>0</v>
      </c>
      <c r="I189" s="18">
        <v>0</v>
      </c>
    </row>
    <row r="190" spans="1:9" x14ac:dyDescent="0.35">
      <c r="A190" s="14" t="s">
        <v>204</v>
      </c>
      <c r="B190" s="18">
        <v>0</v>
      </c>
      <c r="C190" s="18">
        <v>0</v>
      </c>
      <c r="D190" s="18">
        <v>0</v>
      </c>
      <c r="E190" s="18">
        <v>0</v>
      </c>
      <c r="F190" s="18">
        <v>0</v>
      </c>
      <c r="G190" s="18">
        <v>0</v>
      </c>
      <c r="H190" s="18">
        <v>0</v>
      </c>
      <c r="I190" s="18">
        <v>0</v>
      </c>
    </row>
    <row r="191" spans="1:9" x14ac:dyDescent="0.35">
      <c r="A191" s="14" t="s">
        <v>213</v>
      </c>
      <c r="B191" s="1">
        <f>(B177-B179)*100</f>
        <v>52.150441861745414</v>
      </c>
      <c r="C191" s="1">
        <f t="shared" ref="C191:F191" si="8">(C177-C179)*100</f>
        <v>67.039574191123393</v>
      </c>
      <c r="D191" s="1">
        <f t="shared" si="8"/>
        <v>58.82207098709047</v>
      </c>
      <c r="E191" s="1">
        <f t="shared" si="8"/>
        <v>52.705981015685943</v>
      </c>
      <c r="F191" s="1">
        <f t="shared" si="8"/>
        <v>52.150441861745421</v>
      </c>
      <c r="G191" s="1">
        <v>57.425786500663577</v>
      </c>
      <c r="H191" s="1">
        <v>49.245446783552907</v>
      </c>
      <c r="I191" s="1">
        <v>35.331064461814208</v>
      </c>
    </row>
    <row r="193" spans="1:9" x14ac:dyDescent="0.35">
      <c r="C193" s="187"/>
      <c r="D193" s="187"/>
      <c r="E193" s="187"/>
      <c r="F193" s="187"/>
      <c r="G193" s="170"/>
      <c r="H193" s="170"/>
      <c r="I193" s="170"/>
    </row>
    <row r="194" spans="1:9" ht="29" x14ac:dyDescent="0.35">
      <c r="A194" s="12" t="s">
        <v>483</v>
      </c>
      <c r="B194" s="13" t="s">
        <v>208</v>
      </c>
      <c r="C194" s="13" t="s">
        <v>458</v>
      </c>
      <c r="D194" s="13" t="s">
        <v>466</v>
      </c>
      <c r="E194" s="13" t="s">
        <v>467</v>
      </c>
      <c r="F194" s="13" t="s">
        <v>468</v>
      </c>
      <c r="G194" s="13" t="s">
        <v>634</v>
      </c>
      <c r="H194" s="13" t="s">
        <v>641</v>
      </c>
      <c r="I194" s="13" t="s">
        <v>647</v>
      </c>
    </row>
    <row r="195" spans="1:9" x14ac:dyDescent="0.35">
      <c r="A195" s="14" t="s">
        <v>209</v>
      </c>
      <c r="B195" s="15">
        <v>45</v>
      </c>
      <c r="C195" s="15">
        <v>22</v>
      </c>
      <c r="D195" s="15">
        <v>29</v>
      </c>
      <c r="E195" s="15">
        <v>38</v>
      </c>
      <c r="F195" s="15">
        <v>45</v>
      </c>
      <c r="G195" s="15">
        <v>53</v>
      </c>
      <c r="H195" s="15">
        <v>67</v>
      </c>
      <c r="I195" s="15">
        <v>49</v>
      </c>
    </row>
    <row r="196" spans="1:9" x14ac:dyDescent="0.35">
      <c r="A196" s="16" t="s">
        <v>336</v>
      </c>
      <c r="B196" s="17">
        <v>0.71740371917794632</v>
      </c>
      <c r="C196" s="17">
        <v>0.73621982987457213</v>
      </c>
      <c r="D196" s="17">
        <v>0.65691143692433673</v>
      </c>
      <c r="E196" s="17">
        <v>0.71835997120750206</v>
      </c>
      <c r="F196" s="17">
        <v>0.71740371917794643</v>
      </c>
      <c r="G196" s="17">
        <v>0.742212808017506</v>
      </c>
      <c r="H196" s="17">
        <v>0.7319924888503575</v>
      </c>
      <c r="I196" s="17">
        <v>0.7288421491678958</v>
      </c>
    </row>
    <row r="197" spans="1:9" x14ac:dyDescent="0.35">
      <c r="A197" s="16" t="s">
        <v>194</v>
      </c>
      <c r="B197" s="17">
        <v>0.25275935154606888</v>
      </c>
      <c r="C197" s="17">
        <v>0.24781972873384159</v>
      </c>
      <c r="D197" s="17">
        <v>0.29317800737201227</v>
      </c>
      <c r="E197" s="17">
        <v>0.24459771263067501</v>
      </c>
      <c r="F197" s="17">
        <v>0.25275935154606888</v>
      </c>
      <c r="G197" s="17">
        <v>0.2324145974844069</v>
      </c>
      <c r="H197" s="17">
        <v>0.2331867781206895</v>
      </c>
      <c r="I197" s="17">
        <v>0.20682377209513339</v>
      </c>
    </row>
    <row r="198" spans="1:9" x14ac:dyDescent="0.35">
      <c r="A198" s="16" t="s">
        <v>195</v>
      </c>
      <c r="B198" s="17">
        <v>2.9836929275984699E-2</v>
      </c>
      <c r="C198" s="17">
        <v>1.596044139158621E-2</v>
      </c>
      <c r="D198" s="17">
        <v>4.9910555703650911E-2</v>
      </c>
      <c r="E198" s="17">
        <v>3.7042316161823047E-2</v>
      </c>
      <c r="F198" s="17">
        <v>2.9836929275984699E-2</v>
      </c>
      <c r="G198" s="17">
        <v>2.5372594498087118E-2</v>
      </c>
      <c r="H198" s="17">
        <v>3.4820733028952958E-2</v>
      </c>
      <c r="I198" s="17">
        <v>6.433407873697071E-2</v>
      </c>
    </row>
    <row r="199" spans="1:9" x14ac:dyDescent="0.35">
      <c r="A199" s="14" t="s">
        <v>210</v>
      </c>
      <c r="B199" s="18">
        <v>0.44651991362823162</v>
      </c>
      <c r="C199" s="18">
        <v>0.39314851729377998</v>
      </c>
      <c r="D199" s="18">
        <v>0.40244619293449801</v>
      </c>
      <c r="E199" s="18">
        <v>0.45287752567697181</v>
      </c>
      <c r="F199" s="18">
        <v>0.44651991362823168</v>
      </c>
      <c r="G199" s="18">
        <v>0.44113390706086242</v>
      </c>
      <c r="H199" s="18">
        <v>0.4123011847148334</v>
      </c>
      <c r="I199" s="18">
        <v>0.40834186953912599</v>
      </c>
    </row>
    <row r="200" spans="1:9" x14ac:dyDescent="0.35">
      <c r="A200" s="14" t="s">
        <v>197</v>
      </c>
      <c r="B200" s="18">
        <v>0.27088380554971481</v>
      </c>
      <c r="C200" s="18">
        <v>0.34307131258079221</v>
      </c>
      <c r="D200" s="18">
        <v>0.25446524398983877</v>
      </c>
      <c r="E200" s="18">
        <v>0.26548244553053041</v>
      </c>
      <c r="F200" s="18">
        <v>0.27088380554971481</v>
      </c>
      <c r="G200" s="18">
        <v>0.30107890095664358</v>
      </c>
      <c r="H200" s="18">
        <v>0.31969130413552399</v>
      </c>
      <c r="I200" s="18">
        <v>0.32050027962876992</v>
      </c>
    </row>
    <row r="201" spans="1:9" x14ac:dyDescent="0.35">
      <c r="A201" s="14" t="s">
        <v>198</v>
      </c>
      <c r="B201" s="18">
        <v>0.18254060554167079</v>
      </c>
      <c r="C201" s="18">
        <v>0.145200855105166</v>
      </c>
      <c r="D201" s="18">
        <v>0.17571764134453799</v>
      </c>
      <c r="E201" s="18">
        <v>0.15742168436307369</v>
      </c>
      <c r="F201" s="18">
        <v>0.18254060554167079</v>
      </c>
      <c r="G201" s="18">
        <v>0.15522806388698779</v>
      </c>
      <c r="H201" s="18">
        <v>0.17251083020265501</v>
      </c>
      <c r="I201" s="18">
        <v>0.16764387424631161</v>
      </c>
    </row>
    <row r="202" spans="1:9" x14ac:dyDescent="0.35">
      <c r="A202" s="14" t="s">
        <v>199</v>
      </c>
      <c r="B202" s="18">
        <v>7.0218746004398105E-2</v>
      </c>
      <c r="C202" s="18">
        <v>0.1026188736286756</v>
      </c>
      <c r="D202" s="18">
        <v>0.1174603660274743</v>
      </c>
      <c r="E202" s="18">
        <v>8.7176028267601319E-2</v>
      </c>
      <c r="F202" s="18">
        <v>7.0218746004398105E-2</v>
      </c>
      <c r="G202" s="18">
        <v>7.7186533597419157E-2</v>
      </c>
      <c r="H202" s="18">
        <v>6.0675947918034448E-2</v>
      </c>
      <c r="I202" s="18">
        <v>3.9179897848821837E-2</v>
      </c>
    </row>
    <row r="203" spans="1:9" x14ac:dyDescent="0.35">
      <c r="A203" s="14" t="s">
        <v>200</v>
      </c>
      <c r="B203" s="18">
        <v>7.0770242863254316E-3</v>
      </c>
      <c r="C203" s="18">
        <v>1.596044139158621E-2</v>
      </c>
      <c r="D203" s="18">
        <v>1.183828977813196E-2</v>
      </c>
      <c r="E203" s="18">
        <v>8.7860707338260485E-3</v>
      </c>
      <c r="F203" s="18">
        <v>7.0770242863254316E-3</v>
      </c>
      <c r="G203" s="18">
        <v>6.0181282667910729E-3</v>
      </c>
      <c r="H203" s="18">
        <v>4.7308205234918802E-3</v>
      </c>
      <c r="I203" s="18">
        <v>2.5372831308739661E-2</v>
      </c>
    </row>
    <row r="204" spans="1:9" x14ac:dyDescent="0.35">
      <c r="A204" s="14" t="s">
        <v>201</v>
      </c>
      <c r="B204" s="18">
        <v>2.2759904989659262E-2</v>
      </c>
      <c r="C204" s="18">
        <v>0</v>
      </c>
      <c r="D204" s="18">
        <v>3.8072265925518947E-2</v>
      </c>
      <c r="E204" s="18">
        <v>2.8256245427996991E-2</v>
      </c>
      <c r="F204" s="18">
        <v>2.2759904989659262E-2</v>
      </c>
      <c r="G204" s="18">
        <v>1.9354466231296049E-2</v>
      </c>
      <c r="H204" s="18">
        <v>3.0089912505461079E-2</v>
      </c>
      <c r="I204" s="18">
        <v>3.8961247428231059E-2</v>
      </c>
    </row>
    <row r="205" spans="1:9" x14ac:dyDescent="0.35">
      <c r="A205" s="14" t="s">
        <v>202</v>
      </c>
      <c r="B205" s="18">
        <v>0</v>
      </c>
      <c r="C205" s="18">
        <v>0</v>
      </c>
      <c r="D205" s="18">
        <v>0</v>
      </c>
      <c r="E205" s="18">
        <v>0</v>
      </c>
      <c r="F205" s="18">
        <v>0</v>
      </c>
      <c r="G205" s="18">
        <v>0</v>
      </c>
      <c r="H205" s="18">
        <v>0</v>
      </c>
      <c r="I205" s="18">
        <v>0</v>
      </c>
    </row>
    <row r="206" spans="1:9" x14ac:dyDescent="0.35">
      <c r="A206" s="14" t="s">
        <v>211</v>
      </c>
      <c r="B206" s="18">
        <v>0</v>
      </c>
      <c r="C206" s="18">
        <v>0</v>
      </c>
      <c r="D206" s="18">
        <v>0</v>
      </c>
      <c r="E206" s="18">
        <v>0</v>
      </c>
      <c r="F206" s="18">
        <v>0</v>
      </c>
      <c r="G206" s="18">
        <v>0</v>
      </c>
      <c r="H206" s="18">
        <v>0</v>
      </c>
      <c r="I206" s="18">
        <v>0</v>
      </c>
    </row>
    <row r="207" spans="1:9" x14ac:dyDescent="0.35">
      <c r="A207" s="14" t="s">
        <v>212</v>
      </c>
      <c r="B207" s="18">
        <v>0</v>
      </c>
      <c r="C207" s="18">
        <v>0</v>
      </c>
      <c r="D207" s="18">
        <v>0</v>
      </c>
      <c r="E207" s="18">
        <v>0</v>
      </c>
      <c r="F207" s="18">
        <v>0</v>
      </c>
      <c r="G207" s="18">
        <v>0</v>
      </c>
      <c r="H207" s="18">
        <v>0</v>
      </c>
      <c r="I207" s="18">
        <v>0</v>
      </c>
    </row>
    <row r="208" spans="1:9" x14ac:dyDescent="0.35">
      <c r="A208" s="14" t="s">
        <v>203</v>
      </c>
      <c r="B208" s="18">
        <v>0</v>
      </c>
      <c r="C208" s="18">
        <v>0</v>
      </c>
      <c r="D208" s="18">
        <v>0</v>
      </c>
      <c r="E208" s="18">
        <v>0</v>
      </c>
      <c r="F208" s="18">
        <v>0</v>
      </c>
      <c r="G208" s="18">
        <v>0</v>
      </c>
      <c r="H208" s="18">
        <v>0</v>
      </c>
      <c r="I208" s="18">
        <v>0</v>
      </c>
    </row>
    <row r="209" spans="1:9" x14ac:dyDescent="0.35">
      <c r="A209" s="14" t="s">
        <v>204</v>
      </c>
      <c r="B209" s="18">
        <v>0</v>
      </c>
      <c r="C209" s="18">
        <v>0</v>
      </c>
      <c r="D209" s="18">
        <v>0</v>
      </c>
      <c r="E209" s="18">
        <v>0</v>
      </c>
      <c r="F209" s="18">
        <v>0</v>
      </c>
      <c r="G209" s="18">
        <v>0</v>
      </c>
      <c r="H209" s="18">
        <v>0</v>
      </c>
      <c r="I209" s="18">
        <v>0</v>
      </c>
    </row>
    <row r="210" spans="1:9" x14ac:dyDescent="0.35">
      <c r="A210" s="14" t="s">
        <v>213</v>
      </c>
      <c r="B210" s="1">
        <f>(B196-B198)*100</f>
        <v>68.756678990196164</v>
      </c>
      <c r="C210" s="1">
        <f t="shared" ref="C210:F210" si="9">(C196-C198)*100</f>
        <v>72.025938848298594</v>
      </c>
      <c r="D210" s="1">
        <f t="shared" si="9"/>
        <v>60.700088122068586</v>
      </c>
      <c r="E210" s="1">
        <f t="shared" si="9"/>
        <v>68.131765504567895</v>
      </c>
      <c r="F210" s="1">
        <f t="shared" si="9"/>
        <v>68.756678990196178</v>
      </c>
      <c r="G210" s="1">
        <v>71.68402135194188</v>
      </c>
      <c r="H210" s="1">
        <v>69.717175582140442</v>
      </c>
      <c r="I210" s="1">
        <v>66.450807043092524</v>
      </c>
    </row>
    <row r="212" spans="1:9" x14ac:dyDescent="0.35">
      <c r="C212" s="187"/>
      <c r="D212" s="187"/>
      <c r="E212" s="187"/>
      <c r="F212" s="187"/>
      <c r="G212" s="170"/>
      <c r="H212" s="170"/>
      <c r="I212" s="170"/>
    </row>
    <row r="213" spans="1:9" ht="29" x14ac:dyDescent="0.35">
      <c r="A213" s="12" t="s">
        <v>484</v>
      </c>
      <c r="B213" s="13" t="s">
        <v>208</v>
      </c>
      <c r="C213" s="13" t="s">
        <v>458</v>
      </c>
      <c r="D213" s="13" t="s">
        <v>466</v>
      </c>
      <c r="E213" s="13" t="s">
        <v>467</v>
      </c>
      <c r="F213" s="13" t="s">
        <v>468</v>
      </c>
      <c r="G213" s="13" t="s">
        <v>634</v>
      </c>
      <c r="H213" s="13" t="s">
        <v>641</v>
      </c>
      <c r="I213" s="13" t="s">
        <v>647</v>
      </c>
    </row>
    <row r="214" spans="1:9" x14ac:dyDescent="0.35">
      <c r="A214" s="14" t="s">
        <v>209</v>
      </c>
      <c r="B214" s="15">
        <v>43</v>
      </c>
      <c r="C214" s="15">
        <v>13</v>
      </c>
      <c r="D214" s="15">
        <v>26</v>
      </c>
      <c r="E214" s="15">
        <v>33</v>
      </c>
      <c r="F214" s="15">
        <v>43</v>
      </c>
      <c r="G214" s="15">
        <v>55</v>
      </c>
      <c r="H214" s="15">
        <v>68</v>
      </c>
      <c r="I214" s="15">
        <v>65</v>
      </c>
    </row>
    <row r="215" spans="1:9" x14ac:dyDescent="0.35">
      <c r="A215" s="16" t="s">
        <v>336</v>
      </c>
      <c r="B215" s="17">
        <v>0.43682890297797139</v>
      </c>
      <c r="C215" s="17">
        <v>0.57456347768383065</v>
      </c>
      <c r="D215" s="17">
        <v>0.3961375578170489</v>
      </c>
      <c r="E215" s="17">
        <v>0.43464608573735319</v>
      </c>
      <c r="F215" s="17">
        <v>0.43682890297797139</v>
      </c>
      <c r="G215" s="17">
        <v>0.43763464247722589</v>
      </c>
      <c r="H215" s="17">
        <v>0.43385904989459928</v>
      </c>
      <c r="I215" s="17">
        <v>0.37344632136815809</v>
      </c>
    </row>
    <row r="216" spans="1:9" x14ac:dyDescent="0.35">
      <c r="A216" s="16" t="s">
        <v>194</v>
      </c>
      <c r="B216" s="17">
        <v>0.44522142392256292</v>
      </c>
      <c r="C216" s="17">
        <v>0.35068058974218241</v>
      </c>
      <c r="D216" s="17">
        <v>0.48252566156901577</v>
      </c>
      <c r="E216" s="17">
        <v>0.41011384283711089</v>
      </c>
      <c r="F216" s="17">
        <v>0.44522142392256298</v>
      </c>
      <c r="G216" s="17">
        <v>0.40946668428143479</v>
      </c>
      <c r="H216" s="17">
        <v>0.39836232831177271</v>
      </c>
      <c r="I216" s="17">
        <v>0.43772876798155702</v>
      </c>
    </row>
    <row r="217" spans="1:9" x14ac:dyDescent="0.35">
      <c r="A217" s="16" t="s">
        <v>195</v>
      </c>
      <c r="B217" s="17">
        <v>0.1179496730994657</v>
      </c>
      <c r="C217" s="17">
        <v>7.4755932573987022E-2</v>
      </c>
      <c r="D217" s="17">
        <v>0.1213367806139352</v>
      </c>
      <c r="E217" s="17">
        <v>0.155240071425536</v>
      </c>
      <c r="F217" s="17">
        <v>0.1179496730994658</v>
      </c>
      <c r="G217" s="17">
        <v>0.15289867324133929</v>
      </c>
      <c r="H217" s="17">
        <v>0.16777862179362821</v>
      </c>
      <c r="I217" s="17">
        <v>0.18882491065028489</v>
      </c>
    </row>
    <row r="218" spans="1:9" x14ac:dyDescent="0.35">
      <c r="A218" s="14" t="s">
        <v>210</v>
      </c>
      <c r="B218" s="18">
        <v>0.16388878847438779</v>
      </c>
      <c r="C218" s="20">
        <v>0.31176921928905438</v>
      </c>
      <c r="D218" s="18">
        <v>0.1490247574667907</v>
      </c>
      <c r="E218" s="18">
        <v>0.18131905058398121</v>
      </c>
      <c r="F218" s="18">
        <v>0.1638887884743879</v>
      </c>
      <c r="G218" s="18">
        <v>0.1485836242780956</v>
      </c>
      <c r="H218" s="18">
        <v>0.1504223976276983</v>
      </c>
      <c r="I218" s="21">
        <v>9.4733890727026843E-2</v>
      </c>
    </row>
    <row r="219" spans="1:9" x14ac:dyDescent="0.35">
      <c r="A219" s="14" t="s">
        <v>197</v>
      </c>
      <c r="B219" s="18">
        <v>0.27294011450358358</v>
      </c>
      <c r="C219" s="18">
        <v>0.26279425839477638</v>
      </c>
      <c r="D219" s="18">
        <v>0.24711280035025809</v>
      </c>
      <c r="E219" s="18">
        <v>0.25332703515337213</v>
      </c>
      <c r="F219" s="18">
        <v>0.27294011450358358</v>
      </c>
      <c r="G219" s="18">
        <v>0.28905101819913032</v>
      </c>
      <c r="H219" s="18">
        <v>0.28343665226690112</v>
      </c>
      <c r="I219" s="18">
        <v>0.27871243064113133</v>
      </c>
    </row>
    <row r="220" spans="1:9" x14ac:dyDescent="0.35">
      <c r="A220" s="14" t="s">
        <v>198</v>
      </c>
      <c r="B220" s="18">
        <v>0.21468655798931069</v>
      </c>
      <c r="C220" s="18">
        <v>0.11831235202743839</v>
      </c>
      <c r="D220" s="18">
        <v>0.21322218339908619</v>
      </c>
      <c r="E220" s="18">
        <v>0.19453517678153809</v>
      </c>
      <c r="F220" s="18">
        <v>0.2146865579893108</v>
      </c>
      <c r="G220" s="18">
        <v>0.20828159119911421</v>
      </c>
      <c r="H220" s="18">
        <v>0.2186922184664859</v>
      </c>
      <c r="I220" s="18">
        <v>0.27086466601164622</v>
      </c>
    </row>
    <row r="221" spans="1:9" x14ac:dyDescent="0.35">
      <c r="A221" s="14" t="s">
        <v>199</v>
      </c>
      <c r="B221" s="18">
        <v>0.23053486593325209</v>
      </c>
      <c r="C221" s="18">
        <v>0.23236823771474391</v>
      </c>
      <c r="D221" s="18">
        <v>0.26930347816992961</v>
      </c>
      <c r="E221" s="18">
        <v>0.2155786660555728</v>
      </c>
      <c r="F221" s="18">
        <v>0.23053486593325209</v>
      </c>
      <c r="G221" s="18">
        <v>0.20118509308232069</v>
      </c>
      <c r="H221" s="18">
        <v>0.17967010984528681</v>
      </c>
      <c r="I221" s="18">
        <v>0.16686410196991081</v>
      </c>
    </row>
    <row r="222" spans="1:9" x14ac:dyDescent="0.35">
      <c r="A222" s="14" t="s">
        <v>200</v>
      </c>
      <c r="B222" s="18">
        <v>2.689081138426579E-2</v>
      </c>
      <c r="C222" s="18">
        <v>0</v>
      </c>
      <c r="D222" s="18">
        <v>4.4212714628198251E-2</v>
      </c>
      <c r="E222" s="18">
        <v>3.5392480286602378E-2</v>
      </c>
      <c r="F222" s="18">
        <v>2.689081138426579E-2</v>
      </c>
      <c r="G222" s="18">
        <v>6.788536804422643E-2</v>
      </c>
      <c r="H222" s="18">
        <v>8.3386494716999049E-2</v>
      </c>
      <c r="I222" s="18">
        <v>0.1016575162327302</v>
      </c>
    </row>
    <row r="223" spans="1:9" x14ac:dyDescent="0.35">
      <c r="A223" s="14" t="s">
        <v>201</v>
      </c>
      <c r="B223" s="18">
        <v>3.8710999993998733E-2</v>
      </c>
      <c r="C223" s="18">
        <v>7.4755932573987022E-2</v>
      </c>
      <c r="D223" s="18">
        <v>3.573311293028375E-2</v>
      </c>
      <c r="E223" s="18">
        <v>5.0949682573130477E-2</v>
      </c>
      <c r="F223" s="18">
        <v>3.871099999399874E-2</v>
      </c>
      <c r="G223" s="18">
        <v>4.3805626519676039E-2</v>
      </c>
      <c r="H223" s="18">
        <v>3.563632140075769E-2</v>
      </c>
      <c r="I223" s="18">
        <v>2.2272334284689839E-2</v>
      </c>
    </row>
    <row r="224" spans="1:9" x14ac:dyDescent="0.35">
      <c r="A224" s="14" t="s">
        <v>202</v>
      </c>
      <c r="B224" s="18">
        <v>0</v>
      </c>
      <c r="C224" s="18">
        <v>0</v>
      </c>
      <c r="D224" s="18">
        <v>0</v>
      </c>
      <c r="E224" s="18">
        <v>0</v>
      </c>
      <c r="F224" s="18">
        <v>0</v>
      </c>
      <c r="G224" s="18">
        <v>0</v>
      </c>
      <c r="H224" s="18">
        <v>0</v>
      </c>
      <c r="I224" s="18">
        <v>0</v>
      </c>
    </row>
    <row r="225" spans="1:9" x14ac:dyDescent="0.35">
      <c r="A225" s="14" t="s">
        <v>211</v>
      </c>
      <c r="B225" s="18">
        <v>0</v>
      </c>
      <c r="C225" s="18">
        <v>0</v>
      </c>
      <c r="D225" s="18">
        <v>0</v>
      </c>
      <c r="E225" s="18">
        <v>0</v>
      </c>
      <c r="F225" s="18">
        <v>0</v>
      </c>
      <c r="G225" s="18">
        <v>0</v>
      </c>
      <c r="H225" s="18">
        <v>1.523294119021699E-2</v>
      </c>
      <c r="I225" s="18">
        <v>1.5621355247629689E-2</v>
      </c>
    </row>
    <row r="226" spans="1:9" x14ac:dyDescent="0.35">
      <c r="A226" s="14" t="s">
        <v>212</v>
      </c>
      <c r="B226" s="18">
        <v>0</v>
      </c>
      <c r="C226" s="18">
        <v>0</v>
      </c>
      <c r="D226" s="18">
        <v>0</v>
      </c>
      <c r="E226" s="18">
        <v>0</v>
      </c>
      <c r="F226" s="18">
        <v>0</v>
      </c>
      <c r="G226" s="18">
        <v>0</v>
      </c>
      <c r="H226" s="18">
        <v>0</v>
      </c>
      <c r="I226" s="18">
        <v>1.4896064447361459E-2</v>
      </c>
    </row>
    <row r="227" spans="1:9" x14ac:dyDescent="0.35">
      <c r="A227" s="14" t="s">
        <v>203</v>
      </c>
      <c r="B227" s="18">
        <v>2.717328646634198E-2</v>
      </c>
      <c r="C227" s="18">
        <v>0</v>
      </c>
      <c r="D227" s="18">
        <v>0</v>
      </c>
      <c r="E227" s="18">
        <v>3.5764261324778418E-2</v>
      </c>
      <c r="F227" s="18">
        <v>2.7173286466341991E-2</v>
      </c>
      <c r="G227" s="25">
        <v>2.1390521417639079E-2</v>
      </c>
      <c r="H227" s="18">
        <v>1.7401406091666939E-2</v>
      </c>
      <c r="I227" s="18">
        <v>1.7845112310994511E-2</v>
      </c>
    </row>
    <row r="228" spans="1:9" x14ac:dyDescent="0.35">
      <c r="A228" s="14" t="s">
        <v>204</v>
      </c>
      <c r="B228" s="18">
        <v>2.5174575254859249E-2</v>
      </c>
      <c r="C228" s="18">
        <v>0</v>
      </c>
      <c r="D228" s="18">
        <v>4.1390953055453247E-2</v>
      </c>
      <c r="E228" s="18">
        <v>3.3133647241024723E-2</v>
      </c>
      <c r="F228" s="18">
        <v>2.5174575254859249E-2</v>
      </c>
      <c r="G228" s="18">
        <v>1.9817157259797769E-2</v>
      </c>
      <c r="H228" s="18">
        <v>1.612145839398748E-2</v>
      </c>
      <c r="I228" s="18">
        <v>1.6532528126879269E-2</v>
      </c>
    </row>
    <row r="229" spans="1:9" x14ac:dyDescent="0.35">
      <c r="A229" s="14" t="s">
        <v>213</v>
      </c>
      <c r="B229" s="1">
        <f>(B215-B217)*100</f>
        <v>31.887922987850569</v>
      </c>
      <c r="C229" s="1">
        <f t="shared" ref="C229:F229" si="10">(C215-C217)*100</f>
        <v>49.980754510984362</v>
      </c>
      <c r="D229" s="1">
        <f t="shared" si="10"/>
        <v>27.480077720311368</v>
      </c>
      <c r="E229" s="1">
        <f t="shared" si="10"/>
        <v>27.940601431181722</v>
      </c>
      <c r="F229" s="1">
        <f t="shared" si="10"/>
        <v>31.887922987850558</v>
      </c>
      <c r="G229" s="1">
        <v>28.473596923588659</v>
      </c>
      <c r="H229" s="1">
        <v>26.60804281009711</v>
      </c>
      <c r="I229" s="1">
        <v>18.462141071787311</v>
      </c>
    </row>
    <row r="231" spans="1:9" x14ac:dyDescent="0.35">
      <c r="C231" s="187"/>
      <c r="D231" s="187"/>
      <c r="E231" s="187"/>
      <c r="F231" s="187"/>
      <c r="G231" s="170"/>
      <c r="H231" s="170"/>
      <c r="I231" s="170"/>
    </row>
    <row r="232" spans="1:9" ht="29" x14ac:dyDescent="0.35">
      <c r="A232" s="12" t="s">
        <v>485</v>
      </c>
      <c r="B232" s="13" t="s">
        <v>208</v>
      </c>
      <c r="C232" s="13" t="s">
        <v>458</v>
      </c>
      <c r="D232" s="13" t="s">
        <v>466</v>
      </c>
      <c r="E232" s="13" t="s">
        <v>467</v>
      </c>
      <c r="F232" s="13" t="s">
        <v>468</v>
      </c>
      <c r="G232" s="13" t="s">
        <v>634</v>
      </c>
      <c r="H232" s="13" t="s">
        <v>641</v>
      </c>
      <c r="I232" s="13" t="s">
        <v>647</v>
      </c>
    </row>
    <row r="233" spans="1:9" x14ac:dyDescent="0.35">
      <c r="A233" s="14" t="s">
        <v>209</v>
      </c>
      <c r="B233" s="15">
        <v>9</v>
      </c>
      <c r="C233" s="15">
        <v>3</v>
      </c>
      <c r="D233" s="15">
        <v>6</v>
      </c>
      <c r="E233" s="15">
        <v>8</v>
      </c>
      <c r="F233" s="15">
        <v>9</v>
      </c>
      <c r="G233" s="15">
        <v>13</v>
      </c>
      <c r="H233" s="15">
        <v>16</v>
      </c>
      <c r="I233" s="15">
        <v>15</v>
      </c>
    </row>
    <row r="234" spans="1:9" x14ac:dyDescent="0.35">
      <c r="A234" s="16" t="s">
        <v>336</v>
      </c>
      <c r="B234" s="17">
        <v>0.47401771926888697</v>
      </c>
      <c r="C234" s="17">
        <v>0.66827049806356065</v>
      </c>
      <c r="D234" s="17">
        <v>0.51140153949067013</v>
      </c>
      <c r="E234" s="17">
        <v>0.38297771239246631</v>
      </c>
      <c r="F234" s="17">
        <v>0.47401771926888697</v>
      </c>
      <c r="G234" s="17">
        <v>0.41424351231432971</v>
      </c>
      <c r="H234" s="17">
        <v>0.45727653913596872</v>
      </c>
      <c r="I234" s="17">
        <v>0.43282601129710518</v>
      </c>
    </row>
    <row r="235" spans="1:9" x14ac:dyDescent="0.35">
      <c r="A235" s="16" t="s">
        <v>194</v>
      </c>
      <c r="B235" s="17">
        <v>0.52598228073111297</v>
      </c>
      <c r="C235" s="17">
        <v>0.3317295019364393</v>
      </c>
      <c r="D235" s="17">
        <v>0.48859846050932998</v>
      </c>
      <c r="E235" s="17">
        <v>0.61702228760753375</v>
      </c>
      <c r="F235" s="17">
        <v>0.52598228073111297</v>
      </c>
      <c r="G235" s="17">
        <v>0.5102410367927509</v>
      </c>
      <c r="H235" s="17">
        <v>0.48170298833467229</v>
      </c>
      <c r="I235" s="17">
        <v>0.4983161441531872</v>
      </c>
    </row>
    <row r="236" spans="1:9" x14ac:dyDescent="0.35">
      <c r="A236" s="16" t="s">
        <v>195</v>
      </c>
      <c r="B236" s="17">
        <v>0</v>
      </c>
      <c r="C236" s="17">
        <v>0</v>
      </c>
      <c r="D236" s="17">
        <v>0</v>
      </c>
      <c r="E236" s="17">
        <v>0</v>
      </c>
      <c r="F236" s="17">
        <v>0</v>
      </c>
      <c r="G236" s="17">
        <v>7.5515450892919458E-2</v>
      </c>
      <c r="H236" s="17">
        <v>6.1020472529358931E-2</v>
      </c>
      <c r="I236" s="17">
        <v>6.8857844549707531E-2</v>
      </c>
    </row>
    <row r="237" spans="1:9" x14ac:dyDescent="0.35">
      <c r="A237" s="14" t="s">
        <v>210</v>
      </c>
      <c r="B237" s="18">
        <v>0.36904589912542363</v>
      </c>
      <c r="C237" s="18">
        <v>0.66827049806356065</v>
      </c>
      <c r="D237" s="18">
        <v>0.34696777643932242</v>
      </c>
      <c r="E237" s="23">
        <v>0.25983677215163448</v>
      </c>
      <c r="F237" s="18">
        <v>0.36904589912542363</v>
      </c>
      <c r="G237" s="18">
        <v>0.26767872301954782</v>
      </c>
      <c r="H237" s="18">
        <v>0.28136835126630361</v>
      </c>
      <c r="I237" s="23">
        <v>0.17101214131875209</v>
      </c>
    </row>
    <row r="238" spans="1:9" x14ac:dyDescent="0.35">
      <c r="A238" s="14" t="s">
        <v>197</v>
      </c>
      <c r="B238" s="18">
        <v>0.1049718201434634</v>
      </c>
      <c r="C238" s="18">
        <v>0</v>
      </c>
      <c r="D238" s="18">
        <v>0.16443376305134769</v>
      </c>
      <c r="E238" s="18">
        <v>0.1231409402408318</v>
      </c>
      <c r="F238" s="18">
        <v>0.1049718201434634</v>
      </c>
      <c r="G238" s="18">
        <v>0.14656478929478189</v>
      </c>
      <c r="H238" s="18">
        <v>0.17590818786966511</v>
      </c>
      <c r="I238" s="18">
        <v>0.26181386997835321</v>
      </c>
    </row>
    <row r="239" spans="1:9" x14ac:dyDescent="0.35">
      <c r="A239" s="14" t="s">
        <v>198</v>
      </c>
      <c r="B239" s="18">
        <v>0.52598228073111297</v>
      </c>
      <c r="C239" s="18">
        <v>0.3317295019364393</v>
      </c>
      <c r="D239" s="18">
        <v>0.48859846050932998</v>
      </c>
      <c r="E239" s="18">
        <v>0.61702228760753375</v>
      </c>
      <c r="F239" s="18">
        <v>0.52598228073111297</v>
      </c>
      <c r="G239" s="18">
        <v>0.4347255858998314</v>
      </c>
      <c r="H239" s="18">
        <v>0.42068251580531341</v>
      </c>
      <c r="I239" s="18">
        <v>0.40199432549567599</v>
      </c>
    </row>
    <row r="240" spans="1:9" x14ac:dyDescent="0.35">
      <c r="A240" s="14" t="s">
        <v>199</v>
      </c>
      <c r="B240" s="18">
        <v>0</v>
      </c>
      <c r="C240" s="18">
        <v>0</v>
      </c>
      <c r="D240" s="18">
        <v>0</v>
      </c>
      <c r="E240" s="18">
        <v>0</v>
      </c>
      <c r="F240" s="18">
        <v>0</v>
      </c>
      <c r="G240" s="18">
        <v>7.5515450892919458E-2</v>
      </c>
      <c r="H240" s="18">
        <v>6.1020472529358931E-2</v>
      </c>
      <c r="I240" s="18">
        <v>9.6321818657511174E-2</v>
      </c>
    </row>
    <row r="241" spans="1:9" x14ac:dyDescent="0.35">
      <c r="A241" s="14" t="s">
        <v>200</v>
      </c>
      <c r="B241" s="18">
        <v>0</v>
      </c>
      <c r="C241" s="18">
        <v>0</v>
      </c>
      <c r="D241" s="18">
        <v>0</v>
      </c>
      <c r="E241" s="18">
        <v>0</v>
      </c>
      <c r="F241" s="18">
        <v>0</v>
      </c>
      <c r="G241" s="18">
        <v>0</v>
      </c>
      <c r="H241" s="18">
        <v>0</v>
      </c>
      <c r="I241" s="18">
        <v>0</v>
      </c>
    </row>
    <row r="242" spans="1:9" x14ac:dyDescent="0.35">
      <c r="A242" s="14" t="s">
        <v>201</v>
      </c>
      <c r="B242" s="18">
        <v>0</v>
      </c>
      <c r="C242" s="18">
        <v>0</v>
      </c>
      <c r="D242" s="18">
        <v>0</v>
      </c>
      <c r="E242" s="18">
        <v>0</v>
      </c>
      <c r="F242" s="18">
        <v>0</v>
      </c>
      <c r="G242" s="18">
        <v>0</v>
      </c>
      <c r="H242" s="18">
        <v>0</v>
      </c>
      <c r="I242" s="18">
        <v>0</v>
      </c>
    </row>
    <row r="243" spans="1:9" x14ac:dyDescent="0.35">
      <c r="A243" s="14" t="s">
        <v>202</v>
      </c>
      <c r="B243" s="18">
        <v>0</v>
      </c>
      <c r="C243" s="18">
        <v>0</v>
      </c>
      <c r="D243" s="18">
        <v>0</v>
      </c>
      <c r="E243" s="18">
        <v>0</v>
      </c>
      <c r="F243" s="18">
        <v>0</v>
      </c>
      <c r="G243" s="18">
        <v>7.5515450892919458E-2</v>
      </c>
      <c r="H243" s="18">
        <v>6.1020472529358931E-2</v>
      </c>
      <c r="I243" s="18">
        <v>6.8857844549707531E-2</v>
      </c>
    </row>
    <row r="244" spans="1:9" x14ac:dyDescent="0.35">
      <c r="A244" s="14" t="s">
        <v>211</v>
      </c>
      <c r="B244" s="18">
        <v>0</v>
      </c>
      <c r="C244" s="18">
        <v>0</v>
      </c>
      <c r="D244" s="18">
        <v>0</v>
      </c>
      <c r="E244" s="18">
        <v>0</v>
      </c>
      <c r="F244" s="18">
        <v>0</v>
      </c>
      <c r="G244" s="18">
        <v>0</v>
      </c>
      <c r="H244" s="18">
        <v>0</v>
      </c>
      <c r="I244" s="18">
        <v>0</v>
      </c>
    </row>
    <row r="245" spans="1:9" x14ac:dyDescent="0.35">
      <c r="A245" s="14" t="s">
        <v>212</v>
      </c>
      <c r="B245" s="18">
        <v>0</v>
      </c>
      <c r="C245" s="18">
        <v>0</v>
      </c>
      <c r="D245" s="18">
        <v>0</v>
      </c>
      <c r="E245" s="18">
        <v>0</v>
      </c>
      <c r="F245" s="18">
        <v>0</v>
      </c>
      <c r="G245" s="18">
        <v>0</v>
      </c>
      <c r="H245" s="18">
        <v>0</v>
      </c>
      <c r="I245" s="18">
        <v>0</v>
      </c>
    </row>
    <row r="246" spans="1:9" x14ac:dyDescent="0.35">
      <c r="A246" s="14" t="s">
        <v>203</v>
      </c>
      <c r="B246" s="18">
        <v>0</v>
      </c>
      <c r="C246" s="18">
        <v>0</v>
      </c>
      <c r="D246" s="18">
        <v>0</v>
      </c>
      <c r="E246" s="18">
        <v>0</v>
      </c>
      <c r="F246" s="18">
        <v>0</v>
      </c>
      <c r="G246" s="18">
        <v>0</v>
      </c>
      <c r="H246" s="18">
        <v>0</v>
      </c>
      <c r="I246" s="18">
        <v>0</v>
      </c>
    </row>
    <row r="247" spans="1:9" x14ac:dyDescent="0.35">
      <c r="A247" s="14" t="s">
        <v>204</v>
      </c>
      <c r="B247" s="18">
        <v>0</v>
      </c>
      <c r="C247" s="18">
        <v>0</v>
      </c>
      <c r="D247" s="18">
        <v>0</v>
      </c>
      <c r="E247" s="18">
        <v>0</v>
      </c>
      <c r="F247" s="18">
        <v>0</v>
      </c>
      <c r="G247" s="18">
        <v>0</v>
      </c>
      <c r="H247" s="18">
        <v>0</v>
      </c>
      <c r="I247" s="18">
        <v>0</v>
      </c>
    </row>
    <row r="248" spans="1:9" x14ac:dyDescent="0.35">
      <c r="A248" s="14" t="s">
        <v>213</v>
      </c>
      <c r="B248" s="1">
        <f>(B234-B236)*100</f>
        <v>47.401771926888699</v>
      </c>
      <c r="C248" s="1">
        <f t="shared" ref="C248:F248" si="11">(C234-C236)*100</f>
        <v>66.827049806356058</v>
      </c>
      <c r="D248" s="1">
        <f t="shared" si="11"/>
        <v>51.140153949067013</v>
      </c>
      <c r="E248" s="1">
        <f t="shared" si="11"/>
        <v>38.297771239246629</v>
      </c>
      <c r="F248" s="1">
        <f t="shared" si="11"/>
        <v>47.401771926888699</v>
      </c>
      <c r="G248" s="1">
        <v>33.872806142141023</v>
      </c>
      <c r="H248" s="1">
        <v>39.625606660660978</v>
      </c>
      <c r="I248" s="1">
        <v>36.396816674739767</v>
      </c>
    </row>
    <row r="250" spans="1:9" x14ac:dyDescent="0.35">
      <c r="C250" s="187"/>
      <c r="D250" s="187"/>
      <c r="E250" s="187"/>
      <c r="F250" s="187"/>
      <c r="G250" s="170"/>
      <c r="H250" s="170"/>
      <c r="I250" s="170"/>
    </row>
    <row r="251" spans="1:9" ht="29" x14ac:dyDescent="0.35">
      <c r="A251" s="12" t="s">
        <v>486</v>
      </c>
      <c r="B251" s="13" t="s">
        <v>208</v>
      </c>
      <c r="C251" s="13" t="s">
        <v>458</v>
      </c>
      <c r="D251" s="13" t="s">
        <v>466</v>
      </c>
      <c r="E251" s="13" t="s">
        <v>467</v>
      </c>
      <c r="F251" s="13" t="s">
        <v>468</v>
      </c>
      <c r="G251" s="13" t="s">
        <v>634</v>
      </c>
      <c r="H251" s="13" t="s">
        <v>641</v>
      </c>
      <c r="I251" s="13" t="s">
        <v>647</v>
      </c>
    </row>
    <row r="252" spans="1:9" x14ac:dyDescent="0.35">
      <c r="A252" s="14" t="s">
        <v>209</v>
      </c>
      <c r="B252" s="15">
        <v>0</v>
      </c>
      <c r="C252" s="15">
        <v>0</v>
      </c>
      <c r="D252" s="15">
        <v>0</v>
      </c>
      <c r="E252" s="15">
        <v>0</v>
      </c>
      <c r="F252" s="15">
        <v>0</v>
      </c>
      <c r="G252" s="15">
        <v>0</v>
      </c>
      <c r="H252" s="15">
        <v>0</v>
      </c>
      <c r="I252" s="15">
        <v>0</v>
      </c>
    </row>
    <row r="253" spans="1:9" x14ac:dyDescent="0.35">
      <c r="A253" s="16" t="s">
        <v>336</v>
      </c>
      <c r="B253" s="17" t="s">
        <v>214</v>
      </c>
      <c r="C253" s="168" t="s">
        <v>214</v>
      </c>
      <c r="D253" s="168" t="s">
        <v>214</v>
      </c>
      <c r="E253" s="168" t="s">
        <v>214</v>
      </c>
      <c r="F253" s="168" t="s">
        <v>214</v>
      </c>
      <c r="G253" s="168" t="s">
        <v>214</v>
      </c>
      <c r="H253" s="168" t="s">
        <v>214</v>
      </c>
      <c r="I253" s="168" t="s">
        <v>214</v>
      </c>
    </row>
    <row r="254" spans="1:9" x14ac:dyDescent="0.35">
      <c r="A254" s="16" t="s">
        <v>194</v>
      </c>
      <c r="B254" s="17" t="s">
        <v>214</v>
      </c>
      <c r="C254" s="168" t="s">
        <v>214</v>
      </c>
      <c r="D254" s="168" t="s">
        <v>214</v>
      </c>
      <c r="E254" s="168" t="s">
        <v>214</v>
      </c>
      <c r="F254" s="168" t="s">
        <v>214</v>
      </c>
      <c r="G254" s="168" t="s">
        <v>214</v>
      </c>
      <c r="H254" s="168" t="s">
        <v>214</v>
      </c>
      <c r="I254" s="168" t="s">
        <v>214</v>
      </c>
    </row>
    <row r="255" spans="1:9" x14ac:dyDescent="0.35">
      <c r="A255" s="16" t="s">
        <v>195</v>
      </c>
      <c r="B255" s="17" t="s">
        <v>214</v>
      </c>
      <c r="C255" s="168" t="s">
        <v>214</v>
      </c>
      <c r="D255" s="168" t="s">
        <v>214</v>
      </c>
      <c r="E255" s="168" t="s">
        <v>214</v>
      </c>
      <c r="F255" s="168" t="s">
        <v>214</v>
      </c>
      <c r="G255" s="168" t="s">
        <v>214</v>
      </c>
      <c r="H255" s="168" t="s">
        <v>214</v>
      </c>
      <c r="I255" s="168" t="s">
        <v>214</v>
      </c>
    </row>
    <row r="256" spans="1:9" x14ac:dyDescent="0.35">
      <c r="A256" s="14" t="s">
        <v>210</v>
      </c>
      <c r="B256" s="18" t="s">
        <v>214</v>
      </c>
      <c r="C256" s="18" t="s">
        <v>214</v>
      </c>
      <c r="D256" s="18" t="s">
        <v>214</v>
      </c>
      <c r="E256" s="18" t="s">
        <v>214</v>
      </c>
      <c r="F256" s="18" t="s">
        <v>214</v>
      </c>
      <c r="G256" s="18" t="s">
        <v>214</v>
      </c>
      <c r="H256" s="18" t="s">
        <v>214</v>
      </c>
      <c r="I256" s="18" t="s">
        <v>214</v>
      </c>
    </row>
    <row r="257" spans="1:9" x14ac:dyDescent="0.35">
      <c r="A257" s="14" t="s">
        <v>197</v>
      </c>
      <c r="B257" s="18" t="s">
        <v>214</v>
      </c>
      <c r="C257" s="18" t="s">
        <v>214</v>
      </c>
      <c r="D257" s="18" t="s">
        <v>214</v>
      </c>
      <c r="E257" s="18" t="s">
        <v>214</v>
      </c>
      <c r="F257" s="18" t="s">
        <v>214</v>
      </c>
      <c r="G257" s="18" t="s">
        <v>214</v>
      </c>
      <c r="H257" s="18" t="s">
        <v>214</v>
      </c>
      <c r="I257" s="18" t="s">
        <v>214</v>
      </c>
    </row>
    <row r="258" spans="1:9" x14ac:dyDescent="0.35">
      <c r="A258" s="14" t="s">
        <v>198</v>
      </c>
      <c r="B258" s="18" t="s">
        <v>214</v>
      </c>
      <c r="C258" s="18" t="s">
        <v>214</v>
      </c>
      <c r="D258" s="18" t="s">
        <v>214</v>
      </c>
      <c r="E258" s="18" t="s">
        <v>214</v>
      </c>
      <c r="F258" s="18" t="s">
        <v>214</v>
      </c>
      <c r="G258" s="18" t="s">
        <v>214</v>
      </c>
      <c r="H258" s="18" t="s">
        <v>214</v>
      </c>
      <c r="I258" s="18" t="s">
        <v>214</v>
      </c>
    </row>
    <row r="259" spans="1:9" x14ac:dyDescent="0.35">
      <c r="A259" s="14" t="s">
        <v>199</v>
      </c>
      <c r="B259" s="18" t="s">
        <v>214</v>
      </c>
      <c r="C259" s="18" t="s">
        <v>214</v>
      </c>
      <c r="D259" s="18" t="s">
        <v>214</v>
      </c>
      <c r="E259" s="18" t="s">
        <v>214</v>
      </c>
      <c r="F259" s="18" t="s">
        <v>214</v>
      </c>
      <c r="G259" s="18" t="s">
        <v>214</v>
      </c>
      <c r="H259" s="18" t="s">
        <v>214</v>
      </c>
      <c r="I259" s="18" t="s">
        <v>214</v>
      </c>
    </row>
    <row r="260" spans="1:9" x14ac:dyDescent="0.35">
      <c r="A260" s="14" t="s">
        <v>200</v>
      </c>
      <c r="B260" s="18" t="s">
        <v>214</v>
      </c>
      <c r="C260" s="18" t="s">
        <v>214</v>
      </c>
      <c r="D260" s="18" t="s">
        <v>214</v>
      </c>
      <c r="E260" s="18" t="s">
        <v>214</v>
      </c>
      <c r="F260" s="18" t="s">
        <v>214</v>
      </c>
      <c r="G260" s="18" t="s">
        <v>214</v>
      </c>
      <c r="H260" s="18" t="s">
        <v>214</v>
      </c>
      <c r="I260" s="18" t="s">
        <v>214</v>
      </c>
    </row>
    <row r="261" spans="1:9" x14ac:dyDescent="0.35">
      <c r="A261" s="14" t="s">
        <v>201</v>
      </c>
      <c r="B261" s="18" t="s">
        <v>214</v>
      </c>
      <c r="C261" s="18" t="s">
        <v>214</v>
      </c>
      <c r="D261" s="18" t="s">
        <v>214</v>
      </c>
      <c r="E261" s="18" t="s">
        <v>214</v>
      </c>
      <c r="F261" s="18" t="s">
        <v>214</v>
      </c>
      <c r="G261" s="18" t="s">
        <v>214</v>
      </c>
      <c r="H261" s="18" t="s">
        <v>214</v>
      </c>
      <c r="I261" s="18" t="s">
        <v>214</v>
      </c>
    </row>
    <row r="262" spans="1:9" x14ac:dyDescent="0.35">
      <c r="A262" s="14" t="s">
        <v>202</v>
      </c>
      <c r="B262" s="18" t="s">
        <v>214</v>
      </c>
      <c r="C262" s="18" t="s">
        <v>214</v>
      </c>
      <c r="D262" s="18" t="s">
        <v>214</v>
      </c>
      <c r="E262" s="18" t="s">
        <v>214</v>
      </c>
      <c r="F262" s="18" t="s">
        <v>214</v>
      </c>
      <c r="G262" s="18" t="s">
        <v>214</v>
      </c>
      <c r="H262" s="18" t="s">
        <v>214</v>
      </c>
      <c r="I262" s="18" t="s">
        <v>214</v>
      </c>
    </row>
    <row r="263" spans="1:9" x14ac:dyDescent="0.35">
      <c r="A263" s="14" t="s">
        <v>211</v>
      </c>
      <c r="B263" s="18" t="s">
        <v>214</v>
      </c>
      <c r="C263" s="18" t="s">
        <v>214</v>
      </c>
      <c r="D263" s="18" t="s">
        <v>214</v>
      </c>
      <c r="E263" s="18" t="s">
        <v>214</v>
      </c>
      <c r="F263" s="18" t="s">
        <v>214</v>
      </c>
      <c r="G263" s="18" t="s">
        <v>214</v>
      </c>
      <c r="H263" s="18" t="s">
        <v>214</v>
      </c>
      <c r="I263" s="18" t="s">
        <v>214</v>
      </c>
    </row>
    <row r="264" spans="1:9" x14ac:dyDescent="0.35">
      <c r="A264" s="14" t="s">
        <v>212</v>
      </c>
      <c r="B264" s="18" t="s">
        <v>214</v>
      </c>
      <c r="C264" s="18" t="s">
        <v>214</v>
      </c>
      <c r="D264" s="18" t="s">
        <v>214</v>
      </c>
      <c r="E264" s="18" t="s">
        <v>214</v>
      </c>
      <c r="F264" s="18" t="s">
        <v>214</v>
      </c>
      <c r="G264" s="18" t="s">
        <v>214</v>
      </c>
      <c r="H264" s="18" t="s">
        <v>214</v>
      </c>
      <c r="I264" s="18" t="s">
        <v>214</v>
      </c>
    </row>
    <row r="265" spans="1:9" x14ac:dyDescent="0.35">
      <c r="A265" s="14" t="s">
        <v>203</v>
      </c>
      <c r="B265" s="18" t="s">
        <v>214</v>
      </c>
      <c r="C265" s="18" t="s">
        <v>214</v>
      </c>
      <c r="D265" s="18" t="s">
        <v>214</v>
      </c>
      <c r="E265" s="18" t="s">
        <v>214</v>
      </c>
      <c r="F265" s="18" t="s">
        <v>214</v>
      </c>
      <c r="G265" s="18" t="s">
        <v>214</v>
      </c>
      <c r="H265" s="18" t="s">
        <v>214</v>
      </c>
      <c r="I265" s="18" t="s">
        <v>214</v>
      </c>
    </row>
    <row r="266" spans="1:9" x14ac:dyDescent="0.35">
      <c r="A266" s="14" t="s">
        <v>204</v>
      </c>
      <c r="B266" s="18" t="s">
        <v>214</v>
      </c>
      <c r="C266" s="18" t="s">
        <v>214</v>
      </c>
      <c r="D266" s="18" t="s">
        <v>214</v>
      </c>
      <c r="E266" s="18" t="s">
        <v>214</v>
      </c>
      <c r="F266" s="18" t="s">
        <v>214</v>
      </c>
      <c r="G266" s="18" t="s">
        <v>214</v>
      </c>
      <c r="H266" s="18" t="s">
        <v>214</v>
      </c>
      <c r="I266" s="18" t="s">
        <v>214</v>
      </c>
    </row>
    <row r="268" spans="1:9" x14ac:dyDescent="0.35">
      <c r="C268" s="187"/>
      <c r="D268" s="187"/>
      <c r="E268" s="187"/>
      <c r="F268" s="187"/>
      <c r="G268" s="170"/>
      <c r="H268" s="170"/>
      <c r="I268" s="170"/>
    </row>
    <row r="269" spans="1:9" ht="29" x14ac:dyDescent="0.35">
      <c r="A269" s="12" t="s">
        <v>487</v>
      </c>
      <c r="B269" s="13" t="s">
        <v>208</v>
      </c>
      <c r="C269" s="13" t="s">
        <v>458</v>
      </c>
      <c r="D269" s="13" t="s">
        <v>466</v>
      </c>
      <c r="E269" s="13" t="s">
        <v>467</v>
      </c>
      <c r="F269" s="13" t="s">
        <v>468</v>
      </c>
      <c r="G269" s="13" t="s">
        <v>634</v>
      </c>
      <c r="H269" s="13" t="s">
        <v>641</v>
      </c>
      <c r="I269" s="13" t="s">
        <v>647</v>
      </c>
    </row>
    <row r="270" spans="1:9" x14ac:dyDescent="0.35">
      <c r="A270" s="14" t="s">
        <v>209</v>
      </c>
      <c r="B270" s="15">
        <v>31</v>
      </c>
      <c r="C270" s="15">
        <v>9</v>
      </c>
      <c r="D270" s="15">
        <v>12</v>
      </c>
      <c r="E270" s="15">
        <v>19</v>
      </c>
      <c r="F270" s="15">
        <v>31</v>
      </c>
      <c r="G270" s="15">
        <v>34</v>
      </c>
      <c r="H270" s="15">
        <v>39</v>
      </c>
      <c r="I270" s="15">
        <v>34</v>
      </c>
    </row>
    <row r="271" spans="1:9" x14ac:dyDescent="0.35">
      <c r="A271" s="16" t="s">
        <v>336</v>
      </c>
      <c r="B271" s="17">
        <v>0.59671263482653958</v>
      </c>
      <c r="C271" s="17">
        <v>0.72195773610686831</v>
      </c>
      <c r="D271" s="153">
        <v>0.79083420793734216</v>
      </c>
      <c r="E271" s="17">
        <v>0.70351794495317688</v>
      </c>
      <c r="F271" s="17">
        <v>0.59671263482653958</v>
      </c>
      <c r="G271" s="17">
        <v>0.57728114333829206</v>
      </c>
      <c r="H271" s="17">
        <v>0.52624073126336901</v>
      </c>
      <c r="I271" s="17">
        <v>0.47022197946939648</v>
      </c>
    </row>
    <row r="272" spans="1:9" x14ac:dyDescent="0.35">
      <c r="A272" s="16" t="s">
        <v>194</v>
      </c>
      <c r="B272" s="17">
        <v>0.29860276082309078</v>
      </c>
      <c r="C272" s="17">
        <v>0.1314450077197564</v>
      </c>
      <c r="D272" s="154">
        <v>9.888352499874821E-2</v>
      </c>
      <c r="E272" s="154">
        <v>0.17480090135966489</v>
      </c>
      <c r="F272" s="17">
        <v>0.29860276082309078</v>
      </c>
      <c r="G272" s="17">
        <v>0.32651574158141722</v>
      </c>
      <c r="H272" s="17">
        <v>0.39026536948256252</v>
      </c>
      <c r="I272" s="153">
        <v>0.47177645288710968</v>
      </c>
    </row>
    <row r="273" spans="1:9" x14ac:dyDescent="0.35">
      <c r="A273" s="16" t="s">
        <v>195</v>
      </c>
      <c r="B273" s="17">
        <v>0.10468460435036959</v>
      </c>
      <c r="C273" s="17">
        <v>0.14659725617337521</v>
      </c>
      <c r="D273" s="17">
        <v>0.1102822670639097</v>
      </c>
      <c r="E273" s="17">
        <v>0.12168115368715821</v>
      </c>
      <c r="F273" s="17">
        <v>0.10468460435036959</v>
      </c>
      <c r="G273" s="17">
        <v>9.6203115080290683E-2</v>
      </c>
      <c r="H273" s="17">
        <v>8.3493899254068471E-2</v>
      </c>
      <c r="I273" s="17">
        <v>5.8001567643493901E-2</v>
      </c>
    </row>
    <row r="274" spans="1:9" x14ac:dyDescent="0.35">
      <c r="A274" s="14" t="s">
        <v>210</v>
      </c>
      <c r="B274" s="18">
        <v>0.32440817685902118</v>
      </c>
      <c r="C274" s="18">
        <v>0.43522441176386922</v>
      </c>
      <c r="D274" s="18">
        <v>0.4077133827815686</v>
      </c>
      <c r="E274" s="18">
        <v>0.30541232507951982</v>
      </c>
      <c r="F274" s="18">
        <v>0.32440817685902118</v>
      </c>
      <c r="G274" s="18">
        <v>0.32703864331366589</v>
      </c>
      <c r="H274" s="25">
        <v>0.30905730566738338</v>
      </c>
      <c r="I274" s="18">
        <v>0.2958953034598546</v>
      </c>
    </row>
    <row r="275" spans="1:9" x14ac:dyDescent="0.35">
      <c r="A275" s="14" t="s">
        <v>197</v>
      </c>
      <c r="B275" s="18">
        <v>0.27230445796751829</v>
      </c>
      <c r="C275" s="18">
        <v>0.28673332434299897</v>
      </c>
      <c r="D275" s="18">
        <v>0.38312082515577361</v>
      </c>
      <c r="E275" s="19">
        <v>0.39810561987365722</v>
      </c>
      <c r="F275" s="18">
        <v>0.27230445796751829</v>
      </c>
      <c r="G275" s="18">
        <v>0.25024250002462611</v>
      </c>
      <c r="H275" s="18">
        <v>0.21718342559598561</v>
      </c>
      <c r="I275" s="18">
        <v>0.17432667600954191</v>
      </c>
    </row>
    <row r="276" spans="1:9" x14ac:dyDescent="0.35">
      <c r="A276" s="14" t="s">
        <v>198</v>
      </c>
      <c r="B276" s="18">
        <v>0.16889830655757249</v>
      </c>
      <c r="C276" s="18">
        <v>0.1314450077197564</v>
      </c>
      <c r="D276" s="18">
        <v>9.888352499874821E-2</v>
      </c>
      <c r="E276" s="21">
        <v>6.0171616761733271E-2</v>
      </c>
      <c r="F276" s="18">
        <v>0.16889830655757249</v>
      </c>
      <c r="G276" s="18">
        <v>0.18016406842326191</v>
      </c>
      <c r="H276" s="18">
        <v>0.23828249165868209</v>
      </c>
      <c r="I276" s="18">
        <v>0.30003430647711732</v>
      </c>
    </row>
    <row r="277" spans="1:9" x14ac:dyDescent="0.35">
      <c r="A277" s="14" t="s">
        <v>199</v>
      </c>
      <c r="B277" s="18">
        <v>0.12970445426551841</v>
      </c>
      <c r="C277" s="18">
        <v>0</v>
      </c>
      <c r="D277" s="23">
        <v>0</v>
      </c>
      <c r="E277" s="18">
        <v>0.1146292845979316</v>
      </c>
      <c r="F277" s="18">
        <v>0.12970445426551841</v>
      </c>
      <c r="G277" s="18">
        <v>0.14635167315815539</v>
      </c>
      <c r="H277" s="18">
        <v>0.1519828778238804</v>
      </c>
      <c r="I277" s="18">
        <v>0.1717421464099923</v>
      </c>
    </row>
    <row r="278" spans="1:9" x14ac:dyDescent="0.35">
      <c r="A278" s="14" t="s">
        <v>200</v>
      </c>
      <c r="B278" s="18">
        <v>7.1888262010760762E-2</v>
      </c>
      <c r="C278" s="18">
        <v>0.14659725617337521</v>
      </c>
      <c r="D278" s="18">
        <v>0.1102822670639097</v>
      </c>
      <c r="E278" s="18">
        <v>6.7107865637563963E-2</v>
      </c>
      <c r="F278" s="18">
        <v>7.1888262010760762E-2</v>
      </c>
      <c r="G278" s="18">
        <v>6.6063914422377884E-2</v>
      </c>
      <c r="H278" s="18">
        <v>5.7336332721740317E-2</v>
      </c>
      <c r="I278" s="18">
        <v>2.8443260250933459E-2</v>
      </c>
    </row>
    <row r="279" spans="1:9" x14ac:dyDescent="0.35">
      <c r="A279" s="14" t="s">
        <v>201</v>
      </c>
      <c r="B279" s="18">
        <v>0</v>
      </c>
      <c r="C279" s="18">
        <v>0</v>
      </c>
      <c r="D279" s="18">
        <v>0</v>
      </c>
      <c r="E279" s="18">
        <v>0</v>
      </c>
      <c r="F279" s="18">
        <v>0</v>
      </c>
      <c r="G279" s="18">
        <v>0</v>
      </c>
      <c r="H279" s="18">
        <v>0</v>
      </c>
      <c r="I279" s="18">
        <v>0</v>
      </c>
    </row>
    <row r="280" spans="1:9" x14ac:dyDescent="0.35">
      <c r="A280" s="14" t="s">
        <v>202</v>
      </c>
      <c r="B280" s="18">
        <v>0</v>
      </c>
      <c r="C280" s="18">
        <v>0</v>
      </c>
      <c r="D280" s="18">
        <v>0</v>
      </c>
      <c r="E280" s="18">
        <v>0</v>
      </c>
      <c r="F280" s="18">
        <v>0</v>
      </c>
      <c r="G280" s="18">
        <v>0</v>
      </c>
      <c r="H280" s="18">
        <v>0</v>
      </c>
      <c r="I280" s="18">
        <v>0</v>
      </c>
    </row>
    <row r="281" spans="1:9" x14ac:dyDescent="0.35">
      <c r="A281" s="14" t="s">
        <v>211</v>
      </c>
      <c r="B281" s="18">
        <v>3.2796342339608847E-2</v>
      </c>
      <c r="C281" s="18">
        <v>0</v>
      </c>
      <c r="D281" s="18">
        <v>0</v>
      </c>
      <c r="E281" s="18">
        <v>5.4573288049594222E-2</v>
      </c>
      <c r="F281" s="18">
        <v>3.2796342339608847E-2</v>
      </c>
      <c r="G281" s="18">
        <v>3.0139200657912792E-2</v>
      </c>
      <c r="H281" s="18">
        <v>2.615756653232815E-2</v>
      </c>
      <c r="I281" s="18">
        <v>2.9558307392560441E-2</v>
      </c>
    </row>
    <row r="282" spans="1:9" x14ac:dyDescent="0.35">
      <c r="A282" s="14" t="s">
        <v>212</v>
      </c>
      <c r="B282" s="18">
        <v>0</v>
      </c>
      <c r="C282" s="18">
        <v>0</v>
      </c>
      <c r="D282" s="18">
        <v>0</v>
      </c>
      <c r="E282" s="18">
        <v>0</v>
      </c>
      <c r="F282" s="18">
        <v>0</v>
      </c>
      <c r="G282" s="18">
        <v>0</v>
      </c>
      <c r="H282" s="18">
        <v>0</v>
      </c>
      <c r="I282" s="18">
        <v>0</v>
      </c>
    </row>
    <row r="283" spans="1:9" x14ac:dyDescent="0.35">
      <c r="A283" s="14" t="s">
        <v>203</v>
      </c>
      <c r="B283" s="18">
        <v>0</v>
      </c>
      <c r="C283" s="18">
        <v>0</v>
      </c>
      <c r="D283" s="18">
        <v>0</v>
      </c>
      <c r="E283" s="18">
        <v>0</v>
      </c>
      <c r="F283" s="18">
        <v>0</v>
      </c>
      <c r="G283" s="18">
        <v>0</v>
      </c>
      <c r="H283" s="18">
        <v>0</v>
      </c>
      <c r="I283" s="18">
        <v>0</v>
      </c>
    </row>
    <row r="284" spans="1:9" x14ac:dyDescent="0.35">
      <c r="A284" s="14" t="s">
        <v>204</v>
      </c>
      <c r="B284" s="18">
        <v>0</v>
      </c>
      <c r="C284" s="18">
        <v>0</v>
      </c>
      <c r="D284" s="18">
        <v>0</v>
      </c>
      <c r="E284" s="18">
        <v>0</v>
      </c>
      <c r="F284" s="18">
        <v>0</v>
      </c>
      <c r="G284" s="18">
        <v>0</v>
      </c>
      <c r="H284" s="18">
        <v>0</v>
      </c>
      <c r="I284" s="18">
        <v>0</v>
      </c>
    </row>
    <row r="285" spans="1:9" x14ac:dyDescent="0.35">
      <c r="A285" s="14" t="s">
        <v>213</v>
      </c>
      <c r="B285" s="1">
        <f t="shared" ref="B285:F285" si="12">(B271-B273)*100</f>
        <v>49.202803047617003</v>
      </c>
      <c r="C285" s="1">
        <f t="shared" si="12"/>
        <v>57.536047993349307</v>
      </c>
      <c r="D285" s="1">
        <f t="shared" si="12"/>
        <v>68.055194087343239</v>
      </c>
      <c r="E285" s="1">
        <f t="shared" si="12"/>
        <v>58.183679126601874</v>
      </c>
      <c r="F285" s="1">
        <f t="shared" si="12"/>
        <v>49.202803047617003</v>
      </c>
      <c r="G285" s="1">
        <v>48.107802825800128</v>
      </c>
      <c r="H285" s="1">
        <v>44.27468320093007</v>
      </c>
      <c r="I285" s="1">
        <v>41.22204118259026</v>
      </c>
    </row>
    <row r="287" spans="1:9" x14ac:dyDescent="0.35">
      <c r="C287" s="187"/>
      <c r="D287" s="187"/>
      <c r="E287" s="187"/>
      <c r="F287" s="187"/>
      <c r="G287" s="170"/>
      <c r="H287" s="170"/>
      <c r="I287" s="170"/>
    </row>
    <row r="288" spans="1:9" ht="29" x14ac:dyDescent="0.35">
      <c r="A288" s="12" t="s">
        <v>488</v>
      </c>
      <c r="B288" s="13" t="s">
        <v>208</v>
      </c>
      <c r="C288" s="13" t="s">
        <v>458</v>
      </c>
      <c r="D288" s="13" t="s">
        <v>466</v>
      </c>
      <c r="E288" s="13" t="s">
        <v>467</v>
      </c>
      <c r="F288" s="13" t="s">
        <v>468</v>
      </c>
      <c r="G288" s="13" t="s">
        <v>634</v>
      </c>
      <c r="H288" s="13" t="s">
        <v>641</v>
      </c>
      <c r="I288" s="13" t="s">
        <v>647</v>
      </c>
    </row>
    <row r="289" spans="1:9" x14ac:dyDescent="0.35">
      <c r="A289" s="14" t="s">
        <v>209</v>
      </c>
      <c r="B289" s="15">
        <v>0</v>
      </c>
      <c r="C289" s="15">
        <v>0</v>
      </c>
      <c r="D289" s="15">
        <v>0</v>
      </c>
      <c r="E289" s="15">
        <v>0</v>
      </c>
      <c r="F289" s="15">
        <v>0</v>
      </c>
      <c r="G289" s="15">
        <v>0</v>
      </c>
      <c r="H289" s="15">
        <v>0</v>
      </c>
      <c r="I289" s="15">
        <v>0</v>
      </c>
    </row>
    <row r="290" spans="1:9" x14ac:dyDescent="0.35">
      <c r="A290" s="16" t="s">
        <v>336</v>
      </c>
      <c r="B290" s="17" t="s">
        <v>214</v>
      </c>
      <c r="C290" s="168" t="s">
        <v>214</v>
      </c>
      <c r="D290" s="168" t="s">
        <v>214</v>
      </c>
      <c r="E290" s="168" t="s">
        <v>214</v>
      </c>
      <c r="F290" s="168" t="s">
        <v>214</v>
      </c>
      <c r="G290" s="168" t="s">
        <v>214</v>
      </c>
      <c r="H290" s="168" t="s">
        <v>214</v>
      </c>
      <c r="I290" s="168" t="s">
        <v>214</v>
      </c>
    </row>
    <row r="291" spans="1:9" x14ac:dyDescent="0.35">
      <c r="A291" s="16" t="s">
        <v>194</v>
      </c>
      <c r="B291" s="17" t="s">
        <v>214</v>
      </c>
      <c r="C291" s="168" t="s">
        <v>214</v>
      </c>
      <c r="D291" s="168" t="s">
        <v>214</v>
      </c>
      <c r="E291" s="168" t="s">
        <v>214</v>
      </c>
      <c r="F291" s="168" t="s">
        <v>214</v>
      </c>
      <c r="G291" s="168" t="s">
        <v>214</v>
      </c>
      <c r="H291" s="168" t="s">
        <v>214</v>
      </c>
      <c r="I291" s="168" t="s">
        <v>214</v>
      </c>
    </row>
    <row r="292" spans="1:9" x14ac:dyDescent="0.35">
      <c r="A292" s="16" t="s">
        <v>195</v>
      </c>
      <c r="B292" s="17" t="s">
        <v>214</v>
      </c>
      <c r="C292" s="168" t="s">
        <v>214</v>
      </c>
      <c r="D292" s="168" t="s">
        <v>214</v>
      </c>
      <c r="E292" s="168" t="s">
        <v>214</v>
      </c>
      <c r="F292" s="168" t="s">
        <v>214</v>
      </c>
      <c r="G292" s="168" t="s">
        <v>214</v>
      </c>
      <c r="H292" s="168" t="s">
        <v>214</v>
      </c>
      <c r="I292" s="168" t="s">
        <v>214</v>
      </c>
    </row>
    <row r="293" spans="1:9" x14ac:dyDescent="0.35">
      <c r="A293" s="14" t="s">
        <v>210</v>
      </c>
      <c r="B293" s="18" t="s">
        <v>214</v>
      </c>
      <c r="C293" s="18" t="s">
        <v>214</v>
      </c>
      <c r="D293" s="18" t="s">
        <v>214</v>
      </c>
      <c r="E293" s="18" t="s">
        <v>214</v>
      </c>
      <c r="F293" s="18" t="s">
        <v>214</v>
      </c>
      <c r="G293" s="18" t="s">
        <v>214</v>
      </c>
      <c r="H293" s="18" t="s">
        <v>214</v>
      </c>
      <c r="I293" s="18" t="s">
        <v>214</v>
      </c>
    </row>
    <row r="294" spans="1:9" x14ac:dyDescent="0.35">
      <c r="A294" s="14" t="s">
        <v>197</v>
      </c>
      <c r="B294" s="18" t="s">
        <v>214</v>
      </c>
      <c r="C294" s="18" t="s">
        <v>214</v>
      </c>
      <c r="D294" s="18" t="s">
        <v>214</v>
      </c>
      <c r="E294" s="18" t="s">
        <v>214</v>
      </c>
      <c r="F294" s="18" t="s">
        <v>214</v>
      </c>
      <c r="G294" s="18" t="s">
        <v>214</v>
      </c>
      <c r="H294" s="18" t="s">
        <v>214</v>
      </c>
      <c r="I294" s="18" t="s">
        <v>214</v>
      </c>
    </row>
    <row r="295" spans="1:9" x14ac:dyDescent="0.35">
      <c r="A295" s="14" t="s">
        <v>198</v>
      </c>
      <c r="B295" s="18" t="s">
        <v>214</v>
      </c>
      <c r="C295" s="18" t="s">
        <v>214</v>
      </c>
      <c r="D295" s="18" t="s">
        <v>214</v>
      </c>
      <c r="E295" s="18" t="s">
        <v>214</v>
      </c>
      <c r="F295" s="18" t="s">
        <v>214</v>
      </c>
      <c r="G295" s="18" t="s">
        <v>214</v>
      </c>
      <c r="H295" s="18" t="s">
        <v>214</v>
      </c>
      <c r="I295" s="18" t="s">
        <v>214</v>
      </c>
    </row>
    <row r="296" spans="1:9" x14ac:dyDescent="0.35">
      <c r="A296" s="14" t="s">
        <v>199</v>
      </c>
      <c r="B296" s="18" t="s">
        <v>214</v>
      </c>
      <c r="C296" s="18" t="s">
        <v>214</v>
      </c>
      <c r="D296" s="18" t="s">
        <v>214</v>
      </c>
      <c r="E296" s="18" t="s">
        <v>214</v>
      </c>
      <c r="F296" s="18" t="s">
        <v>214</v>
      </c>
      <c r="G296" s="18" t="s">
        <v>214</v>
      </c>
      <c r="H296" s="18" t="s">
        <v>214</v>
      </c>
      <c r="I296" s="18" t="s">
        <v>214</v>
      </c>
    </row>
    <row r="297" spans="1:9" x14ac:dyDescent="0.35">
      <c r="A297" s="14" t="s">
        <v>200</v>
      </c>
      <c r="B297" s="18" t="s">
        <v>214</v>
      </c>
      <c r="C297" s="18" t="s">
        <v>214</v>
      </c>
      <c r="D297" s="18" t="s">
        <v>214</v>
      </c>
      <c r="E297" s="18" t="s">
        <v>214</v>
      </c>
      <c r="F297" s="18" t="s">
        <v>214</v>
      </c>
      <c r="G297" s="18" t="s">
        <v>214</v>
      </c>
      <c r="H297" s="18" t="s">
        <v>214</v>
      </c>
      <c r="I297" s="18" t="s">
        <v>214</v>
      </c>
    </row>
    <row r="298" spans="1:9" x14ac:dyDescent="0.35">
      <c r="A298" s="14" t="s">
        <v>201</v>
      </c>
      <c r="B298" s="18" t="s">
        <v>214</v>
      </c>
      <c r="C298" s="18" t="s">
        <v>214</v>
      </c>
      <c r="D298" s="18" t="s">
        <v>214</v>
      </c>
      <c r="E298" s="18" t="s">
        <v>214</v>
      </c>
      <c r="F298" s="18" t="s">
        <v>214</v>
      </c>
      <c r="G298" s="18" t="s">
        <v>214</v>
      </c>
      <c r="H298" s="18" t="s">
        <v>214</v>
      </c>
      <c r="I298" s="18" t="s">
        <v>214</v>
      </c>
    </row>
    <row r="299" spans="1:9" x14ac:dyDescent="0.35">
      <c r="A299" s="14" t="s">
        <v>202</v>
      </c>
      <c r="B299" s="18" t="s">
        <v>214</v>
      </c>
      <c r="C299" s="18" t="s">
        <v>214</v>
      </c>
      <c r="D299" s="18" t="s">
        <v>214</v>
      </c>
      <c r="E299" s="18" t="s">
        <v>214</v>
      </c>
      <c r="F299" s="18" t="s">
        <v>214</v>
      </c>
      <c r="G299" s="18" t="s">
        <v>214</v>
      </c>
      <c r="H299" s="18" t="s">
        <v>214</v>
      </c>
      <c r="I299" s="18" t="s">
        <v>214</v>
      </c>
    </row>
    <row r="300" spans="1:9" x14ac:dyDescent="0.35">
      <c r="A300" s="14" t="s">
        <v>211</v>
      </c>
      <c r="B300" s="18" t="s">
        <v>214</v>
      </c>
      <c r="C300" s="18" t="s">
        <v>214</v>
      </c>
      <c r="D300" s="18" t="s">
        <v>214</v>
      </c>
      <c r="E300" s="18" t="s">
        <v>214</v>
      </c>
      <c r="F300" s="18" t="s">
        <v>214</v>
      </c>
      <c r="G300" s="18" t="s">
        <v>214</v>
      </c>
      <c r="H300" s="18" t="s">
        <v>214</v>
      </c>
      <c r="I300" s="18" t="s">
        <v>214</v>
      </c>
    </row>
    <row r="301" spans="1:9" x14ac:dyDescent="0.35">
      <c r="A301" s="14" t="s">
        <v>212</v>
      </c>
      <c r="B301" s="18" t="s">
        <v>214</v>
      </c>
      <c r="C301" s="18" t="s">
        <v>214</v>
      </c>
      <c r="D301" s="18" t="s">
        <v>214</v>
      </c>
      <c r="E301" s="18" t="s">
        <v>214</v>
      </c>
      <c r="F301" s="18" t="s">
        <v>214</v>
      </c>
      <c r="G301" s="18" t="s">
        <v>214</v>
      </c>
      <c r="H301" s="18" t="s">
        <v>214</v>
      </c>
      <c r="I301" s="18" t="s">
        <v>214</v>
      </c>
    </row>
    <row r="302" spans="1:9" x14ac:dyDescent="0.35">
      <c r="A302" s="14" t="s">
        <v>203</v>
      </c>
      <c r="B302" s="18" t="s">
        <v>214</v>
      </c>
      <c r="C302" s="18" t="s">
        <v>214</v>
      </c>
      <c r="D302" s="18" t="s">
        <v>214</v>
      </c>
      <c r="E302" s="18" t="s">
        <v>214</v>
      </c>
      <c r="F302" s="18" t="s">
        <v>214</v>
      </c>
      <c r="G302" s="18" t="s">
        <v>214</v>
      </c>
      <c r="H302" s="18" t="s">
        <v>214</v>
      </c>
      <c r="I302" s="18" t="s">
        <v>214</v>
      </c>
    </row>
    <row r="303" spans="1:9" x14ac:dyDescent="0.35">
      <c r="A303" s="14" t="s">
        <v>204</v>
      </c>
      <c r="B303" s="18" t="s">
        <v>214</v>
      </c>
      <c r="C303" s="18" t="s">
        <v>214</v>
      </c>
      <c r="D303" s="18" t="s">
        <v>214</v>
      </c>
      <c r="E303" s="18" t="s">
        <v>214</v>
      </c>
      <c r="F303" s="18" t="s">
        <v>214</v>
      </c>
      <c r="G303" s="18" t="s">
        <v>214</v>
      </c>
      <c r="H303" s="18" t="s">
        <v>214</v>
      </c>
      <c r="I303" s="18" t="s">
        <v>214</v>
      </c>
    </row>
    <row r="305" spans="1:9" x14ac:dyDescent="0.35">
      <c r="C305" s="187"/>
      <c r="D305" s="187"/>
      <c r="E305" s="187"/>
      <c r="F305" s="187"/>
      <c r="G305" s="170"/>
      <c r="H305" s="170"/>
      <c r="I305" s="170"/>
    </row>
    <row r="306" spans="1:9" ht="29" x14ac:dyDescent="0.35">
      <c r="A306" s="12" t="s">
        <v>489</v>
      </c>
      <c r="B306" s="13" t="s">
        <v>208</v>
      </c>
      <c r="C306" s="13" t="s">
        <v>458</v>
      </c>
      <c r="D306" s="13" t="s">
        <v>466</v>
      </c>
      <c r="E306" s="13" t="s">
        <v>467</v>
      </c>
      <c r="F306" s="13" t="s">
        <v>468</v>
      </c>
      <c r="G306" s="13" t="s">
        <v>634</v>
      </c>
      <c r="H306" s="13" t="s">
        <v>641</v>
      </c>
      <c r="I306" s="13" t="s">
        <v>647</v>
      </c>
    </row>
    <row r="307" spans="1:9" x14ac:dyDescent="0.35">
      <c r="A307" s="14" t="s">
        <v>209</v>
      </c>
      <c r="B307" s="15">
        <v>27</v>
      </c>
      <c r="C307" s="15">
        <v>11</v>
      </c>
      <c r="D307" s="15">
        <v>18</v>
      </c>
      <c r="E307" s="15">
        <v>22</v>
      </c>
      <c r="F307" s="15">
        <v>27</v>
      </c>
      <c r="G307" s="15">
        <v>32</v>
      </c>
      <c r="H307" s="15">
        <v>39</v>
      </c>
      <c r="I307" s="15">
        <v>33</v>
      </c>
    </row>
    <row r="308" spans="1:9" x14ac:dyDescent="0.35">
      <c r="A308" s="16" t="s">
        <v>336</v>
      </c>
      <c r="B308" s="17">
        <v>0.62970032475048843</v>
      </c>
      <c r="C308" s="153">
        <v>0.83405693059202757</v>
      </c>
      <c r="D308" s="17">
        <v>0.73361351083744997</v>
      </c>
      <c r="E308" s="153">
        <v>0.70946118593656726</v>
      </c>
      <c r="F308" s="17">
        <v>0.62970032475048843</v>
      </c>
      <c r="G308" s="17">
        <v>0.65391775485850856</v>
      </c>
      <c r="H308" s="17">
        <v>0.63829223271329671</v>
      </c>
      <c r="I308" s="154">
        <v>0.5360847969354694</v>
      </c>
    </row>
    <row r="309" spans="1:9" x14ac:dyDescent="0.35">
      <c r="A309" s="16" t="s">
        <v>194</v>
      </c>
      <c r="B309" s="17">
        <v>0.34171313850188989</v>
      </c>
      <c r="C309" s="17">
        <v>0.16594306940797249</v>
      </c>
      <c r="D309" s="17">
        <v>0.26638648916255009</v>
      </c>
      <c r="E309" s="154">
        <v>0.2542456945269298</v>
      </c>
      <c r="F309" s="17">
        <v>0.34171313850188989</v>
      </c>
      <c r="G309" s="17">
        <v>0.32172343758670979</v>
      </c>
      <c r="H309" s="17">
        <v>0.34200391399995678</v>
      </c>
      <c r="I309" s="17">
        <v>0.44115934536210788</v>
      </c>
    </row>
    <row r="310" spans="1:9" x14ac:dyDescent="0.35">
      <c r="A310" s="16" t="s">
        <v>195</v>
      </c>
      <c r="B310" s="17">
        <v>2.858653674762162E-2</v>
      </c>
      <c r="C310" s="17">
        <v>0</v>
      </c>
      <c r="D310" s="17">
        <v>0</v>
      </c>
      <c r="E310" s="17">
        <v>3.6293119536502973E-2</v>
      </c>
      <c r="F310" s="17">
        <v>2.858653674762162E-2</v>
      </c>
      <c r="G310" s="17">
        <v>2.435880755478162E-2</v>
      </c>
      <c r="H310" s="17">
        <v>1.9703853286746321E-2</v>
      </c>
      <c r="I310" s="17">
        <v>2.2755857702422569E-2</v>
      </c>
    </row>
    <row r="311" spans="1:9" x14ac:dyDescent="0.35">
      <c r="A311" s="14" t="s">
        <v>210</v>
      </c>
      <c r="B311" s="18">
        <v>0.35638393475777203</v>
      </c>
      <c r="C311" s="19">
        <v>0.61084877023674955</v>
      </c>
      <c r="D311" s="18">
        <v>0.36603819091608891</v>
      </c>
      <c r="E311" s="18">
        <v>0.40861654026334188</v>
      </c>
      <c r="F311" s="18">
        <v>0.35638393475777203</v>
      </c>
      <c r="G311" s="18">
        <v>0.35659665522737999</v>
      </c>
      <c r="H311" s="18">
        <v>0.39778902610062961</v>
      </c>
      <c r="I311" s="23">
        <v>0.32696761197868029</v>
      </c>
    </row>
    <row r="312" spans="1:9" x14ac:dyDescent="0.35">
      <c r="A312" s="14" t="s">
        <v>197</v>
      </c>
      <c r="B312" s="18">
        <v>0.27331638999271629</v>
      </c>
      <c r="C312" s="18">
        <v>0.22320816035527799</v>
      </c>
      <c r="D312" s="18">
        <v>0.36757531992136111</v>
      </c>
      <c r="E312" s="18">
        <v>0.30084464567322527</v>
      </c>
      <c r="F312" s="18">
        <v>0.27331638999271629</v>
      </c>
      <c r="G312" s="18">
        <v>0.29732109963112852</v>
      </c>
      <c r="H312" s="18">
        <v>0.24050320661266719</v>
      </c>
      <c r="I312" s="18">
        <v>0.20911718495678919</v>
      </c>
    </row>
    <row r="313" spans="1:9" x14ac:dyDescent="0.35">
      <c r="A313" s="14" t="s">
        <v>198</v>
      </c>
      <c r="B313" s="18">
        <v>0.20700530065962089</v>
      </c>
      <c r="C313" s="18">
        <v>9.4256634024188934E-2</v>
      </c>
      <c r="D313" s="18">
        <v>0.1221525306943671</v>
      </c>
      <c r="E313" s="23">
        <v>0.136196381154393</v>
      </c>
      <c r="F313" s="18">
        <v>0.20700530065962089</v>
      </c>
      <c r="G313" s="18">
        <v>0.20693785418113819</v>
      </c>
      <c r="H313" s="18">
        <v>0.2210768818952403</v>
      </c>
      <c r="I313" s="18">
        <v>0.25638762718702979</v>
      </c>
    </row>
    <row r="314" spans="1:9" x14ac:dyDescent="0.35">
      <c r="A314" s="14" t="s">
        <v>199</v>
      </c>
      <c r="B314" s="18">
        <v>0.13470783784226911</v>
      </c>
      <c r="C314" s="18">
        <v>7.1686435383783512E-2</v>
      </c>
      <c r="D314" s="18">
        <v>0.14423395846818299</v>
      </c>
      <c r="E314" s="18">
        <v>0.1180493133725368</v>
      </c>
      <c r="F314" s="18">
        <v>0.13470783784226911</v>
      </c>
      <c r="G314" s="18">
        <v>0.1147855834055717</v>
      </c>
      <c r="H314" s="18">
        <v>0.1209270321047166</v>
      </c>
      <c r="I314" s="18">
        <v>0.18477171817507809</v>
      </c>
    </row>
    <row r="315" spans="1:9" x14ac:dyDescent="0.35">
      <c r="A315" s="14" t="s">
        <v>200</v>
      </c>
      <c r="B315" s="18">
        <v>0</v>
      </c>
      <c r="C315" s="18">
        <v>0</v>
      </c>
      <c r="D315" s="18">
        <v>0</v>
      </c>
      <c r="E315" s="18">
        <v>0</v>
      </c>
      <c r="F315" s="18">
        <v>0</v>
      </c>
      <c r="G315" s="18">
        <v>0</v>
      </c>
      <c r="H315" s="18">
        <v>0</v>
      </c>
      <c r="I315" s="18">
        <v>0</v>
      </c>
    </row>
    <row r="316" spans="1:9" x14ac:dyDescent="0.35">
      <c r="A316" s="14" t="s">
        <v>201</v>
      </c>
      <c r="B316" s="18">
        <v>2.858653674762162E-2</v>
      </c>
      <c r="C316" s="18">
        <v>0</v>
      </c>
      <c r="D316" s="18">
        <v>0</v>
      </c>
      <c r="E316" s="18">
        <v>3.6293119536502973E-2</v>
      </c>
      <c r="F316" s="18">
        <v>2.858653674762162E-2</v>
      </c>
      <c r="G316" s="18">
        <v>2.435880755478162E-2</v>
      </c>
      <c r="H316" s="18">
        <v>1.9703853286746321E-2</v>
      </c>
      <c r="I316" s="18">
        <v>2.2755857702422569E-2</v>
      </c>
    </row>
    <row r="317" spans="1:9" x14ac:dyDescent="0.35">
      <c r="A317" s="14" t="s">
        <v>202</v>
      </c>
      <c r="B317" s="18">
        <v>0</v>
      </c>
      <c r="C317" s="18">
        <v>0</v>
      </c>
      <c r="D317" s="18">
        <v>0</v>
      </c>
      <c r="E317" s="18">
        <v>0</v>
      </c>
      <c r="F317" s="18">
        <v>0</v>
      </c>
      <c r="G317" s="18">
        <v>0</v>
      </c>
      <c r="H317" s="18">
        <v>0</v>
      </c>
      <c r="I317" s="18">
        <v>0</v>
      </c>
    </row>
    <row r="318" spans="1:9" x14ac:dyDescent="0.35">
      <c r="A318" s="14" t="s">
        <v>211</v>
      </c>
      <c r="B318" s="18">
        <v>0</v>
      </c>
      <c r="C318" s="18">
        <v>0</v>
      </c>
      <c r="D318" s="18">
        <v>0</v>
      </c>
      <c r="E318" s="18">
        <v>0</v>
      </c>
      <c r="F318" s="18">
        <v>0</v>
      </c>
      <c r="G318" s="18">
        <v>0</v>
      </c>
      <c r="H318" s="18">
        <v>0</v>
      </c>
      <c r="I318" s="18">
        <v>0</v>
      </c>
    </row>
    <row r="319" spans="1:9" x14ac:dyDescent="0.35">
      <c r="A319" s="14" t="s">
        <v>212</v>
      </c>
      <c r="B319" s="18">
        <v>0</v>
      </c>
      <c r="C319" s="18">
        <v>0</v>
      </c>
      <c r="D319" s="18">
        <v>0</v>
      </c>
      <c r="E319" s="18">
        <v>0</v>
      </c>
      <c r="F319" s="18">
        <v>0</v>
      </c>
      <c r="G319" s="18">
        <v>0</v>
      </c>
      <c r="H319" s="18">
        <v>0</v>
      </c>
      <c r="I319" s="18">
        <v>0</v>
      </c>
    </row>
    <row r="320" spans="1:9" x14ac:dyDescent="0.35">
      <c r="A320" s="14" t="s">
        <v>203</v>
      </c>
      <c r="B320" s="18">
        <v>0</v>
      </c>
      <c r="C320" s="18">
        <v>0</v>
      </c>
      <c r="D320" s="18">
        <v>0</v>
      </c>
      <c r="E320" s="18">
        <v>0</v>
      </c>
      <c r="F320" s="18">
        <v>0</v>
      </c>
      <c r="G320" s="18">
        <v>0</v>
      </c>
      <c r="H320" s="18">
        <v>0</v>
      </c>
      <c r="I320" s="18">
        <v>0</v>
      </c>
    </row>
    <row r="321" spans="1:9" x14ac:dyDescent="0.35">
      <c r="A321" s="14" t="s">
        <v>204</v>
      </c>
      <c r="B321" s="18">
        <v>0</v>
      </c>
      <c r="C321" s="18">
        <v>0</v>
      </c>
      <c r="D321" s="18">
        <v>0</v>
      </c>
      <c r="E321" s="18">
        <v>0</v>
      </c>
      <c r="F321" s="18">
        <v>0</v>
      </c>
      <c r="G321" s="18">
        <v>0</v>
      </c>
      <c r="H321" s="18">
        <v>0</v>
      </c>
      <c r="I321" s="18">
        <v>0</v>
      </c>
    </row>
    <row r="322" spans="1:9" x14ac:dyDescent="0.35">
      <c r="A322" s="14" t="s">
        <v>213</v>
      </c>
      <c r="B322" s="1">
        <f t="shared" ref="B322:F322" si="13">(B308-B310)*100</f>
        <v>60.111378800286687</v>
      </c>
      <c r="C322" s="1">
        <f t="shared" si="13"/>
        <v>83.405693059202761</v>
      </c>
      <c r="D322" s="1">
        <f t="shared" si="13"/>
        <v>73.361351083744992</v>
      </c>
      <c r="E322" s="1">
        <f t="shared" si="13"/>
        <v>67.316806640006433</v>
      </c>
      <c r="F322" s="1">
        <f t="shared" si="13"/>
        <v>60.111378800286687</v>
      </c>
      <c r="G322" s="1">
        <v>62.955894730372698</v>
      </c>
      <c r="H322" s="1">
        <v>61.85883794265505</v>
      </c>
      <c r="I322" s="1">
        <v>51.332893923304688</v>
      </c>
    </row>
    <row r="324" spans="1:9" x14ac:dyDescent="0.35">
      <c r="C324" s="187"/>
      <c r="D324" s="187"/>
      <c r="E324" s="187"/>
      <c r="F324" s="187"/>
      <c r="G324" s="170"/>
      <c r="H324" s="170"/>
      <c r="I324" s="170"/>
    </row>
    <row r="325" spans="1:9" ht="29" x14ac:dyDescent="0.35">
      <c r="A325" s="12" t="s">
        <v>490</v>
      </c>
      <c r="B325" s="13" t="s">
        <v>208</v>
      </c>
      <c r="C325" s="13" t="s">
        <v>458</v>
      </c>
      <c r="D325" s="13" t="s">
        <v>466</v>
      </c>
      <c r="E325" s="13" t="s">
        <v>467</v>
      </c>
      <c r="F325" s="13" t="s">
        <v>468</v>
      </c>
      <c r="G325" s="13" t="s">
        <v>634</v>
      </c>
      <c r="H325" s="13" t="s">
        <v>641</v>
      </c>
      <c r="I325" s="13" t="s">
        <v>647</v>
      </c>
    </row>
    <row r="326" spans="1:9" x14ac:dyDescent="0.35">
      <c r="A326" s="14" t="s">
        <v>209</v>
      </c>
      <c r="B326" s="15">
        <v>11</v>
      </c>
      <c r="C326" s="15">
        <v>2</v>
      </c>
      <c r="D326" s="15">
        <v>4</v>
      </c>
      <c r="E326" s="15">
        <v>5</v>
      </c>
      <c r="F326" s="15">
        <v>11</v>
      </c>
      <c r="G326" s="15">
        <v>14</v>
      </c>
      <c r="H326" s="15">
        <v>15</v>
      </c>
      <c r="I326" s="15">
        <v>19</v>
      </c>
    </row>
    <row r="327" spans="1:9" x14ac:dyDescent="0.35">
      <c r="A327" s="16" t="s">
        <v>336</v>
      </c>
      <c r="B327" s="17">
        <v>0.75879459297773577</v>
      </c>
      <c r="C327" s="17">
        <v>1</v>
      </c>
      <c r="D327" s="17">
        <v>0.77256993943164842</v>
      </c>
      <c r="E327" s="17">
        <v>0.59964107106984399</v>
      </c>
      <c r="F327" s="17">
        <v>0.75879459297773577</v>
      </c>
      <c r="G327" s="17">
        <v>0.79939681602610568</v>
      </c>
      <c r="H327" s="17">
        <v>0.74770544560525964</v>
      </c>
      <c r="I327" s="17">
        <v>0.59225514917284161</v>
      </c>
    </row>
    <row r="328" spans="1:9" x14ac:dyDescent="0.35">
      <c r="A328" s="16" t="s">
        <v>194</v>
      </c>
      <c r="B328" s="17">
        <v>0.2412054070222642</v>
      </c>
      <c r="C328" s="17">
        <v>0</v>
      </c>
      <c r="D328" s="17">
        <v>0.22743006056835149</v>
      </c>
      <c r="E328" s="17">
        <v>0.40035892893015601</v>
      </c>
      <c r="F328" s="17">
        <v>0.2412054070222642</v>
      </c>
      <c r="G328" s="17">
        <v>0.20060318397389429</v>
      </c>
      <c r="H328" s="17">
        <v>0.1876315867864756</v>
      </c>
      <c r="I328" s="17">
        <v>0.29562015796797181</v>
      </c>
    </row>
    <row r="329" spans="1:9" x14ac:dyDescent="0.35">
      <c r="A329" s="16" t="s">
        <v>195</v>
      </c>
      <c r="B329" s="17">
        <v>0</v>
      </c>
      <c r="C329" s="17">
        <v>0</v>
      </c>
      <c r="D329" s="17">
        <v>0</v>
      </c>
      <c r="E329" s="17">
        <v>0</v>
      </c>
      <c r="F329" s="17">
        <v>0</v>
      </c>
      <c r="G329" s="17">
        <v>0</v>
      </c>
      <c r="H329" s="17">
        <v>6.4662967608264676E-2</v>
      </c>
      <c r="I329" s="17">
        <v>0.11212469285918671</v>
      </c>
    </row>
    <row r="330" spans="1:9" x14ac:dyDescent="0.35">
      <c r="A330" s="14" t="s">
        <v>210</v>
      </c>
      <c r="B330" s="18">
        <v>0.55114946342374971</v>
      </c>
      <c r="C330" s="18">
        <v>1</v>
      </c>
      <c r="D330" s="18">
        <v>0.77256993943164842</v>
      </c>
      <c r="E330" s="18">
        <v>0.59964107106984399</v>
      </c>
      <c r="F330" s="18">
        <v>0.55114946342374971</v>
      </c>
      <c r="G330" s="18">
        <v>0.458374207167347</v>
      </c>
      <c r="H330" s="18">
        <v>0.42873437065682091</v>
      </c>
      <c r="I330" s="21">
        <v>0.27271587452850732</v>
      </c>
    </row>
    <row r="331" spans="1:9" x14ac:dyDescent="0.35">
      <c r="A331" s="14" t="s">
        <v>197</v>
      </c>
      <c r="B331" s="18">
        <v>0.20764512955398609</v>
      </c>
      <c r="C331" s="18">
        <v>0</v>
      </c>
      <c r="D331" s="18">
        <v>0</v>
      </c>
      <c r="E331" s="18">
        <v>0</v>
      </c>
      <c r="F331" s="18">
        <v>0.20764512955398609</v>
      </c>
      <c r="G331" s="18">
        <v>0.34102260885875868</v>
      </c>
      <c r="H331" s="18">
        <v>0.31897107494843879</v>
      </c>
      <c r="I331" s="18">
        <v>0.3195392746443344</v>
      </c>
    </row>
    <row r="332" spans="1:9" x14ac:dyDescent="0.35">
      <c r="A332" s="14" t="s">
        <v>198</v>
      </c>
      <c r="B332" s="18">
        <v>0.2412054070222642</v>
      </c>
      <c r="C332" s="18">
        <v>0</v>
      </c>
      <c r="D332" s="18">
        <v>0.22743006056835149</v>
      </c>
      <c r="E332" s="18">
        <v>0.40035892893015601</v>
      </c>
      <c r="F332" s="18">
        <v>0.2412054070222642</v>
      </c>
      <c r="G332" s="18">
        <v>0.20060318397389429</v>
      </c>
      <c r="H332" s="18">
        <v>0.1876315867864756</v>
      </c>
      <c r="I332" s="18">
        <v>0.25103339026826438</v>
      </c>
    </row>
    <row r="333" spans="1:9" x14ac:dyDescent="0.35">
      <c r="A333" s="14" t="s">
        <v>199</v>
      </c>
      <c r="B333" s="18">
        <v>0</v>
      </c>
      <c r="C333" s="18">
        <v>0</v>
      </c>
      <c r="D333" s="18">
        <v>0</v>
      </c>
      <c r="E333" s="18">
        <v>0</v>
      </c>
      <c r="F333" s="18">
        <v>0</v>
      </c>
      <c r="G333" s="18">
        <v>0</v>
      </c>
      <c r="H333" s="18">
        <v>0</v>
      </c>
      <c r="I333" s="18">
        <v>4.4586767699707312E-2</v>
      </c>
    </row>
    <row r="334" spans="1:9" x14ac:dyDescent="0.35">
      <c r="A334" s="14" t="s">
        <v>200</v>
      </c>
      <c r="B334" s="18">
        <v>0</v>
      </c>
      <c r="C334" s="18">
        <v>0</v>
      </c>
      <c r="D334" s="18">
        <v>0</v>
      </c>
      <c r="E334" s="18">
        <v>0</v>
      </c>
      <c r="F334" s="18">
        <v>0</v>
      </c>
      <c r="G334" s="18">
        <v>0</v>
      </c>
      <c r="H334" s="18">
        <v>6.4662967608264676E-2</v>
      </c>
      <c r="I334" s="18">
        <v>0.11212469285918671</v>
      </c>
    </row>
    <row r="335" spans="1:9" x14ac:dyDescent="0.35">
      <c r="A335" s="14" t="s">
        <v>201</v>
      </c>
      <c r="B335" s="18">
        <v>0</v>
      </c>
      <c r="C335" s="18">
        <v>0</v>
      </c>
      <c r="D335" s="18">
        <v>0</v>
      </c>
      <c r="E335" s="18">
        <v>0</v>
      </c>
      <c r="F335" s="18">
        <v>0</v>
      </c>
      <c r="G335" s="18">
        <v>0</v>
      </c>
      <c r="H335" s="18">
        <v>0</v>
      </c>
      <c r="I335" s="18">
        <v>0</v>
      </c>
    </row>
    <row r="336" spans="1:9" x14ac:dyDescent="0.35">
      <c r="A336" s="14" t="s">
        <v>202</v>
      </c>
      <c r="B336" s="18">
        <v>0</v>
      </c>
      <c r="C336" s="18">
        <v>0</v>
      </c>
      <c r="D336" s="18">
        <v>0</v>
      </c>
      <c r="E336" s="18">
        <v>0</v>
      </c>
      <c r="F336" s="18">
        <v>0</v>
      </c>
      <c r="G336" s="18">
        <v>0</v>
      </c>
      <c r="H336" s="18">
        <v>0</v>
      </c>
      <c r="I336" s="18">
        <v>0</v>
      </c>
    </row>
    <row r="337" spans="1:9" x14ac:dyDescent="0.35">
      <c r="A337" s="14" t="s">
        <v>211</v>
      </c>
      <c r="B337" s="18">
        <v>0</v>
      </c>
      <c r="C337" s="18">
        <v>0</v>
      </c>
      <c r="D337" s="18">
        <v>0</v>
      </c>
      <c r="E337" s="18">
        <v>0</v>
      </c>
      <c r="F337" s="18">
        <v>0</v>
      </c>
      <c r="G337" s="18">
        <v>0</v>
      </c>
      <c r="H337" s="18">
        <v>0</v>
      </c>
      <c r="I337" s="18">
        <v>0</v>
      </c>
    </row>
    <row r="338" spans="1:9" x14ac:dyDescent="0.35">
      <c r="A338" s="14" t="s">
        <v>212</v>
      </c>
      <c r="B338" s="18">
        <v>0</v>
      </c>
      <c r="C338" s="18">
        <v>0</v>
      </c>
      <c r="D338" s="18">
        <v>0</v>
      </c>
      <c r="E338" s="18">
        <v>0</v>
      </c>
      <c r="F338" s="18">
        <v>0</v>
      </c>
      <c r="G338" s="18">
        <v>0</v>
      </c>
      <c r="H338" s="18">
        <v>0</v>
      </c>
      <c r="I338" s="18">
        <v>0</v>
      </c>
    </row>
    <row r="339" spans="1:9" x14ac:dyDescent="0.35">
      <c r="A339" s="14" t="s">
        <v>203</v>
      </c>
      <c r="B339" s="18">
        <v>0</v>
      </c>
      <c r="C339" s="18">
        <v>0</v>
      </c>
      <c r="D339" s="18">
        <v>0</v>
      </c>
      <c r="E339" s="18">
        <v>0</v>
      </c>
      <c r="F339" s="18">
        <v>0</v>
      </c>
      <c r="G339" s="18">
        <v>0</v>
      </c>
      <c r="H339" s="18">
        <v>0</v>
      </c>
      <c r="I339" s="18">
        <v>0</v>
      </c>
    </row>
    <row r="340" spans="1:9" x14ac:dyDescent="0.35">
      <c r="A340" s="14" t="s">
        <v>204</v>
      </c>
      <c r="B340" s="18">
        <v>0</v>
      </c>
      <c r="C340" s="18">
        <v>0</v>
      </c>
      <c r="D340" s="18">
        <v>0</v>
      </c>
      <c r="E340" s="18">
        <v>0</v>
      </c>
      <c r="F340" s="18">
        <v>0</v>
      </c>
      <c r="G340" s="18">
        <v>0</v>
      </c>
      <c r="H340" s="18">
        <v>0</v>
      </c>
      <c r="I340" s="18">
        <v>0</v>
      </c>
    </row>
    <row r="341" spans="1:9" x14ac:dyDescent="0.35">
      <c r="A341" s="14" t="s">
        <v>213</v>
      </c>
      <c r="B341" s="1">
        <f t="shared" ref="B341:F341" si="14">(B327-B329)*100</f>
        <v>75.879459297773579</v>
      </c>
      <c r="C341" s="1">
        <f t="shared" si="14"/>
        <v>100</v>
      </c>
      <c r="D341" s="1">
        <f t="shared" si="14"/>
        <v>77.256993943164844</v>
      </c>
      <c r="E341" s="1">
        <f t="shared" si="14"/>
        <v>59.9641071069844</v>
      </c>
      <c r="F341" s="1">
        <f t="shared" si="14"/>
        <v>75.879459297773579</v>
      </c>
      <c r="G341" s="1">
        <v>79.939681602610563</v>
      </c>
      <c r="H341" s="1">
        <v>68.304247799699496</v>
      </c>
      <c r="I341" s="1">
        <v>48.0130456313655</v>
      </c>
    </row>
    <row r="343" spans="1:9" x14ac:dyDescent="0.35">
      <c r="C343" s="187"/>
      <c r="D343" s="187"/>
      <c r="E343" s="187"/>
      <c r="F343" s="187"/>
      <c r="G343" s="170"/>
      <c r="H343" s="170"/>
      <c r="I343" s="170"/>
    </row>
    <row r="344" spans="1:9" ht="29" x14ac:dyDescent="0.35">
      <c r="A344" s="12" t="s">
        <v>491</v>
      </c>
      <c r="B344" s="13" t="s">
        <v>208</v>
      </c>
      <c r="C344" s="13" t="s">
        <v>458</v>
      </c>
      <c r="D344" s="13" t="s">
        <v>466</v>
      </c>
      <c r="E344" s="13" t="s">
        <v>467</v>
      </c>
      <c r="F344" s="13" t="s">
        <v>468</v>
      </c>
      <c r="G344" s="13" t="s">
        <v>634</v>
      </c>
      <c r="H344" s="13" t="s">
        <v>641</v>
      </c>
      <c r="I344" s="13" t="s">
        <v>647</v>
      </c>
    </row>
    <row r="345" spans="1:9" x14ac:dyDescent="0.35">
      <c r="A345" s="14" t="s">
        <v>209</v>
      </c>
      <c r="B345" s="15">
        <v>30</v>
      </c>
      <c r="C345" s="15">
        <v>10</v>
      </c>
      <c r="D345" s="15">
        <v>15</v>
      </c>
      <c r="E345" s="15">
        <v>21</v>
      </c>
      <c r="F345" s="15">
        <v>30</v>
      </c>
      <c r="G345" s="15">
        <v>39</v>
      </c>
      <c r="H345" s="15">
        <v>53</v>
      </c>
      <c r="I345" s="15">
        <v>52</v>
      </c>
    </row>
    <row r="346" spans="1:9" x14ac:dyDescent="0.35">
      <c r="A346" s="16" t="s">
        <v>336</v>
      </c>
      <c r="B346" s="17">
        <v>0.76383533761226363</v>
      </c>
      <c r="C346" s="17">
        <v>0.81966487761317519</v>
      </c>
      <c r="D346" s="17">
        <v>0.68343265962366306</v>
      </c>
      <c r="E346" s="17">
        <v>0.74456348938421724</v>
      </c>
      <c r="F346" s="17">
        <v>0.76383533761226363</v>
      </c>
      <c r="G346" s="152">
        <v>0.71676908972753883</v>
      </c>
      <c r="H346" s="17">
        <v>0.66032701086631151</v>
      </c>
      <c r="I346" s="17">
        <v>0.60152082182785915</v>
      </c>
    </row>
    <row r="347" spans="1:9" x14ac:dyDescent="0.35">
      <c r="A347" s="16" t="s">
        <v>194</v>
      </c>
      <c r="B347" s="17">
        <v>0.1985077232006566</v>
      </c>
      <c r="C347" s="17">
        <v>0.18033512238682481</v>
      </c>
      <c r="D347" s="17">
        <v>0.31656734037633683</v>
      </c>
      <c r="E347" s="17">
        <v>0.25543651061578282</v>
      </c>
      <c r="F347" s="17">
        <v>0.1985077232006566</v>
      </c>
      <c r="G347" s="17">
        <v>0.20645411825745791</v>
      </c>
      <c r="H347" s="17">
        <v>0.26658302804546458</v>
      </c>
      <c r="I347" s="17">
        <v>0.31100563435195411</v>
      </c>
    </row>
    <row r="348" spans="1:9" x14ac:dyDescent="0.35">
      <c r="A348" s="16" t="s">
        <v>195</v>
      </c>
      <c r="B348" s="17">
        <v>3.7656939187079651E-2</v>
      </c>
      <c r="C348" s="17">
        <v>0</v>
      </c>
      <c r="D348" s="17">
        <v>0</v>
      </c>
      <c r="E348" s="17">
        <v>0</v>
      </c>
      <c r="F348" s="17">
        <v>3.7656939187079651E-2</v>
      </c>
      <c r="G348" s="152">
        <v>7.6776792015003467E-2</v>
      </c>
      <c r="H348" s="17">
        <v>7.3089961088223965E-2</v>
      </c>
      <c r="I348" s="17">
        <v>8.7473543820186822E-2</v>
      </c>
    </row>
    <row r="349" spans="1:9" x14ac:dyDescent="0.35">
      <c r="A349" s="14" t="s">
        <v>210</v>
      </c>
      <c r="B349" s="18">
        <v>0.53434476166925182</v>
      </c>
      <c r="C349" s="18">
        <v>0.51635930042285472</v>
      </c>
      <c r="D349" s="18">
        <v>0.4802069279606353</v>
      </c>
      <c r="E349" s="18">
        <v>0.54958544987424618</v>
      </c>
      <c r="F349" s="18">
        <v>0.53434476166925182</v>
      </c>
      <c r="G349" s="18">
        <v>0.48548694140771997</v>
      </c>
      <c r="H349" s="18">
        <v>0.45176218998153372</v>
      </c>
      <c r="I349" s="18">
        <v>0.4191239373611273</v>
      </c>
    </row>
    <row r="350" spans="1:9" x14ac:dyDescent="0.35">
      <c r="A350" s="14" t="s">
        <v>197</v>
      </c>
      <c r="B350" s="18">
        <v>0.22949057594301189</v>
      </c>
      <c r="C350" s="18">
        <v>0.30330557719032059</v>
      </c>
      <c r="D350" s="18">
        <v>0.20322573166302779</v>
      </c>
      <c r="E350" s="18">
        <v>0.194978039509971</v>
      </c>
      <c r="F350" s="18">
        <v>0.22949057594301189</v>
      </c>
      <c r="G350" s="18">
        <v>0.23128214831981889</v>
      </c>
      <c r="H350" s="18">
        <v>0.20856482088477779</v>
      </c>
      <c r="I350" s="18">
        <v>0.1823968844667318</v>
      </c>
    </row>
    <row r="351" spans="1:9" x14ac:dyDescent="0.35">
      <c r="A351" s="14" t="s">
        <v>198</v>
      </c>
      <c r="B351" s="18">
        <v>0.13850661201129039</v>
      </c>
      <c r="C351" s="18">
        <v>0.18033512238682481</v>
      </c>
      <c r="D351" s="20">
        <v>0.24899414979254761</v>
      </c>
      <c r="E351" s="18">
        <v>0.2086045123745883</v>
      </c>
      <c r="F351" s="18">
        <v>0.13850661201129039</v>
      </c>
      <c r="G351" s="18">
        <v>0.1586993969632598</v>
      </c>
      <c r="H351" s="18">
        <v>0.1721076933839909</v>
      </c>
      <c r="I351" s="18">
        <v>0.15651674730999421</v>
      </c>
    </row>
    <row r="352" spans="1:9" x14ac:dyDescent="0.35">
      <c r="A352" s="14" t="s">
        <v>199</v>
      </c>
      <c r="B352" s="18">
        <v>6.0001111189366158E-2</v>
      </c>
      <c r="C352" s="18">
        <v>0</v>
      </c>
      <c r="D352" s="18">
        <v>6.7573190583789217E-2</v>
      </c>
      <c r="E352" s="18">
        <v>4.6831998241194467E-2</v>
      </c>
      <c r="F352" s="18">
        <v>6.0001111189366158E-2</v>
      </c>
      <c r="G352" s="18">
        <v>4.7754721294198083E-2</v>
      </c>
      <c r="H352" s="18">
        <v>9.4475334661473689E-2</v>
      </c>
      <c r="I352" s="18">
        <v>0.15448888704195979</v>
      </c>
    </row>
    <row r="353" spans="1:9" x14ac:dyDescent="0.35">
      <c r="A353" s="14" t="s">
        <v>200</v>
      </c>
      <c r="B353" s="18">
        <v>3.7656939187079651E-2</v>
      </c>
      <c r="C353" s="18">
        <v>0</v>
      </c>
      <c r="D353" s="18">
        <v>0</v>
      </c>
      <c r="E353" s="18">
        <v>0</v>
      </c>
      <c r="F353" s="18">
        <v>3.7656939187079651E-2</v>
      </c>
      <c r="G353" s="18">
        <v>5.2894638424284893E-2</v>
      </c>
      <c r="H353" s="18">
        <v>3.8758913595373881E-2</v>
      </c>
      <c r="I353" s="18">
        <v>3.9203879241703397E-2</v>
      </c>
    </row>
    <row r="354" spans="1:9" x14ac:dyDescent="0.35">
      <c r="A354" s="14" t="s">
        <v>201</v>
      </c>
      <c r="B354" s="18">
        <v>0</v>
      </c>
      <c r="C354" s="18">
        <v>0</v>
      </c>
      <c r="D354" s="18">
        <v>0</v>
      </c>
      <c r="E354" s="18">
        <v>0</v>
      </c>
      <c r="F354" s="18">
        <v>0</v>
      </c>
      <c r="G354" s="25">
        <v>2.3882153590718581E-2</v>
      </c>
      <c r="H354" s="18">
        <v>3.4331047492850077E-2</v>
      </c>
      <c r="I354" s="18">
        <v>4.8269664578483418E-2</v>
      </c>
    </row>
    <row r="355" spans="1:9" x14ac:dyDescent="0.35">
      <c r="A355" s="14" t="s">
        <v>202</v>
      </c>
      <c r="B355" s="18">
        <v>0</v>
      </c>
      <c r="C355" s="18">
        <v>0</v>
      </c>
      <c r="D355" s="18">
        <v>0</v>
      </c>
      <c r="E355" s="18">
        <v>0</v>
      </c>
      <c r="F355" s="18">
        <v>0</v>
      </c>
      <c r="G355" s="18">
        <v>0</v>
      </c>
      <c r="H355" s="18">
        <v>0</v>
      </c>
      <c r="I355" s="18">
        <v>0</v>
      </c>
    </row>
    <row r="356" spans="1:9" x14ac:dyDescent="0.35">
      <c r="A356" s="14" t="s">
        <v>211</v>
      </c>
      <c r="B356" s="18">
        <v>0</v>
      </c>
      <c r="C356" s="18">
        <v>0</v>
      </c>
      <c r="D356" s="18">
        <v>0</v>
      </c>
      <c r="E356" s="18">
        <v>0</v>
      </c>
      <c r="F356" s="18">
        <v>0</v>
      </c>
      <c r="G356" s="18">
        <v>0</v>
      </c>
      <c r="H356" s="18">
        <v>0</v>
      </c>
      <c r="I356" s="18">
        <v>0</v>
      </c>
    </row>
    <row r="357" spans="1:9" x14ac:dyDescent="0.35">
      <c r="A357" s="14" t="s">
        <v>212</v>
      </c>
      <c r="B357" s="18">
        <v>0</v>
      </c>
      <c r="C357" s="18">
        <v>0</v>
      </c>
      <c r="D357" s="18">
        <v>0</v>
      </c>
      <c r="E357" s="18">
        <v>0</v>
      </c>
      <c r="F357" s="18">
        <v>0</v>
      </c>
      <c r="G357" s="18">
        <v>0</v>
      </c>
      <c r="H357" s="18">
        <v>0</v>
      </c>
      <c r="I357" s="18">
        <v>0</v>
      </c>
    </row>
    <row r="358" spans="1:9" x14ac:dyDescent="0.35">
      <c r="A358" s="14" t="s">
        <v>203</v>
      </c>
      <c r="B358" s="18">
        <v>0</v>
      </c>
      <c r="C358" s="18">
        <v>0</v>
      </c>
      <c r="D358" s="18">
        <v>0</v>
      </c>
      <c r="E358" s="18">
        <v>0</v>
      </c>
      <c r="F358" s="18">
        <v>0</v>
      </c>
      <c r="G358" s="18">
        <v>0</v>
      </c>
      <c r="H358" s="18">
        <v>0</v>
      </c>
      <c r="I358" s="18">
        <v>0</v>
      </c>
    </row>
    <row r="359" spans="1:9" x14ac:dyDescent="0.35">
      <c r="A359" s="14" t="s">
        <v>204</v>
      </c>
      <c r="B359" s="18">
        <v>0</v>
      </c>
      <c r="C359" s="18">
        <v>0</v>
      </c>
      <c r="D359" s="18">
        <v>0</v>
      </c>
      <c r="E359" s="18">
        <v>0</v>
      </c>
      <c r="F359" s="18">
        <v>0</v>
      </c>
      <c r="G359" s="18">
        <v>0</v>
      </c>
      <c r="H359" s="18">
        <v>0</v>
      </c>
      <c r="I359" s="18">
        <v>0</v>
      </c>
    </row>
    <row r="360" spans="1:9" x14ac:dyDescent="0.35">
      <c r="A360" s="14" t="s">
        <v>213</v>
      </c>
      <c r="B360" s="1">
        <f t="shared" ref="B360:F360" si="15">(B346-B348)*100</f>
        <v>72.617839842518393</v>
      </c>
      <c r="C360" s="1">
        <f t="shared" si="15"/>
        <v>81.966487761317524</v>
      </c>
      <c r="D360" s="1">
        <f t="shared" si="15"/>
        <v>68.343265962366303</v>
      </c>
      <c r="E360" s="1">
        <f t="shared" si="15"/>
        <v>74.456348938421726</v>
      </c>
      <c r="F360" s="1">
        <f t="shared" si="15"/>
        <v>72.617839842518393</v>
      </c>
      <c r="G360" s="1">
        <v>63.999229771253532</v>
      </c>
      <c r="H360" s="1">
        <v>58.723704977808751</v>
      </c>
      <c r="I360" s="1">
        <v>51.404727800767233</v>
      </c>
    </row>
    <row r="362" spans="1:9" x14ac:dyDescent="0.35">
      <c r="C362" s="187"/>
      <c r="D362" s="187"/>
      <c r="E362" s="187"/>
      <c r="F362" s="187"/>
      <c r="G362" s="170"/>
      <c r="H362" s="170"/>
      <c r="I362" s="170"/>
    </row>
    <row r="363" spans="1:9" ht="29" x14ac:dyDescent="0.35">
      <c r="A363" s="12" t="s">
        <v>492</v>
      </c>
      <c r="B363" s="13" t="s">
        <v>208</v>
      </c>
      <c r="C363" s="13" t="s">
        <v>458</v>
      </c>
      <c r="D363" s="13" t="s">
        <v>466</v>
      </c>
      <c r="E363" s="13" t="s">
        <v>467</v>
      </c>
      <c r="F363" s="13" t="s">
        <v>468</v>
      </c>
      <c r="G363" s="13" t="s">
        <v>634</v>
      </c>
      <c r="H363" s="13" t="s">
        <v>641</v>
      </c>
      <c r="I363" s="13" t="s">
        <v>647</v>
      </c>
    </row>
    <row r="364" spans="1:9" x14ac:dyDescent="0.35">
      <c r="A364" s="14" t="s">
        <v>209</v>
      </c>
      <c r="B364" s="15">
        <v>24</v>
      </c>
      <c r="C364" s="15">
        <v>7</v>
      </c>
      <c r="D364" s="15">
        <v>11</v>
      </c>
      <c r="E364" s="15">
        <v>15</v>
      </c>
      <c r="F364" s="15">
        <v>24</v>
      </c>
      <c r="G364" s="15">
        <v>30</v>
      </c>
      <c r="H364" s="15">
        <v>40</v>
      </c>
      <c r="I364" s="15">
        <v>42</v>
      </c>
    </row>
    <row r="365" spans="1:9" x14ac:dyDescent="0.35">
      <c r="A365" s="16" t="s">
        <v>336</v>
      </c>
      <c r="B365" s="17">
        <v>0.60871032402236325</v>
      </c>
      <c r="C365" s="153">
        <v>0.89413479686240838</v>
      </c>
      <c r="D365" s="17">
        <v>0.76295636144752832</v>
      </c>
      <c r="E365" s="17">
        <v>0.63651037642238284</v>
      </c>
      <c r="F365" s="152">
        <v>0.60871032402236325</v>
      </c>
      <c r="G365" s="17">
        <v>0.55644987318309314</v>
      </c>
      <c r="H365" s="152">
        <v>0.59285181414550947</v>
      </c>
      <c r="I365" s="154">
        <v>0.53242629770118144</v>
      </c>
    </row>
    <row r="366" spans="1:9" x14ac:dyDescent="0.35">
      <c r="A366" s="16" t="s">
        <v>194</v>
      </c>
      <c r="B366" s="17">
        <v>0.30394377664574018</v>
      </c>
      <c r="C366" s="17">
        <v>0.10586520313759171</v>
      </c>
      <c r="D366" s="17">
        <v>0.2370436385524716</v>
      </c>
      <c r="E366" s="17">
        <v>0.29148157918468331</v>
      </c>
      <c r="F366" s="152">
        <v>0.30394377664574018</v>
      </c>
      <c r="G366" s="17">
        <v>0.37225644424106558</v>
      </c>
      <c r="H366" s="152">
        <v>0.32777444090300772</v>
      </c>
      <c r="I366" s="17">
        <v>0.37667943315036062</v>
      </c>
    </row>
    <row r="367" spans="1:9" x14ac:dyDescent="0.35">
      <c r="A367" s="16" t="s">
        <v>195</v>
      </c>
      <c r="B367" s="17">
        <v>8.7345899331896598E-2</v>
      </c>
      <c r="C367" s="17">
        <v>0</v>
      </c>
      <c r="D367" s="17">
        <v>0</v>
      </c>
      <c r="E367" s="17">
        <v>7.2008044392933832E-2</v>
      </c>
      <c r="F367" s="17">
        <v>8.7345899331896598E-2</v>
      </c>
      <c r="G367" s="17">
        <v>7.1293682575841386E-2</v>
      </c>
      <c r="H367" s="17">
        <v>7.9373744951482791E-2</v>
      </c>
      <c r="I367" s="17">
        <v>9.0894269148457954E-2</v>
      </c>
    </row>
    <row r="368" spans="1:9" x14ac:dyDescent="0.35">
      <c r="A368" s="14" t="s">
        <v>210</v>
      </c>
      <c r="B368" s="18">
        <v>0.38521557237801501</v>
      </c>
      <c r="C368" s="18">
        <v>0.58372624556813646</v>
      </c>
      <c r="D368" s="18">
        <v>0.46100489830118491</v>
      </c>
      <c r="E368" s="18">
        <v>0.41356424622837962</v>
      </c>
      <c r="F368" s="18">
        <v>0.38521557237801501</v>
      </c>
      <c r="G368" s="18">
        <v>0.37402844295024829</v>
      </c>
      <c r="H368" s="18">
        <v>0.36094599298349622</v>
      </c>
      <c r="I368" s="23">
        <v>0.26842255561112499</v>
      </c>
    </row>
    <row r="369" spans="1:9" x14ac:dyDescent="0.35">
      <c r="A369" s="14" t="s">
        <v>197</v>
      </c>
      <c r="B369" s="18">
        <v>0.22349475164434821</v>
      </c>
      <c r="C369" s="18">
        <v>0.31040855129427181</v>
      </c>
      <c r="D369" s="18">
        <v>0.30195146314634358</v>
      </c>
      <c r="E369" s="18">
        <v>0.22294613019400331</v>
      </c>
      <c r="F369" s="18">
        <v>0.22349475164434821</v>
      </c>
      <c r="G369" s="18">
        <v>0.18242143023284491</v>
      </c>
      <c r="H369" s="18">
        <v>0.23190582116201319</v>
      </c>
      <c r="I369" s="18">
        <v>0.26400374209005628</v>
      </c>
    </row>
    <row r="370" spans="1:9" x14ac:dyDescent="0.35">
      <c r="A370" s="14" t="s">
        <v>198</v>
      </c>
      <c r="B370" s="18">
        <v>0.23157501546024339</v>
      </c>
      <c r="C370" s="18">
        <v>0.10586520313759171</v>
      </c>
      <c r="D370" s="18">
        <v>0.15763356230996819</v>
      </c>
      <c r="E370" s="18">
        <v>0.1698169275469274</v>
      </c>
      <c r="F370" s="18">
        <v>0.23157501546024339</v>
      </c>
      <c r="G370" s="18">
        <v>0.22008682595152559</v>
      </c>
      <c r="H370" s="18">
        <v>0.21334728401974831</v>
      </c>
      <c r="I370" s="18">
        <v>0.22500331624972791</v>
      </c>
    </row>
    <row r="371" spans="1:9" x14ac:dyDescent="0.35">
      <c r="A371" s="14" t="s">
        <v>199</v>
      </c>
      <c r="B371" s="18">
        <v>7.2368761185496816E-2</v>
      </c>
      <c r="C371" s="18">
        <v>0</v>
      </c>
      <c r="D371" s="18">
        <v>7.9410076242503402E-2</v>
      </c>
      <c r="E371" s="18">
        <v>0.1216646516377559</v>
      </c>
      <c r="F371" s="18">
        <v>7.2368761185496816E-2</v>
      </c>
      <c r="G371" s="18">
        <v>0.15216961828954001</v>
      </c>
      <c r="H371" s="18">
        <v>0.1144271568832594</v>
      </c>
      <c r="I371" s="18">
        <v>0.15167611690063271</v>
      </c>
    </row>
    <row r="372" spans="1:9" x14ac:dyDescent="0.35">
      <c r="A372" s="14" t="s">
        <v>200</v>
      </c>
      <c r="B372" s="18">
        <v>4.2831939252351597E-2</v>
      </c>
      <c r="C372" s="18">
        <v>0</v>
      </c>
      <c r="D372" s="18">
        <v>0</v>
      </c>
      <c r="E372" s="18">
        <v>7.2008044392933832E-2</v>
      </c>
      <c r="F372" s="18">
        <v>4.2831939252351597E-2</v>
      </c>
      <c r="G372" s="18">
        <v>3.4960389720891667E-2</v>
      </c>
      <c r="H372" s="18">
        <v>2.6289203089677089E-2</v>
      </c>
      <c r="I372" s="18">
        <v>4.0377662955641963E-2</v>
      </c>
    </row>
    <row r="373" spans="1:9" x14ac:dyDescent="0.35">
      <c r="A373" s="14" t="s">
        <v>201</v>
      </c>
      <c r="B373" s="18">
        <v>0</v>
      </c>
      <c r="C373" s="18">
        <v>0</v>
      </c>
      <c r="D373" s="18">
        <v>0</v>
      </c>
      <c r="E373" s="18">
        <v>0</v>
      </c>
      <c r="F373" s="18">
        <v>0</v>
      </c>
      <c r="G373" s="18">
        <v>0</v>
      </c>
      <c r="H373" s="18">
        <v>2.576295527749789E-2</v>
      </c>
      <c r="I373" s="18">
        <v>2.4516686411357898E-2</v>
      </c>
    </row>
    <row r="374" spans="1:9" x14ac:dyDescent="0.35">
      <c r="A374" s="14" t="s">
        <v>202</v>
      </c>
      <c r="B374" s="18">
        <v>0</v>
      </c>
      <c r="C374" s="18">
        <v>0</v>
      </c>
      <c r="D374" s="18">
        <v>0</v>
      </c>
      <c r="E374" s="18">
        <v>0</v>
      </c>
      <c r="F374" s="18">
        <v>0</v>
      </c>
      <c r="G374" s="18">
        <v>0</v>
      </c>
      <c r="H374" s="18">
        <v>0</v>
      </c>
      <c r="I374" s="18">
        <v>0</v>
      </c>
    </row>
    <row r="375" spans="1:9" x14ac:dyDescent="0.35">
      <c r="A375" s="14" t="s">
        <v>211</v>
      </c>
      <c r="B375" s="18">
        <v>0</v>
      </c>
      <c r="C375" s="18">
        <v>0</v>
      </c>
      <c r="D375" s="18">
        <v>0</v>
      </c>
      <c r="E375" s="18">
        <v>0</v>
      </c>
      <c r="F375" s="18">
        <v>0</v>
      </c>
      <c r="G375" s="18">
        <v>0</v>
      </c>
      <c r="H375" s="18">
        <v>0</v>
      </c>
      <c r="I375" s="18">
        <v>0</v>
      </c>
    </row>
    <row r="376" spans="1:9" x14ac:dyDescent="0.35">
      <c r="A376" s="14" t="s">
        <v>212</v>
      </c>
      <c r="B376" s="18">
        <v>4.4513960079544987E-2</v>
      </c>
      <c r="C376" s="18">
        <v>0</v>
      </c>
      <c r="D376" s="18">
        <v>0</v>
      </c>
      <c r="E376" s="18">
        <v>0</v>
      </c>
      <c r="F376" s="18">
        <v>4.4513960079544987E-2</v>
      </c>
      <c r="G376" s="18">
        <v>3.6333292854949718E-2</v>
      </c>
      <c r="H376" s="18">
        <v>2.7321586584307809E-2</v>
      </c>
      <c r="I376" s="18">
        <v>2.5999919781458099E-2</v>
      </c>
    </row>
    <row r="377" spans="1:9" x14ac:dyDescent="0.35">
      <c r="A377" s="14" t="s">
        <v>203</v>
      </c>
      <c r="B377" s="18">
        <v>0</v>
      </c>
      <c r="C377" s="18">
        <v>0</v>
      </c>
      <c r="D377" s="18">
        <v>0</v>
      </c>
      <c r="E377" s="18">
        <v>0</v>
      </c>
      <c r="F377" s="18">
        <v>0</v>
      </c>
      <c r="G377" s="18">
        <v>0</v>
      </c>
      <c r="H377" s="18">
        <v>0</v>
      </c>
      <c r="I377" s="18">
        <v>0</v>
      </c>
    </row>
    <row r="378" spans="1:9" x14ac:dyDescent="0.35">
      <c r="A378" s="14" t="s">
        <v>204</v>
      </c>
      <c r="B378" s="18">
        <v>0</v>
      </c>
      <c r="C378" s="18">
        <v>0</v>
      </c>
      <c r="D378" s="18">
        <v>0</v>
      </c>
      <c r="E378" s="18">
        <v>0</v>
      </c>
      <c r="F378" s="18">
        <v>0</v>
      </c>
      <c r="G378" s="18">
        <v>0</v>
      </c>
      <c r="H378" s="18">
        <v>0</v>
      </c>
      <c r="I378" s="18">
        <v>0</v>
      </c>
    </row>
    <row r="379" spans="1:9" x14ac:dyDescent="0.35">
      <c r="A379" s="14" t="s">
        <v>213</v>
      </c>
      <c r="B379" s="1">
        <f t="shared" ref="B379:F379" si="16">(B365-B367)*100</f>
        <v>52.136442469046663</v>
      </c>
      <c r="C379" s="1">
        <f t="shared" si="16"/>
        <v>89.413479686240834</v>
      </c>
      <c r="D379" s="1">
        <f t="shared" si="16"/>
        <v>76.295636144752834</v>
      </c>
      <c r="E379" s="1">
        <f t="shared" si="16"/>
        <v>56.450233202944901</v>
      </c>
      <c r="F379" s="1">
        <f t="shared" si="16"/>
        <v>52.136442469046663</v>
      </c>
      <c r="G379" s="1">
        <v>48.515619060725157</v>
      </c>
      <c r="H379" s="1">
        <v>51.347806919402657</v>
      </c>
      <c r="I379" s="1">
        <v>44.153202855272347</v>
      </c>
    </row>
    <row r="381" spans="1:9" x14ac:dyDescent="0.35">
      <c r="C381" s="187"/>
      <c r="D381" s="187"/>
      <c r="E381" s="187"/>
      <c r="F381" s="187"/>
      <c r="G381" s="170"/>
      <c r="H381" s="170"/>
      <c r="I381" s="170"/>
    </row>
    <row r="382" spans="1:9" ht="29" x14ac:dyDescent="0.35">
      <c r="A382" s="12" t="s">
        <v>493</v>
      </c>
      <c r="B382" s="13" t="s">
        <v>208</v>
      </c>
      <c r="C382" s="13" t="s">
        <v>458</v>
      </c>
      <c r="D382" s="13" t="s">
        <v>466</v>
      </c>
      <c r="E382" s="13" t="s">
        <v>467</v>
      </c>
      <c r="F382" s="13" t="s">
        <v>468</v>
      </c>
      <c r="G382" s="13" t="s">
        <v>634</v>
      </c>
      <c r="H382" s="13" t="s">
        <v>641</v>
      </c>
      <c r="I382" s="13" t="s">
        <v>647</v>
      </c>
    </row>
    <row r="383" spans="1:9" x14ac:dyDescent="0.35">
      <c r="A383" s="14" t="s">
        <v>209</v>
      </c>
      <c r="B383" s="15">
        <v>10</v>
      </c>
      <c r="C383" s="15">
        <v>1</v>
      </c>
      <c r="D383" s="15">
        <v>7</v>
      </c>
      <c r="E383" s="15">
        <v>9</v>
      </c>
      <c r="F383" s="15">
        <v>10</v>
      </c>
      <c r="G383" s="15">
        <v>13</v>
      </c>
      <c r="H383" s="15">
        <v>14</v>
      </c>
      <c r="I383" s="15">
        <v>14</v>
      </c>
    </row>
    <row r="384" spans="1:9" x14ac:dyDescent="0.35">
      <c r="A384" s="16" t="s">
        <v>336</v>
      </c>
      <c r="B384" s="17">
        <v>0.29230531357381739</v>
      </c>
      <c r="C384" s="153">
        <v>1</v>
      </c>
      <c r="D384" s="17">
        <v>0.42888578604055189</v>
      </c>
      <c r="E384" s="17">
        <v>0.32289009118935691</v>
      </c>
      <c r="F384" s="17">
        <v>0.29230531357381739</v>
      </c>
      <c r="G384" s="17">
        <v>0.35769661830765881</v>
      </c>
      <c r="H384" s="17">
        <v>0.4065258805627977</v>
      </c>
      <c r="I384" s="17">
        <v>0.41955296532298492</v>
      </c>
    </row>
    <row r="385" spans="1:9" x14ac:dyDescent="0.35">
      <c r="A385" s="16" t="s">
        <v>194</v>
      </c>
      <c r="B385" s="17">
        <v>0.38924050372258379</v>
      </c>
      <c r="C385" s="17">
        <v>0</v>
      </c>
      <c r="D385" s="153">
        <v>0.57111421395944806</v>
      </c>
      <c r="E385" s="17">
        <v>0.42996789967636762</v>
      </c>
      <c r="F385" s="17">
        <v>0.38924050372258379</v>
      </c>
      <c r="G385" s="17">
        <v>0.3935176371624815</v>
      </c>
      <c r="H385" s="17">
        <v>0.36360159366228811</v>
      </c>
      <c r="I385" s="17">
        <v>0.35562033782577468</v>
      </c>
    </row>
    <row r="386" spans="1:9" x14ac:dyDescent="0.35">
      <c r="A386" s="16" t="s">
        <v>195</v>
      </c>
      <c r="B386" s="17">
        <v>0.31845418270359882</v>
      </c>
      <c r="C386" s="17">
        <v>0</v>
      </c>
      <c r="D386" s="148">
        <v>0</v>
      </c>
      <c r="E386" s="17">
        <v>0.24714200913427559</v>
      </c>
      <c r="F386" s="152">
        <v>0.31845418270359882</v>
      </c>
      <c r="G386" s="17">
        <v>0.2487857445298598</v>
      </c>
      <c r="H386" s="17">
        <v>0.22987252577491429</v>
      </c>
      <c r="I386" s="17">
        <v>0.2248266968512404</v>
      </c>
    </row>
    <row r="387" spans="1:9" x14ac:dyDescent="0.35">
      <c r="A387" s="14" t="s">
        <v>210</v>
      </c>
      <c r="B387" s="18">
        <v>0.18800245083848391</v>
      </c>
      <c r="C387" s="18">
        <v>0</v>
      </c>
      <c r="D387" s="18">
        <v>0.27584711998419098</v>
      </c>
      <c r="E387" s="18">
        <v>0.2076737085373945</v>
      </c>
      <c r="F387" s="18">
        <v>0.18800245083848391</v>
      </c>
      <c r="G387" s="18">
        <v>0.27621216380338931</v>
      </c>
      <c r="H387" s="18">
        <v>0.33123604671928591</v>
      </c>
      <c r="I387" s="18">
        <v>0.32396523251708698</v>
      </c>
    </row>
    <row r="388" spans="1:9" x14ac:dyDescent="0.35">
      <c r="A388" s="14" t="s">
        <v>197</v>
      </c>
      <c r="B388" s="18">
        <v>0.1043028627353335</v>
      </c>
      <c r="C388" s="22">
        <v>1</v>
      </c>
      <c r="D388" s="18">
        <v>0.15303866605636091</v>
      </c>
      <c r="E388" s="18">
        <v>0.11521638265196241</v>
      </c>
      <c r="F388" s="18">
        <v>0.1043028627353335</v>
      </c>
      <c r="G388" s="18">
        <v>8.1484454504269499E-2</v>
      </c>
      <c r="H388" s="18">
        <v>7.5289833843511803E-2</v>
      </c>
      <c r="I388" s="21">
        <v>9.5587732805897885E-2</v>
      </c>
    </row>
    <row r="389" spans="1:9" x14ac:dyDescent="0.35">
      <c r="A389" s="14" t="s">
        <v>198</v>
      </c>
      <c r="B389" s="18">
        <v>0.20219074736094961</v>
      </c>
      <c r="C389" s="18">
        <v>0</v>
      </c>
      <c r="D389" s="18">
        <v>0.29666493760171908</v>
      </c>
      <c r="E389" s="18">
        <v>0.22334656888313581</v>
      </c>
      <c r="F389" s="18">
        <v>0.20219074736094961</v>
      </c>
      <c r="G389" s="18">
        <v>0.15795734002357681</v>
      </c>
      <c r="H389" s="18">
        <v>0.1459490887812849</v>
      </c>
      <c r="I389" s="18">
        <v>0.14274542565941381</v>
      </c>
    </row>
    <row r="390" spans="1:9" x14ac:dyDescent="0.35">
      <c r="A390" s="14" t="s">
        <v>199</v>
      </c>
      <c r="B390" s="18">
        <v>0.18704975636163421</v>
      </c>
      <c r="C390" s="18">
        <v>0</v>
      </c>
      <c r="D390" s="18">
        <v>0.27444927635772892</v>
      </c>
      <c r="E390" s="18">
        <v>0.20662133079323181</v>
      </c>
      <c r="F390" s="18">
        <v>0.18704975636163421</v>
      </c>
      <c r="G390" s="18">
        <v>0.23556029713890461</v>
      </c>
      <c r="H390" s="18">
        <v>0.21765250488100321</v>
      </c>
      <c r="I390" s="18">
        <v>0.2128749121663609</v>
      </c>
    </row>
    <row r="391" spans="1:9" x14ac:dyDescent="0.35">
      <c r="A391" s="14" t="s">
        <v>200</v>
      </c>
      <c r="B391" s="18">
        <v>0.1145132498894466</v>
      </c>
      <c r="C391" s="18">
        <v>0</v>
      </c>
      <c r="D391" s="23">
        <v>0</v>
      </c>
      <c r="E391" s="18">
        <v>0.12649511309638059</v>
      </c>
      <c r="F391" s="18">
        <v>0.1145132498894466</v>
      </c>
      <c r="G391" s="18">
        <v>8.9461108315214824E-2</v>
      </c>
      <c r="H391" s="18">
        <v>8.2660085552343235E-2</v>
      </c>
      <c r="I391" s="18">
        <v>8.0845651012559305E-2</v>
      </c>
    </row>
    <row r="392" spans="1:9" x14ac:dyDescent="0.35">
      <c r="A392" s="14" t="s">
        <v>201</v>
      </c>
      <c r="B392" s="18">
        <v>0.20394093281415221</v>
      </c>
      <c r="C392" s="18">
        <v>0</v>
      </c>
      <c r="D392" s="21">
        <v>0</v>
      </c>
      <c r="E392" s="21">
        <v>0.120646896037895</v>
      </c>
      <c r="F392" s="18">
        <v>0.20394093281415221</v>
      </c>
      <c r="G392" s="18">
        <v>0.15932463621464499</v>
      </c>
      <c r="H392" s="18">
        <v>0.1472124402225711</v>
      </c>
      <c r="I392" s="18">
        <v>0.1439810458386811</v>
      </c>
    </row>
    <row r="393" spans="1:9" x14ac:dyDescent="0.35">
      <c r="A393" s="14" t="s">
        <v>202</v>
      </c>
      <c r="B393" s="18">
        <v>0</v>
      </c>
      <c r="C393" s="18">
        <v>0</v>
      </c>
      <c r="D393" s="18">
        <v>0</v>
      </c>
      <c r="E393" s="18">
        <v>0</v>
      </c>
      <c r="F393" s="18">
        <v>0</v>
      </c>
      <c r="G393" s="18">
        <v>0</v>
      </c>
      <c r="H393" s="18">
        <v>0</v>
      </c>
      <c r="I393" s="18">
        <v>0</v>
      </c>
    </row>
    <row r="394" spans="1:9" x14ac:dyDescent="0.35">
      <c r="A394" s="14" t="s">
        <v>211</v>
      </c>
      <c r="B394" s="18">
        <v>0</v>
      </c>
      <c r="C394" s="18">
        <v>0</v>
      </c>
      <c r="D394" s="18">
        <v>0</v>
      </c>
      <c r="E394" s="18">
        <v>0</v>
      </c>
      <c r="F394" s="18">
        <v>0</v>
      </c>
      <c r="G394" s="18">
        <v>0</v>
      </c>
      <c r="H394" s="18">
        <v>0</v>
      </c>
      <c r="I394" s="18">
        <v>0</v>
      </c>
    </row>
    <row r="395" spans="1:9" x14ac:dyDescent="0.35">
      <c r="A395" s="14" t="s">
        <v>212</v>
      </c>
      <c r="B395" s="18">
        <v>0</v>
      </c>
      <c r="C395" s="18">
        <v>0</v>
      </c>
      <c r="D395" s="18">
        <v>0</v>
      </c>
      <c r="E395" s="18">
        <v>0</v>
      </c>
      <c r="F395" s="18">
        <v>0</v>
      </c>
      <c r="G395" s="18">
        <v>0</v>
      </c>
      <c r="H395" s="18">
        <v>0</v>
      </c>
      <c r="I395" s="18">
        <v>0</v>
      </c>
    </row>
    <row r="396" spans="1:9" x14ac:dyDescent="0.35">
      <c r="A396" s="14" t="s">
        <v>203</v>
      </c>
      <c r="B396" s="18">
        <v>0</v>
      </c>
      <c r="C396" s="18">
        <v>0</v>
      </c>
      <c r="D396" s="18">
        <v>0</v>
      </c>
      <c r="E396" s="18">
        <v>0</v>
      </c>
      <c r="F396" s="18">
        <v>0</v>
      </c>
      <c r="G396" s="18">
        <v>0</v>
      </c>
      <c r="H396" s="18">
        <v>0</v>
      </c>
      <c r="I396" s="18">
        <v>0</v>
      </c>
    </row>
    <row r="397" spans="1:9" x14ac:dyDescent="0.35">
      <c r="A397" s="14" t="s">
        <v>204</v>
      </c>
      <c r="B397" s="18">
        <v>0</v>
      </c>
      <c r="C397" s="18">
        <v>0</v>
      </c>
      <c r="D397" s="18">
        <v>0</v>
      </c>
      <c r="E397" s="18">
        <v>0</v>
      </c>
      <c r="F397" s="18">
        <v>0</v>
      </c>
      <c r="G397" s="18">
        <v>0</v>
      </c>
      <c r="H397" s="18">
        <v>0</v>
      </c>
      <c r="I397" s="18">
        <v>0</v>
      </c>
    </row>
    <row r="398" spans="1:9" x14ac:dyDescent="0.35">
      <c r="A398" s="14" t="s">
        <v>213</v>
      </c>
      <c r="B398" s="1">
        <f t="shared" ref="B398:F398" si="17">(B384-B386)*100</f>
        <v>-2.6148869129781427</v>
      </c>
      <c r="C398" s="1">
        <f t="shared" si="17"/>
        <v>100</v>
      </c>
      <c r="D398" s="1">
        <f t="shared" si="17"/>
        <v>42.888578604055191</v>
      </c>
      <c r="E398" s="1">
        <f t="shared" si="17"/>
        <v>7.5748082055081323</v>
      </c>
      <c r="F398" s="1">
        <f t="shared" si="17"/>
        <v>-2.6148869129781427</v>
      </c>
      <c r="G398" s="1">
        <v>10.8910873777799</v>
      </c>
      <c r="H398" s="1">
        <v>17.665335478788329</v>
      </c>
      <c r="I398" s="1">
        <v>19.47262684717446</v>
      </c>
    </row>
    <row r="400" spans="1:9" x14ac:dyDescent="0.35">
      <c r="A400" s="1" t="s">
        <v>215</v>
      </c>
    </row>
    <row r="402" spans="2:2" x14ac:dyDescent="0.35">
      <c r="B402" s="3" t="s">
        <v>216</v>
      </c>
    </row>
    <row r="403" spans="2:2" x14ac:dyDescent="0.35">
      <c r="B403" s="1" t="s">
        <v>217</v>
      </c>
    </row>
  </sheetData>
  <mergeCells count="21">
    <mergeCell ref="C212:F212"/>
    <mergeCell ref="C4:F4"/>
    <mergeCell ref="C23:F23"/>
    <mergeCell ref="C42:F42"/>
    <mergeCell ref="C61:F61"/>
    <mergeCell ref="C80:F80"/>
    <mergeCell ref="C99:F99"/>
    <mergeCell ref="C117:F117"/>
    <mergeCell ref="C136:F136"/>
    <mergeCell ref="C155:F155"/>
    <mergeCell ref="C174:F174"/>
    <mergeCell ref="C193:F193"/>
    <mergeCell ref="C343:F343"/>
    <mergeCell ref="C362:F362"/>
    <mergeCell ref="C381:F381"/>
    <mergeCell ref="C231:F231"/>
    <mergeCell ref="C250:F250"/>
    <mergeCell ref="C268:F268"/>
    <mergeCell ref="C287:F287"/>
    <mergeCell ref="C305:F305"/>
    <mergeCell ref="C324:F3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AC29-7B10-4832-9B95-C1EFDD168AAC}">
  <sheetPr codeName="Sheet7">
    <tabColor theme="5" tint="0.59999389629810485"/>
  </sheetPr>
  <dimension ref="B1:C51"/>
  <sheetViews>
    <sheetView zoomScale="80" zoomScaleNormal="80" workbookViewId="0">
      <pane xSplit="1" topLeftCell="B1" activePane="topRight" state="frozen"/>
      <selection activeCell="C6" sqref="C6"/>
      <selection pane="topRight" activeCell="C6" sqref="C6"/>
    </sheetView>
  </sheetViews>
  <sheetFormatPr defaultColWidth="9.453125" defaultRowHeight="14.5" x14ac:dyDescent="0.35"/>
  <cols>
    <col min="1" max="1" width="1.54296875" style="31" customWidth="1"/>
    <col min="2" max="2" width="76.81640625" style="8" customWidth="1"/>
    <col min="3" max="3" width="16.453125" style="31" customWidth="1"/>
    <col min="4" max="16384" width="9.453125" style="31"/>
  </cols>
  <sheetData>
    <row r="1" spans="2:3" ht="6.75" customHeight="1" thickBot="1" x14ac:dyDescent="0.4">
      <c r="B1" s="30"/>
    </row>
    <row r="2" spans="2:3" ht="41.25" customHeight="1" thickBot="1" x14ac:dyDescent="0.4">
      <c r="B2" s="55" t="s">
        <v>556</v>
      </c>
      <c r="C2" s="54" t="s">
        <v>470</v>
      </c>
    </row>
    <row r="3" spans="2:3" s="2" customFormat="1" ht="15" thickBot="1" x14ac:dyDescent="0.4"/>
    <row r="4" spans="2:3" x14ac:dyDescent="0.35">
      <c r="B4" s="96" t="s">
        <v>139</v>
      </c>
      <c r="C4" s="98"/>
    </row>
    <row r="5" spans="2:3" x14ac:dyDescent="0.35">
      <c r="B5" s="156" t="s">
        <v>31</v>
      </c>
      <c r="C5" s="157"/>
    </row>
    <row r="6" spans="2:3" s="48" customFormat="1" x14ac:dyDescent="0.35">
      <c r="B6" s="49" t="s">
        <v>140</v>
      </c>
      <c r="C6" s="51" t="e">
        <f>'Belgium (Month)'!#REF!</f>
        <v>#REF!</v>
      </c>
    </row>
    <row r="7" spans="2:3" s="48" customFormat="1" x14ac:dyDescent="0.35">
      <c r="B7" s="49" t="s">
        <v>141</v>
      </c>
      <c r="C7" s="51" t="e">
        <f t="shared" ref="C7" si="0">C41</f>
        <v>#REF!</v>
      </c>
    </row>
    <row r="8" spans="2:3" x14ac:dyDescent="0.35">
      <c r="B8" s="28" t="s">
        <v>142</v>
      </c>
      <c r="C8" s="43" t="e">
        <f>'Belgium (Month)'!#REF!</f>
        <v>#REF!</v>
      </c>
    </row>
    <row r="9" spans="2:3" x14ac:dyDescent="0.35">
      <c r="B9" s="28" t="s">
        <v>143</v>
      </c>
      <c r="C9" s="43" t="e">
        <f>'Belgium (Month)'!#REF!</f>
        <v>#REF!</v>
      </c>
    </row>
    <row r="10" spans="2:3" x14ac:dyDescent="0.35">
      <c r="B10" s="28" t="s">
        <v>144</v>
      </c>
      <c r="C10" s="43" t="e">
        <f>'Belgium (Month)'!#REF!</f>
        <v>#REF!</v>
      </c>
    </row>
    <row r="11" spans="2:3" x14ac:dyDescent="0.35">
      <c r="B11" s="29"/>
      <c r="C11" s="102"/>
    </row>
    <row r="12" spans="2:3" x14ac:dyDescent="0.35">
      <c r="B12" s="90" t="s">
        <v>145</v>
      </c>
      <c r="C12" s="92"/>
    </row>
    <row r="13" spans="2:3" x14ac:dyDescent="0.35">
      <c r="B13" s="86" t="s">
        <v>32</v>
      </c>
      <c r="C13" s="88"/>
    </row>
    <row r="14" spans="2:3" x14ac:dyDescent="0.35">
      <c r="B14" s="28" t="s">
        <v>218</v>
      </c>
      <c r="C14" s="51" t="e">
        <f>'Belgium (Month)'!#REF!</f>
        <v>#REF!</v>
      </c>
    </row>
    <row r="15" spans="2:3" x14ac:dyDescent="0.35">
      <c r="B15" s="28" t="s">
        <v>219</v>
      </c>
      <c r="C15" s="51" t="e">
        <f t="shared" ref="C15" si="1">C42</f>
        <v>#REF!</v>
      </c>
    </row>
    <row r="16" spans="2:3" x14ac:dyDescent="0.35">
      <c r="B16" s="28" t="s">
        <v>220</v>
      </c>
      <c r="C16" s="43" t="e">
        <f>'Belgium (Month)'!#REF!</f>
        <v>#REF!</v>
      </c>
    </row>
    <row r="17" spans="2:3" x14ac:dyDescent="0.35">
      <c r="B17" s="28" t="s">
        <v>221</v>
      </c>
      <c r="C17" s="43" t="e">
        <f>'Belgium (Month)'!#REF!</f>
        <v>#REF!</v>
      </c>
    </row>
    <row r="18" spans="2:3" x14ac:dyDescent="0.35">
      <c r="B18" s="28" t="s">
        <v>222</v>
      </c>
      <c r="C18" s="43" t="e">
        <f>'Belgium (Month)'!#REF!</f>
        <v>#REF!</v>
      </c>
    </row>
    <row r="19" spans="2:3" x14ac:dyDescent="0.35">
      <c r="B19" s="27"/>
      <c r="C19" s="109"/>
    </row>
    <row r="20" spans="2:3" x14ac:dyDescent="0.35">
      <c r="B20" s="86" t="s">
        <v>33</v>
      </c>
      <c r="C20" s="88"/>
    </row>
    <row r="21" spans="2:3" x14ac:dyDescent="0.35">
      <c r="B21" s="28" t="s">
        <v>223</v>
      </c>
      <c r="C21" s="51" t="e">
        <f>'Belgium (Month)'!#REF!</f>
        <v>#REF!</v>
      </c>
    </row>
    <row r="22" spans="2:3" x14ac:dyDescent="0.35">
      <c r="B22" s="28" t="s">
        <v>224</v>
      </c>
      <c r="C22" s="51" t="e">
        <f t="shared" ref="C22" si="2">C43</f>
        <v>#REF!</v>
      </c>
    </row>
    <row r="23" spans="2:3" x14ac:dyDescent="0.35">
      <c r="B23" s="28" t="s">
        <v>225</v>
      </c>
      <c r="C23" s="43" t="e">
        <f>'Belgium (Month)'!#REF!</f>
        <v>#REF!</v>
      </c>
    </row>
    <row r="24" spans="2:3" x14ac:dyDescent="0.35">
      <c r="B24" s="28" t="s">
        <v>226</v>
      </c>
      <c r="C24" s="43" t="e">
        <f>'Belgium (Month)'!#REF!</f>
        <v>#REF!</v>
      </c>
    </row>
    <row r="25" spans="2:3" x14ac:dyDescent="0.35">
      <c r="B25" s="28" t="s">
        <v>227</v>
      </c>
      <c r="C25" s="43" t="e">
        <f>'Belgium (Month)'!#REF!</f>
        <v>#REF!</v>
      </c>
    </row>
    <row r="26" spans="2:3" x14ac:dyDescent="0.35">
      <c r="B26" s="27"/>
      <c r="C26" s="109"/>
    </row>
    <row r="27" spans="2:3" x14ac:dyDescent="0.35">
      <c r="B27" s="86" t="s">
        <v>34</v>
      </c>
      <c r="C27" s="88"/>
    </row>
    <row r="28" spans="2:3" x14ac:dyDescent="0.35">
      <c r="B28" s="28" t="s">
        <v>228</v>
      </c>
      <c r="C28" s="51" t="e">
        <f>'Belgium (Month)'!#REF!</f>
        <v>#REF!</v>
      </c>
    </row>
    <row r="29" spans="2:3" x14ac:dyDescent="0.35">
      <c r="B29" s="28" t="s">
        <v>229</v>
      </c>
      <c r="C29" s="51" t="e">
        <f t="shared" ref="C29" si="3">C44</f>
        <v>#REF!</v>
      </c>
    </row>
    <row r="30" spans="2:3" x14ac:dyDescent="0.35">
      <c r="B30" s="28" t="s">
        <v>230</v>
      </c>
      <c r="C30" s="43" t="e">
        <f>'Belgium (Month)'!#REF!</f>
        <v>#REF!</v>
      </c>
    </row>
    <row r="31" spans="2:3" x14ac:dyDescent="0.35">
      <c r="B31" s="28" t="s">
        <v>231</v>
      </c>
      <c r="C31" s="43" t="e">
        <f>'Belgium (Month)'!#REF!</f>
        <v>#REF!</v>
      </c>
    </row>
    <row r="32" spans="2:3" x14ac:dyDescent="0.35">
      <c r="B32" s="28" t="s">
        <v>232</v>
      </c>
      <c r="C32" s="43" t="e">
        <f>'Belgium (Month)'!#REF!</f>
        <v>#REF!</v>
      </c>
    </row>
    <row r="33" spans="2:3" x14ac:dyDescent="0.35">
      <c r="B33" s="27"/>
      <c r="C33" s="33"/>
    </row>
    <row r="34" spans="2:3" x14ac:dyDescent="0.35">
      <c r="B34" s="93" t="s">
        <v>167</v>
      </c>
      <c r="C34" s="95"/>
    </row>
    <row r="35" spans="2:3" x14ac:dyDescent="0.35">
      <c r="B35" s="28" t="s">
        <v>25</v>
      </c>
      <c r="C35" s="51" t="e">
        <f t="shared" ref="C35" si="4">C6</f>
        <v>#REF!</v>
      </c>
    </row>
    <row r="36" spans="2:3" x14ac:dyDescent="0.35">
      <c r="B36" s="28" t="s">
        <v>32</v>
      </c>
      <c r="C36" s="51" t="e">
        <f t="shared" ref="C36" si="5">C14</f>
        <v>#REF!</v>
      </c>
    </row>
    <row r="37" spans="2:3" x14ac:dyDescent="0.35">
      <c r="B37" s="28" t="s">
        <v>33</v>
      </c>
      <c r="C37" s="51" t="e">
        <f t="shared" ref="C37" si="6">C21</f>
        <v>#REF!</v>
      </c>
    </row>
    <row r="38" spans="2:3" x14ac:dyDescent="0.35">
      <c r="B38" s="28" t="s">
        <v>34</v>
      </c>
      <c r="C38" s="51" t="e">
        <f t="shared" ref="C38" si="7">C28</f>
        <v>#REF!</v>
      </c>
    </row>
    <row r="39" spans="2:3" x14ac:dyDescent="0.35">
      <c r="B39" s="58"/>
      <c r="C39" s="33"/>
    </row>
    <row r="40" spans="2:3" x14ac:dyDescent="0.35">
      <c r="B40" s="93" t="s">
        <v>168</v>
      </c>
      <c r="C40" s="95"/>
    </row>
    <row r="41" spans="2:3" x14ac:dyDescent="0.35">
      <c r="B41" s="28" t="s">
        <v>25</v>
      </c>
      <c r="C41" s="51" t="e">
        <f t="shared" ref="C41" si="8">RANK(C35,C$35:C$38,0)</f>
        <v>#REF!</v>
      </c>
    </row>
    <row r="42" spans="2:3" x14ac:dyDescent="0.35">
      <c r="B42" s="28" t="s">
        <v>32</v>
      </c>
      <c r="C42" s="51" t="e">
        <f t="shared" ref="C42" si="9">RANK(C36,C$35:C$38,0)</f>
        <v>#REF!</v>
      </c>
    </row>
    <row r="43" spans="2:3" x14ac:dyDescent="0.35">
      <c r="B43" s="28" t="s">
        <v>33</v>
      </c>
      <c r="C43" s="51" t="e">
        <f t="shared" ref="C43" si="10">RANK(C37,C$35:C$38,0)</f>
        <v>#REF!</v>
      </c>
    </row>
    <row r="44" spans="2:3" x14ac:dyDescent="0.35">
      <c r="B44" s="28" t="s">
        <v>34</v>
      </c>
      <c r="C44" s="51" t="e">
        <f t="shared" ref="C44" si="11">RANK(C38,C$35:C$38,0)</f>
        <v>#REF!</v>
      </c>
    </row>
    <row r="45" spans="2:3" x14ac:dyDescent="0.35">
      <c r="B45" s="58"/>
      <c r="C45" s="33"/>
    </row>
    <row r="46" spans="2:3" x14ac:dyDescent="0.35">
      <c r="B46" s="93" t="s">
        <v>169</v>
      </c>
      <c r="C46" s="95"/>
    </row>
    <row r="47" spans="2:3" x14ac:dyDescent="0.35">
      <c r="B47" s="28" t="s">
        <v>25</v>
      </c>
      <c r="C47" s="51" t="e">
        <f>'Belgium (Month)'!#REF!</f>
        <v>#REF!</v>
      </c>
    </row>
    <row r="48" spans="2:3" x14ac:dyDescent="0.35">
      <c r="B48" s="28" t="s">
        <v>32</v>
      </c>
      <c r="C48" s="51" t="e">
        <f>'Belgium (Month)'!#REF!</f>
        <v>#REF!</v>
      </c>
    </row>
    <row r="49" spans="2:3" x14ac:dyDescent="0.35">
      <c r="B49" s="28" t="s">
        <v>33</v>
      </c>
      <c r="C49" s="51" t="e">
        <f>'Belgium (Month)'!#REF!</f>
        <v>#REF!</v>
      </c>
    </row>
    <row r="50" spans="2:3" x14ac:dyDescent="0.35">
      <c r="B50" s="28" t="s">
        <v>34</v>
      </c>
      <c r="C50" s="51" t="e">
        <f>'Belgium (Month)'!#REF!</f>
        <v>#REF!</v>
      </c>
    </row>
    <row r="51" spans="2:3" x14ac:dyDescent="0.35">
      <c r="B51" s="27"/>
      <c r="C51" s="33"/>
    </row>
  </sheetData>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A608-C0D1-48FD-B93D-D49217ACC58B}">
  <sheetPr codeName="Sheet8">
    <tabColor theme="8" tint="0.59999389629810485"/>
  </sheetPr>
  <dimension ref="B1:E291"/>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58.81640625" style="8" customWidth="1"/>
    <col min="3" max="5" width="18.1796875" style="31" customWidth="1"/>
    <col min="6" max="16384" width="9.453125" style="31"/>
  </cols>
  <sheetData>
    <row r="1" spans="2:5" ht="6.7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47" t="s">
        <v>22</v>
      </c>
      <c r="D5" s="47" t="s">
        <v>22</v>
      </c>
      <c r="E5" s="47" t="s">
        <v>22</v>
      </c>
    </row>
    <row r="6" spans="2:5" x14ac:dyDescent="0.35">
      <c r="B6" s="156"/>
      <c r="C6" s="40">
        <f>'Belgium Crunch Output'!G21</f>
        <v>11.54589279023962</v>
      </c>
      <c r="D6" s="40">
        <f>'Belgium Crunch Output'!H21</f>
        <v>10.76303716500048</v>
      </c>
      <c r="E6" s="40">
        <f>'Belgium Crunch Output'!I21</f>
        <v>8.5654767030891978</v>
      </c>
    </row>
    <row r="7" spans="2:5" x14ac:dyDescent="0.35">
      <c r="B7" s="41" t="s">
        <v>336</v>
      </c>
      <c r="C7" s="42">
        <f>'Belgium Crunch Output'!G7</f>
        <v>0.31415111398535162</v>
      </c>
      <c r="D7" s="42">
        <f>'Belgium Crunch Output'!H7</f>
        <v>0.31045631490902142</v>
      </c>
      <c r="E7" s="42">
        <f>'Belgium Crunch Output'!I7</f>
        <v>0.29914663001319641</v>
      </c>
    </row>
    <row r="8" spans="2:5" x14ac:dyDescent="0.35">
      <c r="B8" s="41" t="s">
        <v>194</v>
      </c>
      <c r="C8" s="42">
        <f>'Belgium Crunch Output'!G8</f>
        <v>0.48715669993169303</v>
      </c>
      <c r="D8" s="42">
        <f>'Belgium Crunch Output'!H8</f>
        <v>0.48671774183196193</v>
      </c>
      <c r="E8" s="42">
        <f>'Belgium Crunch Output'!I8</f>
        <v>0.48736150700449921</v>
      </c>
    </row>
    <row r="9" spans="2:5" x14ac:dyDescent="0.35">
      <c r="B9" s="41" t="s">
        <v>195</v>
      </c>
      <c r="C9" s="42">
        <f>'Belgium Crunch Output'!G9</f>
        <v>0.1986921860829553</v>
      </c>
      <c r="D9" s="42">
        <f>'Belgium Crunch Output'!H9</f>
        <v>0.20282594325901659</v>
      </c>
      <c r="E9" s="42">
        <f>'Belgium Crunch Output'!I9</f>
        <v>0.21349186298230449</v>
      </c>
    </row>
    <row r="10" spans="2:5" x14ac:dyDescent="0.35">
      <c r="B10" s="28" t="s">
        <v>196</v>
      </c>
      <c r="C10" s="43">
        <f>'Belgium Crunch Output'!G10</f>
        <v>0.14144933088172401</v>
      </c>
      <c r="D10" s="43">
        <f>'Belgium Crunch Output'!H10</f>
        <v>0.1450257567513499</v>
      </c>
      <c r="E10" s="43">
        <f>'Belgium Crunch Output'!I10</f>
        <v>0.13958879101541449</v>
      </c>
    </row>
    <row r="11" spans="2:5" x14ac:dyDescent="0.35">
      <c r="B11" s="28" t="s">
        <v>197</v>
      </c>
      <c r="C11" s="43">
        <f>'Belgium Crunch Output'!G11</f>
        <v>0.1727017831036276</v>
      </c>
      <c r="D11" s="43">
        <f>'Belgium Crunch Output'!H11</f>
        <v>0.16543055815767149</v>
      </c>
      <c r="E11" s="43">
        <f>'Belgium Crunch Output'!I11</f>
        <v>0.15955783899778189</v>
      </c>
    </row>
    <row r="12" spans="2:5" x14ac:dyDescent="0.35">
      <c r="B12" s="28" t="s">
        <v>198</v>
      </c>
      <c r="C12" s="43">
        <f>'Belgium Crunch Output'!G12</f>
        <v>0.26505588373992772</v>
      </c>
      <c r="D12" s="43">
        <f>'Belgium Crunch Output'!H12</f>
        <v>0.28799722729975408</v>
      </c>
      <c r="E12" s="43">
        <f>'Belgium Crunch Output'!I12</f>
        <v>0.29772607162487669</v>
      </c>
    </row>
    <row r="13" spans="2:5" x14ac:dyDescent="0.35">
      <c r="B13" s="28" t="s">
        <v>199</v>
      </c>
      <c r="C13" s="43">
        <f>'Belgium Crunch Output'!G13</f>
        <v>0.22210081619176539</v>
      </c>
      <c r="D13" s="43">
        <f>'Belgium Crunch Output'!H13</f>
        <v>0.19872051453220779</v>
      </c>
      <c r="E13" s="43">
        <f>'Belgium Crunch Output'!I13</f>
        <v>0.18963543537962249</v>
      </c>
    </row>
    <row r="14" spans="2:5" s="34" customFormat="1" x14ac:dyDescent="0.35">
      <c r="B14" s="28" t="s">
        <v>200</v>
      </c>
      <c r="C14" s="43">
        <f>'Belgium Crunch Output'!G14</f>
        <v>7.9837674782894372E-2</v>
      </c>
      <c r="D14" s="43">
        <f>'Belgium Crunch Output'!H14</f>
        <v>7.946858139815037E-2</v>
      </c>
      <c r="E14" s="43">
        <f>'Belgium Crunch Output'!I14</f>
        <v>8.8541413405338817E-2</v>
      </c>
    </row>
    <row r="15" spans="2:5" s="35" customFormat="1" x14ac:dyDescent="0.3">
      <c r="B15" s="44" t="s">
        <v>201</v>
      </c>
      <c r="C15" s="43">
        <f>'Belgium Crunch Output'!G15</f>
        <v>6.0253927843155308E-2</v>
      </c>
      <c r="D15" s="43">
        <f>'Belgium Crunch Output'!H15</f>
        <v>6.4047883153788732E-2</v>
      </c>
      <c r="E15" s="43">
        <f>'Belgium Crunch Output'!I15</f>
        <v>7.0197315850942549E-2</v>
      </c>
    </row>
    <row r="16" spans="2:5" s="36" customFormat="1" x14ac:dyDescent="0.3">
      <c r="B16" s="44" t="s">
        <v>202</v>
      </c>
      <c r="C16" s="43">
        <f>'Belgium Crunch Output'!G16</f>
        <v>9.3464287135281918E-3</v>
      </c>
      <c r="D16" s="43">
        <f>'Belgium Crunch Output'!H16</f>
        <v>1.152188411780565E-2</v>
      </c>
      <c r="E16" s="43">
        <f>'Belgium Crunch Output'!I16</f>
        <v>8.174951753661952E-3</v>
      </c>
    </row>
    <row r="17" spans="2:5" s="36" customFormat="1" x14ac:dyDescent="0.3">
      <c r="B17" s="44">
        <v>3</v>
      </c>
      <c r="C17" s="43">
        <f>'Belgium Crunch Output'!G17</f>
        <v>1.7404717172579121E-2</v>
      </c>
      <c r="D17" s="43">
        <f>'Belgium Crunch Output'!H17</f>
        <v>1.4243653146277249E-2</v>
      </c>
      <c r="E17" s="43">
        <f>'Belgium Crunch Output'!I17</f>
        <v>1.3844497203391081E-2</v>
      </c>
    </row>
    <row r="18" spans="2:5" s="36" customFormat="1" x14ac:dyDescent="0.3">
      <c r="B18" s="44">
        <v>2</v>
      </c>
      <c r="C18" s="43">
        <f>'Belgium Crunch Output'!G18</f>
        <v>3.9800205114420206E-3</v>
      </c>
      <c r="D18" s="43">
        <f>'Belgium Crunch Output'!H18</f>
        <v>6.9977465591544033E-3</v>
      </c>
      <c r="E18" s="43">
        <f>'Belgium Crunch Output'!I18</f>
        <v>1.0389362727273459E-2</v>
      </c>
    </row>
    <row r="19" spans="2:5" s="36" customFormat="1" x14ac:dyDescent="0.3">
      <c r="B19" s="44" t="s">
        <v>203</v>
      </c>
      <c r="C19" s="43">
        <f>'Belgium Crunch Output'!G19</f>
        <v>1.5620898428939061E-2</v>
      </c>
      <c r="D19" s="43">
        <f>'Belgium Crunch Output'!H19</f>
        <v>1.27838135402498E-2</v>
      </c>
      <c r="E19" s="43">
        <f>'Belgium Crunch Output'!I19</f>
        <v>1.242556730278978E-2</v>
      </c>
    </row>
    <row r="20" spans="2:5" s="36" customFormat="1" x14ac:dyDescent="0.3">
      <c r="B20" s="44" t="s">
        <v>204</v>
      </c>
      <c r="C20" s="43">
        <f>'Belgium Crunch Output'!G20</f>
        <v>1.224851863041727E-2</v>
      </c>
      <c r="D20" s="43">
        <f>'Belgium Crunch Output'!H20</f>
        <v>1.376238134359041E-2</v>
      </c>
      <c r="E20" s="43">
        <f>'Belgium Crunch Output'!I20</f>
        <v>9.9187547389068334E-3</v>
      </c>
    </row>
    <row r="21" spans="2:5" s="36" customFormat="1" x14ac:dyDescent="0.3">
      <c r="B21" s="129" t="s">
        <v>24</v>
      </c>
      <c r="C21" s="127">
        <f>'Belgium Crunch Output'!G6</f>
        <v>219</v>
      </c>
      <c r="D21" s="127">
        <f>'Belgium Crunch Output'!H6</f>
        <v>268</v>
      </c>
      <c r="E21" s="127">
        <f>'Belgium Crunch Output'!I6</f>
        <v>275</v>
      </c>
    </row>
    <row r="22" spans="2:5" x14ac:dyDescent="0.35">
      <c r="B22" s="44"/>
      <c r="C22" s="109"/>
      <c r="D22" s="109"/>
      <c r="E22" s="109"/>
    </row>
    <row r="23" spans="2:5" x14ac:dyDescent="0.35">
      <c r="B23" s="99" t="s">
        <v>32</v>
      </c>
      <c r="C23" s="39" t="s">
        <v>22</v>
      </c>
      <c r="D23" s="39" t="s">
        <v>22</v>
      </c>
      <c r="E23" s="39" t="s">
        <v>22</v>
      </c>
    </row>
    <row r="24" spans="2:5" x14ac:dyDescent="0.35">
      <c r="B24" s="100"/>
      <c r="C24" s="40">
        <f>'Belgium Crunch Output'!G40</f>
        <v>14.414706416767689</v>
      </c>
      <c r="D24" s="40">
        <f>'Belgium Crunch Output'!H40</f>
        <v>12.472743778921251</v>
      </c>
      <c r="E24" s="40">
        <f>'Belgium Crunch Output'!I40</f>
        <v>12.901733222234331</v>
      </c>
    </row>
    <row r="25" spans="2:5" x14ac:dyDescent="0.35">
      <c r="B25" s="41" t="s">
        <v>336</v>
      </c>
      <c r="C25" s="42">
        <f>'Belgium Crunch Output'!G26</f>
        <v>0.31699817699885768</v>
      </c>
      <c r="D25" s="42">
        <f>'Belgium Crunch Output'!H26</f>
        <v>0.32070745717319399</v>
      </c>
      <c r="E25" s="42">
        <f>'Belgium Crunch Output'!I26</f>
        <v>0.33078800160991589</v>
      </c>
    </row>
    <row r="26" spans="2:5" x14ac:dyDescent="0.35">
      <c r="B26" s="41" t="s">
        <v>194</v>
      </c>
      <c r="C26" s="42">
        <f>'Belgium Crunch Output'!G27</f>
        <v>0.51015071016996183</v>
      </c>
      <c r="D26" s="42">
        <f>'Belgium Crunch Output'!H27</f>
        <v>0.48331252344282399</v>
      </c>
      <c r="E26" s="42">
        <f>'Belgium Crunch Output'!I27</f>
        <v>0.46744132900251117</v>
      </c>
    </row>
    <row r="27" spans="2:5" x14ac:dyDescent="0.35">
      <c r="B27" s="41" t="s">
        <v>195</v>
      </c>
      <c r="C27" s="42">
        <f>'Belgium Crunch Output'!G28</f>
        <v>0.17285111283118071</v>
      </c>
      <c r="D27" s="42">
        <f>'Belgium Crunch Output'!H28</f>
        <v>0.1959800193839816</v>
      </c>
      <c r="E27" s="42">
        <f>'Belgium Crunch Output'!I28</f>
        <v>0.20177066938757271</v>
      </c>
    </row>
    <row r="28" spans="2:5" x14ac:dyDescent="0.35">
      <c r="B28" s="28" t="s">
        <v>196</v>
      </c>
      <c r="C28" s="43">
        <f>'Belgium Crunch Output'!G29</f>
        <v>0.13346918401392721</v>
      </c>
      <c r="D28" s="43">
        <f>'Belgium Crunch Output'!H29</f>
        <v>0.14031488095311179</v>
      </c>
      <c r="E28" s="43">
        <f>'Belgium Crunch Output'!I29</f>
        <v>0.14339853529054419</v>
      </c>
    </row>
    <row r="29" spans="2:5" x14ac:dyDescent="0.35">
      <c r="B29" s="28" t="s">
        <v>197</v>
      </c>
      <c r="C29" s="43">
        <f>'Belgium Crunch Output'!G30</f>
        <v>0.1835289929849305</v>
      </c>
      <c r="D29" s="43">
        <f>'Belgium Crunch Output'!H30</f>
        <v>0.1803925762200822</v>
      </c>
      <c r="E29" s="43">
        <f>'Belgium Crunch Output'!I30</f>
        <v>0.1873894663193717</v>
      </c>
    </row>
    <row r="30" spans="2:5" x14ac:dyDescent="0.35">
      <c r="B30" s="28" t="s">
        <v>198</v>
      </c>
      <c r="C30" s="43">
        <f>'Belgium Crunch Output'!G31</f>
        <v>0.32402977126540689</v>
      </c>
      <c r="D30" s="43">
        <f>'Belgium Crunch Output'!H31</f>
        <v>0.30842648520951982</v>
      </c>
      <c r="E30" s="43">
        <f>'Belgium Crunch Output'!I31</f>
        <v>0.30866655575599578</v>
      </c>
    </row>
    <row r="31" spans="2:5" x14ac:dyDescent="0.35">
      <c r="B31" s="28" t="s">
        <v>199</v>
      </c>
      <c r="C31" s="43">
        <f>'Belgium Crunch Output'!G32</f>
        <v>0.18612093890455489</v>
      </c>
      <c r="D31" s="43">
        <f>'Belgium Crunch Output'!H32</f>
        <v>0.17488603823330429</v>
      </c>
      <c r="E31" s="43">
        <f>'Belgium Crunch Output'!I32</f>
        <v>0.15877477324651529</v>
      </c>
    </row>
    <row r="32" spans="2:5" x14ac:dyDescent="0.35">
      <c r="B32" s="28" t="s">
        <v>200</v>
      </c>
      <c r="C32" s="43">
        <f>'Belgium Crunch Output'!G33</f>
        <v>6.6691949418889895E-2</v>
      </c>
      <c r="D32" s="43">
        <f>'Belgium Crunch Output'!H33</f>
        <v>6.9862870224290913E-2</v>
      </c>
      <c r="E32" s="43">
        <f>'Belgium Crunch Output'!I33</f>
        <v>6.7553118480153593E-2</v>
      </c>
    </row>
    <row r="33" spans="2:5" x14ac:dyDescent="0.35">
      <c r="B33" s="44" t="s">
        <v>201</v>
      </c>
      <c r="C33" s="43">
        <f>'Belgium Crunch Output'!G34</f>
        <v>5.0741541728824863E-2</v>
      </c>
      <c r="D33" s="43">
        <f>'Belgium Crunch Output'!H34</f>
        <v>5.6580513051836638E-2</v>
      </c>
      <c r="E33" s="43">
        <f>'Belgium Crunch Output'!I34</f>
        <v>6.4916220348086112E-2</v>
      </c>
    </row>
    <row r="34" spans="2:5" x14ac:dyDescent="0.35">
      <c r="B34" s="44" t="s">
        <v>202</v>
      </c>
      <c r="C34" s="43">
        <f>'Belgium Crunch Output'!G35</f>
        <v>1.6608146232496009E-2</v>
      </c>
      <c r="D34" s="43">
        <f>'Belgium Crunch Output'!H35</f>
        <v>1.7191660458699871E-2</v>
      </c>
      <c r="E34" s="43">
        <f>'Belgium Crunch Output'!I35</f>
        <v>1.7508387064102071E-2</v>
      </c>
    </row>
    <row r="35" spans="2:5" x14ac:dyDescent="0.35">
      <c r="B35" s="44">
        <v>3</v>
      </c>
      <c r="C35" s="43">
        <f>'Belgium Crunch Output'!G36</f>
        <v>1.158117117397175E-2</v>
      </c>
      <c r="D35" s="43">
        <f>'Belgium Crunch Output'!H36</f>
        <v>1.145366900328239E-2</v>
      </c>
      <c r="E35" s="43">
        <f>'Belgium Crunch Output'!I36</f>
        <v>1.1477301876160461E-2</v>
      </c>
    </row>
    <row r="36" spans="2:5" x14ac:dyDescent="0.35">
      <c r="B36" s="44">
        <v>2</v>
      </c>
      <c r="C36" s="43">
        <f>'Belgium Crunch Output'!G37</f>
        <v>1.4175943797149371E-2</v>
      </c>
      <c r="D36" s="43">
        <f>'Belgium Crunch Output'!H37</f>
        <v>1.497396663608408E-2</v>
      </c>
      <c r="E36" s="43">
        <f>'Belgium Crunch Output'!I37</f>
        <v>1.531666338578098E-2</v>
      </c>
    </row>
    <row r="37" spans="2:5" x14ac:dyDescent="0.35">
      <c r="B37" s="44" t="s">
        <v>203</v>
      </c>
      <c r="C37" s="43">
        <f>'Belgium Crunch Output'!G38</f>
        <v>0</v>
      </c>
      <c r="D37" s="43">
        <f>'Belgium Crunch Output'!H38</f>
        <v>5.3344525572450148E-3</v>
      </c>
      <c r="E37" s="43">
        <f>'Belgium Crunch Output'!I38</f>
        <v>5.4565377466413122E-3</v>
      </c>
    </row>
    <row r="38" spans="2:5" x14ac:dyDescent="0.35">
      <c r="B38" s="44" t="s">
        <v>204</v>
      </c>
      <c r="C38" s="43">
        <f>'Belgium Crunch Output'!G39</f>
        <v>1.3052360479848859E-2</v>
      </c>
      <c r="D38" s="43">
        <f>'Belgium Crunch Output'!H39</f>
        <v>2.0582887452542661E-2</v>
      </c>
      <c r="E38" s="43">
        <f>'Belgium Crunch Output'!I39</f>
        <v>1.9542440486648171E-2</v>
      </c>
    </row>
    <row r="39" spans="2:5" s="36" customFormat="1" x14ac:dyDescent="0.3">
      <c r="B39" s="56" t="s">
        <v>24</v>
      </c>
      <c r="C39" s="60">
        <f>'Belgium Crunch Output'!G25</f>
        <v>451</v>
      </c>
      <c r="D39" s="60">
        <f>'Belgium Crunch Output'!H25</f>
        <v>544</v>
      </c>
      <c r="E39" s="60">
        <f>'Belgium Crunch Output'!I25</f>
        <v>530</v>
      </c>
    </row>
    <row r="40" spans="2:5" x14ac:dyDescent="0.35">
      <c r="B40" s="45"/>
      <c r="C40" s="33"/>
      <c r="D40" s="33"/>
      <c r="E40" s="33"/>
    </row>
    <row r="41" spans="2:5" x14ac:dyDescent="0.35">
      <c r="B41" s="99" t="s">
        <v>33</v>
      </c>
      <c r="C41" s="39" t="s">
        <v>22</v>
      </c>
      <c r="D41" s="39" t="s">
        <v>22</v>
      </c>
      <c r="E41" s="39" t="s">
        <v>22</v>
      </c>
    </row>
    <row r="42" spans="2:5" x14ac:dyDescent="0.35">
      <c r="B42" s="100"/>
      <c r="C42" s="40">
        <f>'Belgium Crunch Output'!G59</f>
        <v>13.642025767151541</v>
      </c>
      <c r="D42" s="40">
        <f>'Belgium Crunch Output'!H59</f>
        <v>10.354230277473119</v>
      </c>
      <c r="E42" s="40">
        <f>'Belgium Crunch Output'!I59</f>
        <v>14.946106885873361</v>
      </c>
    </row>
    <row r="43" spans="2:5" x14ac:dyDescent="0.35">
      <c r="B43" s="41" t="s">
        <v>336</v>
      </c>
      <c r="C43" s="42">
        <f>'Belgium Crunch Output'!G45</f>
        <v>0.35039205765191472</v>
      </c>
      <c r="D43" s="42">
        <f>'Belgium Crunch Output'!H45</f>
        <v>0.3312292007534598</v>
      </c>
      <c r="E43" s="42">
        <f>'Belgium Crunch Output'!I45</f>
        <v>0.36727930073603948</v>
      </c>
    </row>
    <row r="44" spans="2:5" x14ac:dyDescent="0.35">
      <c r="B44" s="41" t="s">
        <v>194</v>
      </c>
      <c r="C44" s="42">
        <f>'Belgium Crunch Output'!G46</f>
        <v>0.435636142367686</v>
      </c>
      <c r="D44" s="42">
        <f>'Belgium Crunch Output'!H46</f>
        <v>0.44108390126781161</v>
      </c>
      <c r="E44" s="42">
        <f>'Belgium Crunch Output'!I46</f>
        <v>0.41490246738665448</v>
      </c>
    </row>
    <row r="45" spans="2:5" x14ac:dyDescent="0.35">
      <c r="B45" s="41" t="s">
        <v>195</v>
      </c>
      <c r="C45" s="42">
        <f>'Belgium Crunch Output'!G47</f>
        <v>0.21397179998039931</v>
      </c>
      <c r="D45" s="42">
        <f>'Belgium Crunch Output'!H47</f>
        <v>0.22768689797872871</v>
      </c>
      <c r="E45" s="42">
        <f>'Belgium Crunch Output'!I47</f>
        <v>0.2178182318773059</v>
      </c>
    </row>
    <row r="46" spans="2:5" x14ac:dyDescent="0.35">
      <c r="B46" s="28" t="s">
        <v>196</v>
      </c>
      <c r="C46" s="43">
        <f>'Belgium Crunch Output'!G48</f>
        <v>0.16783909610061401</v>
      </c>
      <c r="D46" s="43">
        <f>'Belgium Crunch Output'!H48</f>
        <v>0.14660326324354109</v>
      </c>
      <c r="E46" s="43">
        <f>'Belgium Crunch Output'!I48</f>
        <v>0.1601744234357369</v>
      </c>
    </row>
    <row r="47" spans="2:5" x14ac:dyDescent="0.35">
      <c r="B47" s="28" t="s">
        <v>197</v>
      </c>
      <c r="C47" s="43">
        <f>'Belgium Crunch Output'!G49</f>
        <v>0.18255296155130071</v>
      </c>
      <c r="D47" s="43">
        <f>'Belgium Crunch Output'!H49</f>
        <v>0.1846259375099186</v>
      </c>
      <c r="E47" s="43">
        <f>'Belgium Crunch Output'!I49</f>
        <v>0.2071048773003025</v>
      </c>
    </row>
    <row r="48" spans="2:5" x14ac:dyDescent="0.35">
      <c r="B48" s="28" t="s">
        <v>198</v>
      </c>
      <c r="C48" s="43">
        <f>'Belgium Crunch Output'!G50</f>
        <v>0.28317170342017289</v>
      </c>
      <c r="D48" s="43">
        <f>'Belgium Crunch Output'!H50</f>
        <v>0.27931574753014321</v>
      </c>
      <c r="E48" s="43">
        <f>'Belgium Crunch Output'!I50</f>
        <v>0.25443260287186309</v>
      </c>
    </row>
    <row r="49" spans="2:5" x14ac:dyDescent="0.35">
      <c r="B49" s="28" t="s">
        <v>199</v>
      </c>
      <c r="C49" s="43">
        <f>'Belgium Crunch Output'!G51</f>
        <v>0.1524644389475131</v>
      </c>
      <c r="D49" s="43">
        <f>'Belgium Crunch Output'!H51</f>
        <v>0.16176815373766851</v>
      </c>
      <c r="E49" s="43">
        <f>'Belgium Crunch Output'!I51</f>
        <v>0.16046986451479131</v>
      </c>
    </row>
    <row r="50" spans="2:5" x14ac:dyDescent="0.35">
      <c r="B50" s="28" t="s">
        <v>200</v>
      </c>
      <c r="C50" s="43">
        <f>'Belgium Crunch Output'!G52</f>
        <v>8.9090009522972913E-2</v>
      </c>
      <c r="D50" s="43">
        <f>'Belgium Crunch Output'!H52</f>
        <v>8.6978250904476126E-2</v>
      </c>
      <c r="E50" s="43">
        <f>'Belgium Crunch Output'!I52</f>
        <v>7.7183603922301808E-2</v>
      </c>
    </row>
    <row r="51" spans="2:5" x14ac:dyDescent="0.35">
      <c r="B51" s="44" t="s">
        <v>201</v>
      </c>
      <c r="C51" s="43">
        <f>'Belgium Crunch Output'!G53</f>
        <v>7.0244790270143909E-2</v>
      </c>
      <c r="D51" s="43">
        <f>'Belgium Crunch Output'!H53</f>
        <v>8.3607258774579585E-2</v>
      </c>
      <c r="E51" s="43">
        <f>'Belgium Crunch Output'!I53</f>
        <v>8.5837691069206579E-2</v>
      </c>
    </row>
    <row r="52" spans="2:5" x14ac:dyDescent="0.35">
      <c r="B52" s="44" t="s">
        <v>202</v>
      </c>
      <c r="C52" s="43">
        <f>'Belgium Crunch Output'!G54</f>
        <v>2.022468939597722E-2</v>
      </c>
      <c r="D52" s="43">
        <f>'Belgium Crunch Output'!H54</f>
        <v>1.680233461823797E-2</v>
      </c>
      <c r="E52" s="43">
        <f>'Belgium Crunch Output'!I54</f>
        <v>1.7553941844967891E-2</v>
      </c>
    </row>
    <row r="53" spans="2:5" x14ac:dyDescent="0.35">
      <c r="B53" s="44">
        <v>3</v>
      </c>
      <c r="C53" s="43">
        <f>'Belgium Crunch Output'!G55</f>
        <v>9.5495478430773061E-3</v>
      </c>
      <c r="D53" s="43">
        <f>'Belgium Crunch Output'!H55</f>
        <v>1.195745155757042E-2</v>
      </c>
      <c r="E53" s="43">
        <f>'Belgium Crunch Output'!I55</f>
        <v>1.069162860525776E-2</v>
      </c>
    </row>
    <row r="54" spans="2:5" x14ac:dyDescent="0.35">
      <c r="B54" s="44">
        <v>2</v>
      </c>
      <c r="C54" s="43">
        <f>'Belgium Crunch Output'!G56</f>
        <v>1.1775088667378669E-2</v>
      </c>
      <c r="D54" s="43">
        <f>'Belgium Crunch Output'!H56</f>
        <v>1.3627920613256579E-2</v>
      </c>
      <c r="E54" s="43">
        <f>'Belgium Crunch Output'!I56</f>
        <v>1.149782076600145E-2</v>
      </c>
    </row>
    <row r="55" spans="2:5" x14ac:dyDescent="0.35">
      <c r="B55" s="44" t="s">
        <v>203</v>
      </c>
      <c r="C55" s="43">
        <f>'Belgium Crunch Output'!G57</f>
        <v>1.5992004857944889E-3</v>
      </c>
      <c r="D55" s="43">
        <f>'Belgium Crunch Output'!H57</f>
        <v>5.1692491003992626E-3</v>
      </c>
      <c r="E55" s="43">
        <f>'Belgium Crunch Output'!I57</f>
        <v>7.0987276447061296E-3</v>
      </c>
    </row>
    <row r="56" spans="2:5" x14ac:dyDescent="0.35">
      <c r="B56" s="44" t="s">
        <v>204</v>
      </c>
      <c r="C56" s="43">
        <f>'Belgium Crunch Output'!G58</f>
        <v>1.148847379505484E-2</v>
      </c>
      <c r="D56" s="43">
        <f>'Belgium Crunch Output'!H58</f>
        <v>9.5444324102087266E-3</v>
      </c>
      <c r="E56" s="43">
        <f>'Belgium Crunch Output'!I58</f>
        <v>7.9548180248642918E-3</v>
      </c>
    </row>
    <row r="57" spans="2:5" s="36" customFormat="1" x14ac:dyDescent="0.3">
      <c r="B57" s="56" t="s">
        <v>24</v>
      </c>
      <c r="C57" s="60">
        <f>'Belgium Crunch Output'!G44</f>
        <v>455</v>
      </c>
      <c r="D57" s="60">
        <f>'Belgium Crunch Output'!H44</f>
        <v>546</v>
      </c>
      <c r="E57" s="60">
        <f>'Belgium Crunch Output'!I44</f>
        <v>532</v>
      </c>
    </row>
    <row r="58" spans="2:5" x14ac:dyDescent="0.35">
      <c r="B58" s="27"/>
      <c r="C58" s="33"/>
      <c r="D58" s="33"/>
      <c r="E58" s="33"/>
    </row>
    <row r="59" spans="2:5" x14ac:dyDescent="0.35">
      <c r="B59" s="99" t="s">
        <v>34</v>
      </c>
      <c r="C59" s="39" t="s">
        <v>22</v>
      </c>
      <c r="D59" s="39" t="s">
        <v>22</v>
      </c>
      <c r="E59" s="39" t="s">
        <v>22</v>
      </c>
    </row>
    <row r="60" spans="2:5" x14ac:dyDescent="0.35">
      <c r="B60" s="100"/>
      <c r="C60" s="40">
        <f>'Belgium Crunch Output'!G78</f>
        <v>13.918666583356289</v>
      </c>
      <c r="D60" s="40">
        <f>'Belgium Crunch Output'!H78</f>
        <v>14.392066958161561</v>
      </c>
      <c r="E60" s="40">
        <f>'Belgium Crunch Output'!I78</f>
        <v>13.32833881794706</v>
      </c>
    </row>
    <row r="61" spans="2:5" x14ac:dyDescent="0.35">
      <c r="B61" s="41" t="s">
        <v>336</v>
      </c>
      <c r="C61" s="42">
        <f>'Belgium Crunch Output'!G64</f>
        <v>0.33872715111165841</v>
      </c>
      <c r="D61" s="42">
        <f>'Belgium Crunch Output'!H64</f>
        <v>0.34105369705856592</v>
      </c>
      <c r="E61" s="42">
        <f>'Belgium Crunch Output'!I64</f>
        <v>0.33790359334914921</v>
      </c>
    </row>
    <row r="62" spans="2:5" x14ac:dyDescent="0.35">
      <c r="B62" s="41" t="s">
        <v>194</v>
      </c>
      <c r="C62" s="42">
        <f>'Belgium Crunch Output'!G65</f>
        <v>0.46173236361024611</v>
      </c>
      <c r="D62" s="42">
        <f>'Belgium Crunch Output'!H65</f>
        <v>0.46181327546448381</v>
      </c>
      <c r="E62" s="42">
        <f>'Belgium Crunch Output'!I65</f>
        <v>0.45747620148117252</v>
      </c>
    </row>
    <row r="63" spans="2:5" x14ac:dyDescent="0.35">
      <c r="B63" s="41" t="s">
        <v>195</v>
      </c>
      <c r="C63" s="42">
        <f>'Belgium Crunch Output'!G66</f>
        <v>0.19954048527809551</v>
      </c>
      <c r="D63" s="42">
        <f>'Belgium Crunch Output'!H66</f>
        <v>0.1971330274769503</v>
      </c>
      <c r="E63" s="42">
        <f>'Belgium Crunch Output'!I66</f>
        <v>0.20462020516967841</v>
      </c>
    </row>
    <row r="64" spans="2:5" x14ac:dyDescent="0.35">
      <c r="B64" s="28" t="s">
        <v>196</v>
      </c>
      <c r="C64" s="43">
        <f>'Belgium Crunch Output'!G67</f>
        <v>0.15692571212101569</v>
      </c>
      <c r="D64" s="43">
        <f>'Belgium Crunch Output'!H67</f>
        <v>0.15887550943002099</v>
      </c>
      <c r="E64" s="43">
        <f>'Belgium Crunch Output'!I67</f>
        <v>0.1593116587181789</v>
      </c>
    </row>
    <row r="65" spans="2:5" x14ac:dyDescent="0.35">
      <c r="B65" s="28" t="s">
        <v>197</v>
      </c>
      <c r="C65" s="43">
        <f>'Belgium Crunch Output'!G68</f>
        <v>0.18180143899064269</v>
      </c>
      <c r="D65" s="43">
        <f>'Belgium Crunch Output'!H68</f>
        <v>0.18217818762854479</v>
      </c>
      <c r="E65" s="43">
        <f>'Belgium Crunch Output'!I68</f>
        <v>0.1785919346309702</v>
      </c>
    </row>
    <row r="66" spans="2:5" x14ac:dyDescent="0.35">
      <c r="B66" s="28" t="s">
        <v>198</v>
      </c>
      <c r="C66" s="43">
        <f>'Belgium Crunch Output'!G69</f>
        <v>0.30316116898386652</v>
      </c>
      <c r="D66" s="43">
        <f>'Belgium Crunch Output'!H69</f>
        <v>0.29868898854470699</v>
      </c>
      <c r="E66" s="43">
        <f>'Belgium Crunch Output'!I69</f>
        <v>0.30679484420607889</v>
      </c>
    </row>
    <row r="67" spans="2:5" x14ac:dyDescent="0.35">
      <c r="B67" s="28" t="s">
        <v>199</v>
      </c>
      <c r="C67" s="43">
        <f>'Belgium Crunch Output'!G70</f>
        <v>0.15857119462637961</v>
      </c>
      <c r="D67" s="43">
        <f>'Belgium Crunch Output'!H70</f>
        <v>0.16312428691977671</v>
      </c>
      <c r="E67" s="43">
        <f>'Belgium Crunch Output'!I70</f>
        <v>0.1506813572750936</v>
      </c>
    </row>
    <row r="68" spans="2:5" x14ac:dyDescent="0.35">
      <c r="B68" s="28" t="s">
        <v>200</v>
      </c>
      <c r="C68" s="43">
        <f>'Belgium Crunch Output'!G71</f>
        <v>5.9928212083567502E-2</v>
      </c>
      <c r="D68" s="43">
        <f>'Belgium Crunch Output'!H71</f>
        <v>5.3493171370569227E-2</v>
      </c>
      <c r="E68" s="43">
        <f>'Belgium Crunch Output'!I71</f>
        <v>6.0079093035737677E-2</v>
      </c>
    </row>
    <row r="69" spans="2:5" x14ac:dyDescent="0.35">
      <c r="B69" s="44" t="s">
        <v>201</v>
      </c>
      <c r="C69" s="43">
        <f>'Belgium Crunch Output'!G72</f>
        <v>8.7444515583301935E-2</v>
      </c>
      <c r="D69" s="43">
        <f>'Belgium Crunch Output'!H72</f>
        <v>9.1060136410953507E-2</v>
      </c>
      <c r="E69" s="43">
        <f>'Belgium Crunch Output'!I72</f>
        <v>9.5599458464698098E-2</v>
      </c>
    </row>
    <row r="70" spans="2:5" x14ac:dyDescent="0.35">
      <c r="B70" s="44" t="s">
        <v>202</v>
      </c>
      <c r="C70" s="43">
        <f>'Belgium Crunch Output'!G73</f>
        <v>7.9031327704191436E-3</v>
      </c>
      <c r="D70" s="43">
        <f>'Belgium Crunch Output'!H73</f>
        <v>1.2219238540741769E-2</v>
      </c>
      <c r="E70" s="43">
        <f>'Belgium Crunch Output'!I73</f>
        <v>1.2605520546237601E-2</v>
      </c>
    </row>
    <row r="71" spans="2:5" x14ac:dyDescent="0.35">
      <c r="B71" s="44">
        <v>3</v>
      </c>
      <c r="C71" s="43">
        <f>'Belgium Crunch Output'!G74</f>
        <v>1.5463200008199189E-2</v>
      </c>
      <c r="D71" s="43">
        <f>'Belgium Crunch Output'!H74</f>
        <v>1.28107055309617E-2</v>
      </c>
      <c r="E71" s="43">
        <f>'Belgium Crunch Output'!I74</f>
        <v>1.332009082331876E-2</v>
      </c>
    </row>
    <row r="72" spans="2:5" x14ac:dyDescent="0.35">
      <c r="B72" s="44">
        <v>2</v>
      </c>
      <c r="C72" s="43">
        <f>'Belgium Crunch Output'!G75</f>
        <v>9.4288154796586289E-3</v>
      </c>
      <c r="D72" s="43">
        <f>'Belgium Crunch Output'!H75</f>
        <v>9.701011820266078E-3</v>
      </c>
      <c r="E72" s="43">
        <f>'Belgium Crunch Output'!I75</f>
        <v>8.4142044168174553E-3</v>
      </c>
    </row>
    <row r="73" spans="2:5" x14ac:dyDescent="0.35">
      <c r="B73" s="44" t="s">
        <v>203</v>
      </c>
      <c r="C73" s="43">
        <f>'Belgium Crunch Output'!G76</f>
        <v>4.9711047523135063E-3</v>
      </c>
      <c r="D73" s="43">
        <f>'Belgium Crunch Output'!H76</f>
        <v>5.9176347652443052E-3</v>
      </c>
      <c r="E73" s="43">
        <f>'Belgium Crunch Output'!I76</f>
        <v>4.0881161570893894E-3</v>
      </c>
    </row>
    <row r="74" spans="2:5" x14ac:dyDescent="0.35">
      <c r="B74" s="44" t="s">
        <v>204</v>
      </c>
      <c r="C74" s="43">
        <f>'Belgium Crunch Output'!G77</f>
        <v>1.440150460063554E-2</v>
      </c>
      <c r="D74" s="43">
        <f>'Belgium Crunch Output'!H77</f>
        <v>1.1931129038213721E-2</v>
      </c>
      <c r="E74" s="43">
        <f>'Belgium Crunch Output'!I77</f>
        <v>1.0513721725779499E-2</v>
      </c>
    </row>
    <row r="75" spans="2:5" s="36" customFormat="1" x14ac:dyDescent="0.3">
      <c r="B75" s="56" t="s">
        <v>24</v>
      </c>
      <c r="C75" s="60">
        <f>'Belgium Crunch Output'!G63</f>
        <v>420</v>
      </c>
      <c r="D75" s="60">
        <f>'Belgium Crunch Output'!H63</f>
        <v>508</v>
      </c>
      <c r="E75" s="60">
        <f>'Belgium Crunch Output'!I63</f>
        <v>496</v>
      </c>
    </row>
    <row r="76" spans="2:5" x14ac:dyDescent="0.35">
      <c r="B76" s="27"/>
      <c r="C76" s="133"/>
      <c r="D76" s="133"/>
      <c r="E76" s="133"/>
    </row>
    <row r="77" spans="2:5" x14ac:dyDescent="0.35">
      <c r="B77" s="99" t="s">
        <v>88</v>
      </c>
      <c r="C77" s="39" t="s">
        <v>22</v>
      </c>
      <c r="D77" s="39" t="s">
        <v>22</v>
      </c>
      <c r="E77" s="39" t="s">
        <v>22</v>
      </c>
    </row>
    <row r="78" spans="2:5" x14ac:dyDescent="0.35">
      <c r="B78" s="100"/>
      <c r="C78" s="40">
        <f>'Belgium Crunch Output'!G97</f>
        <v>8.6148019206357382</v>
      </c>
      <c r="D78" s="40">
        <f>'Belgium Crunch Output'!H97</f>
        <v>10.9198031603021</v>
      </c>
      <c r="E78" s="40">
        <f>'Belgium Crunch Output'!I97</f>
        <v>16.83435468960025</v>
      </c>
    </row>
    <row r="79" spans="2:5" x14ac:dyDescent="0.35">
      <c r="B79" s="41" t="s">
        <v>336</v>
      </c>
      <c r="C79" s="42">
        <f>'Belgium Crunch Output'!G83</f>
        <v>0.32432042303649022</v>
      </c>
      <c r="D79" s="42">
        <f>'Belgium Crunch Output'!H83</f>
        <v>0.34139233179011258</v>
      </c>
      <c r="E79" s="42">
        <f>'Belgium Crunch Output'!I83</f>
        <v>0.37684086688083512</v>
      </c>
    </row>
    <row r="80" spans="2:5" x14ac:dyDescent="0.35">
      <c r="B80" s="41" t="s">
        <v>194</v>
      </c>
      <c r="C80" s="42">
        <f>'Belgium Crunch Output'!G84</f>
        <v>0.43750717313337711</v>
      </c>
      <c r="D80" s="42">
        <f>'Belgium Crunch Output'!H84</f>
        <v>0.42641336802279572</v>
      </c>
      <c r="E80" s="42">
        <f>'Belgium Crunch Output'!I84</f>
        <v>0.41466181313433242</v>
      </c>
    </row>
    <row r="81" spans="2:5" x14ac:dyDescent="0.35">
      <c r="B81" s="41" t="s">
        <v>195</v>
      </c>
      <c r="C81" s="42">
        <f>'Belgium Crunch Output'!G85</f>
        <v>0.2381724038301328</v>
      </c>
      <c r="D81" s="42">
        <f>'Belgium Crunch Output'!H85</f>
        <v>0.23219430018709181</v>
      </c>
      <c r="E81" s="42">
        <f>'Belgium Crunch Output'!I85</f>
        <v>0.20849731998483259</v>
      </c>
    </row>
    <row r="82" spans="2:5" x14ac:dyDescent="0.35">
      <c r="B82" s="28" t="s">
        <v>196</v>
      </c>
      <c r="C82" s="43">
        <f>'Belgium Crunch Output'!G86</f>
        <v>0.11208420754950441</v>
      </c>
      <c r="D82" s="43">
        <f>'Belgium Crunch Output'!H86</f>
        <v>0.13888410950852531</v>
      </c>
      <c r="E82" s="43">
        <f>'Belgium Crunch Output'!I86</f>
        <v>0.15306674610872409</v>
      </c>
    </row>
    <row r="83" spans="2:5" x14ac:dyDescent="0.35">
      <c r="B83" s="44">
        <v>9</v>
      </c>
      <c r="C83" s="43">
        <f>'Belgium Crunch Output'!G87</f>
        <v>0.21223621548698579</v>
      </c>
      <c r="D83" s="43">
        <f>'Belgium Crunch Output'!H87</f>
        <v>0.20250822228158741</v>
      </c>
      <c r="E83" s="43">
        <f>'Belgium Crunch Output'!I87</f>
        <v>0.22377412077211101</v>
      </c>
    </row>
    <row r="84" spans="2:5" x14ac:dyDescent="0.35">
      <c r="B84" s="44">
        <v>8</v>
      </c>
      <c r="C84" s="43">
        <f>'Belgium Crunch Output'!G88</f>
        <v>0.29832186119798171</v>
      </c>
      <c r="D84" s="43">
        <f>'Belgium Crunch Output'!H88</f>
        <v>0.29303607092150757</v>
      </c>
      <c r="E84" s="43">
        <f>'Belgium Crunch Output'!I88</f>
        <v>0.28681640838669581</v>
      </c>
    </row>
    <row r="85" spans="2:5" x14ac:dyDescent="0.35">
      <c r="B85" s="44">
        <v>7</v>
      </c>
      <c r="C85" s="43">
        <f>'Belgium Crunch Output'!G89</f>
        <v>0.13918531193539541</v>
      </c>
      <c r="D85" s="43">
        <f>'Belgium Crunch Output'!H89</f>
        <v>0.13337729710128809</v>
      </c>
      <c r="E85" s="43">
        <f>'Belgium Crunch Output'!I89</f>
        <v>0.12784540474763659</v>
      </c>
    </row>
    <row r="86" spans="2:5" x14ac:dyDescent="0.35">
      <c r="B86" s="44">
        <v>6</v>
      </c>
      <c r="C86" s="43">
        <f>'Belgium Crunch Output'!G90</f>
        <v>8.9104808495154772E-2</v>
      </c>
      <c r="D86" s="43">
        <f>'Belgium Crunch Output'!H90</f>
        <v>8.4884088379659106E-2</v>
      </c>
      <c r="E86" s="43">
        <f>'Belgium Crunch Output'!I90</f>
        <v>6.9973732595319055E-2</v>
      </c>
    </row>
    <row r="87" spans="2:5" x14ac:dyDescent="0.35">
      <c r="B87" s="44">
        <v>5</v>
      </c>
      <c r="C87" s="43">
        <f>'Belgium Crunch Output'!G91</f>
        <v>0.1068816002463993</v>
      </c>
      <c r="D87" s="43">
        <f>'Belgium Crunch Output'!H91</f>
        <v>0.10719930986892411</v>
      </c>
      <c r="E87" s="43">
        <f>'Belgium Crunch Output'!I91</f>
        <v>0.1075399868557466</v>
      </c>
    </row>
    <row r="88" spans="2:5" x14ac:dyDescent="0.35">
      <c r="B88" s="44">
        <v>4</v>
      </c>
      <c r="C88" s="43">
        <f>'Belgium Crunch Output'!G92</f>
        <v>6.1489884699023516E-3</v>
      </c>
      <c r="D88" s="43">
        <f>'Belgium Crunch Output'!H92</f>
        <v>5.1561474686140822E-3</v>
      </c>
      <c r="E88" s="43">
        <f>'Belgium Crunch Output'!I92</f>
        <v>5.6260812460533216E-3</v>
      </c>
    </row>
    <row r="89" spans="2:5" x14ac:dyDescent="0.35">
      <c r="B89" s="44">
        <v>3</v>
      </c>
      <c r="C89" s="43">
        <f>'Belgium Crunch Output'!G93</f>
        <v>6.3946212481860946E-3</v>
      </c>
      <c r="D89" s="43">
        <f>'Belgium Crunch Output'!H93</f>
        <v>7.7303350411878644E-3</v>
      </c>
      <c r="E89" s="43">
        <f>'Belgium Crunch Output'!I93</f>
        <v>7.9910103855507127E-3</v>
      </c>
    </row>
    <row r="90" spans="2:5" x14ac:dyDescent="0.35">
      <c r="B90" s="44">
        <v>2</v>
      </c>
      <c r="C90" s="43">
        <f>'Belgium Crunch Output'!G94</f>
        <v>1.653575986555789E-2</v>
      </c>
      <c r="D90" s="43">
        <f>'Belgium Crunch Output'!H94</f>
        <v>1.386582797963201E-2</v>
      </c>
      <c r="E90" s="43">
        <f>'Belgium Crunch Output'!I94</f>
        <v>8.6914750754073181E-3</v>
      </c>
    </row>
    <row r="91" spans="2:5" x14ac:dyDescent="0.35">
      <c r="B91" s="44">
        <v>1</v>
      </c>
      <c r="C91" s="43">
        <f>'Belgium Crunch Output'!G95</f>
        <v>0</v>
      </c>
      <c r="D91" s="43">
        <f>'Belgium Crunch Output'!H95</f>
        <v>0</v>
      </c>
      <c r="E91" s="43">
        <f>'Belgium Crunch Output'!I95</f>
        <v>0</v>
      </c>
    </row>
    <row r="92" spans="2:5" x14ac:dyDescent="0.35">
      <c r="B92" s="44" t="s">
        <v>204</v>
      </c>
      <c r="C92" s="43">
        <f>'Belgium Crunch Output'!G96</f>
        <v>1.31066255049324E-2</v>
      </c>
      <c r="D92" s="43">
        <f>'Belgium Crunch Output'!H96</f>
        <v>1.335859144907457E-2</v>
      </c>
      <c r="E92" s="43">
        <f>'Belgium Crunch Output'!I96</f>
        <v>8.675033826755529E-3</v>
      </c>
    </row>
    <row r="93" spans="2:5" s="36" customFormat="1" x14ac:dyDescent="0.3">
      <c r="B93" s="56" t="s">
        <v>24</v>
      </c>
      <c r="C93" s="60">
        <f>'Belgium Crunch Output'!G82</f>
        <v>315</v>
      </c>
      <c r="D93" s="60">
        <f>'Belgium Crunch Output'!H82</f>
        <v>378</v>
      </c>
      <c r="E93" s="60">
        <f>'Belgium Crunch Output'!I82</f>
        <v>366</v>
      </c>
    </row>
    <row r="94" spans="2:5" x14ac:dyDescent="0.35">
      <c r="B94" s="27"/>
      <c r="C94" s="33"/>
      <c r="D94" s="33"/>
      <c r="E94" s="33"/>
    </row>
    <row r="95" spans="2:5" x14ac:dyDescent="0.35">
      <c r="B95" s="99" t="s">
        <v>89</v>
      </c>
      <c r="C95" s="39" t="s">
        <v>22</v>
      </c>
      <c r="D95" s="39" t="s">
        <v>22</v>
      </c>
      <c r="E95" s="39" t="s">
        <v>22</v>
      </c>
    </row>
    <row r="96" spans="2:5" x14ac:dyDescent="0.35">
      <c r="B96" s="100"/>
      <c r="C96" s="40" t="s">
        <v>43</v>
      </c>
      <c r="D96" s="40" t="s">
        <v>43</v>
      </c>
      <c r="E96" s="40" t="s">
        <v>43</v>
      </c>
    </row>
    <row r="97" spans="2:5" x14ac:dyDescent="0.35">
      <c r="B97" s="41" t="s">
        <v>336</v>
      </c>
      <c r="C97" s="42" t="s">
        <v>43</v>
      </c>
      <c r="D97" s="42" t="s">
        <v>43</v>
      </c>
      <c r="E97" s="42" t="s">
        <v>43</v>
      </c>
    </row>
    <row r="98" spans="2:5" x14ac:dyDescent="0.35">
      <c r="B98" s="41" t="s">
        <v>194</v>
      </c>
      <c r="C98" s="42" t="s">
        <v>43</v>
      </c>
      <c r="D98" s="42" t="s">
        <v>43</v>
      </c>
      <c r="E98" s="42" t="s">
        <v>43</v>
      </c>
    </row>
    <row r="99" spans="2:5" x14ac:dyDescent="0.35">
      <c r="B99" s="41" t="s">
        <v>195</v>
      </c>
      <c r="C99" s="42" t="s">
        <v>43</v>
      </c>
      <c r="D99" s="42" t="s">
        <v>43</v>
      </c>
      <c r="E99" s="42" t="s">
        <v>43</v>
      </c>
    </row>
    <row r="100" spans="2:5" x14ac:dyDescent="0.35">
      <c r="B100" s="28" t="s">
        <v>196</v>
      </c>
      <c r="C100" s="43" t="s">
        <v>43</v>
      </c>
      <c r="D100" s="43" t="s">
        <v>43</v>
      </c>
      <c r="E100" s="43" t="s">
        <v>43</v>
      </c>
    </row>
    <row r="101" spans="2:5" x14ac:dyDescent="0.35">
      <c r="B101" s="44">
        <v>9</v>
      </c>
      <c r="C101" s="43" t="s">
        <v>43</v>
      </c>
      <c r="D101" s="43" t="s">
        <v>43</v>
      </c>
      <c r="E101" s="43" t="s">
        <v>43</v>
      </c>
    </row>
    <row r="102" spans="2:5" x14ac:dyDescent="0.35">
      <c r="B102" s="44">
        <v>8</v>
      </c>
      <c r="C102" s="43" t="s">
        <v>43</v>
      </c>
      <c r="D102" s="43" t="s">
        <v>43</v>
      </c>
      <c r="E102" s="43" t="s">
        <v>43</v>
      </c>
    </row>
    <row r="103" spans="2:5" x14ac:dyDescent="0.35">
      <c r="B103" s="44">
        <v>7</v>
      </c>
      <c r="C103" s="43" t="s">
        <v>43</v>
      </c>
      <c r="D103" s="43" t="s">
        <v>43</v>
      </c>
      <c r="E103" s="43" t="s">
        <v>43</v>
      </c>
    </row>
    <row r="104" spans="2:5" x14ac:dyDescent="0.35">
      <c r="B104" s="44">
        <v>6</v>
      </c>
      <c r="C104" s="43" t="s">
        <v>43</v>
      </c>
      <c r="D104" s="43" t="s">
        <v>43</v>
      </c>
      <c r="E104" s="43" t="s">
        <v>43</v>
      </c>
    </row>
    <row r="105" spans="2:5" x14ac:dyDescent="0.35">
      <c r="B105" s="44">
        <v>5</v>
      </c>
      <c r="C105" s="43" t="s">
        <v>43</v>
      </c>
      <c r="D105" s="43" t="s">
        <v>43</v>
      </c>
      <c r="E105" s="43" t="s">
        <v>43</v>
      </c>
    </row>
    <row r="106" spans="2:5" x14ac:dyDescent="0.35">
      <c r="B106" s="44">
        <v>4</v>
      </c>
      <c r="C106" s="43" t="s">
        <v>43</v>
      </c>
      <c r="D106" s="43" t="s">
        <v>43</v>
      </c>
      <c r="E106" s="43" t="s">
        <v>43</v>
      </c>
    </row>
    <row r="107" spans="2:5" x14ac:dyDescent="0.35">
      <c r="B107" s="44">
        <v>3</v>
      </c>
      <c r="C107" s="43" t="s">
        <v>43</v>
      </c>
      <c r="D107" s="43" t="s">
        <v>43</v>
      </c>
      <c r="E107" s="43" t="s">
        <v>43</v>
      </c>
    </row>
    <row r="108" spans="2:5" x14ac:dyDescent="0.35">
      <c r="B108" s="44">
        <v>2</v>
      </c>
      <c r="C108" s="43" t="s">
        <v>43</v>
      </c>
      <c r="D108" s="43" t="s">
        <v>43</v>
      </c>
      <c r="E108" s="43" t="s">
        <v>43</v>
      </c>
    </row>
    <row r="109" spans="2:5" ht="14.5" customHeight="1" x14ac:dyDescent="0.35">
      <c r="B109" s="44">
        <v>1</v>
      </c>
      <c r="C109" s="43" t="s">
        <v>43</v>
      </c>
      <c r="D109" s="43" t="s">
        <v>43</v>
      </c>
      <c r="E109" s="43" t="s">
        <v>43</v>
      </c>
    </row>
    <row r="110" spans="2:5" x14ac:dyDescent="0.35">
      <c r="B110" s="44" t="s">
        <v>204</v>
      </c>
      <c r="C110" s="43" t="s">
        <v>43</v>
      </c>
      <c r="D110" s="43" t="s">
        <v>43</v>
      </c>
      <c r="E110" s="43" t="s">
        <v>43</v>
      </c>
    </row>
    <row r="111" spans="2:5" s="36" customFormat="1" x14ac:dyDescent="0.3">
      <c r="B111" s="56" t="s">
        <v>24</v>
      </c>
      <c r="C111" s="60">
        <f>'Belgium Crunch Output'!G137</f>
        <v>55</v>
      </c>
      <c r="D111" s="60">
        <f>'Belgium Crunch Output'!H137</f>
        <v>64</v>
      </c>
      <c r="E111" s="60">
        <f>'Belgium Crunch Output'!I137</f>
        <v>67</v>
      </c>
    </row>
    <row r="112" spans="2:5" x14ac:dyDescent="0.35">
      <c r="B112" s="27"/>
      <c r="C112" s="33"/>
      <c r="D112" s="33"/>
      <c r="E112" s="33"/>
    </row>
    <row r="113" spans="2:5" x14ac:dyDescent="0.35">
      <c r="B113" s="99" t="s">
        <v>90</v>
      </c>
      <c r="C113" s="39" t="s">
        <v>22</v>
      </c>
      <c r="D113" s="39" t="s">
        <v>22</v>
      </c>
      <c r="E113" s="39" t="s">
        <v>22</v>
      </c>
    </row>
    <row r="114" spans="2:5" x14ac:dyDescent="0.35">
      <c r="B114" s="100"/>
      <c r="C114" s="40">
        <f>'Belgium Crunch Output'!G225</f>
        <v>9.2041352943783377</v>
      </c>
      <c r="D114" s="40">
        <f>'Belgium Crunch Output'!H225</f>
        <v>9.5530681407096534</v>
      </c>
      <c r="E114" s="40">
        <f>'Belgium Crunch Output'!I225</f>
        <v>8.821965475040745</v>
      </c>
    </row>
    <row r="115" spans="2:5" x14ac:dyDescent="0.35">
      <c r="B115" s="41" t="s">
        <v>336</v>
      </c>
      <c r="C115" s="42">
        <f>'Belgium Crunch Output'!G211</f>
        <v>0.27258995143429637</v>
      </c>
      <c r="D115" s="42">
        <f>'Belgium Crunch Output'!H211</f>
        <v>0.2773290283197507</v>
      </c>
      <c r="E115" s="42">
        <f>'Belgium Crunch Output'!I211</f>
        <v>0.2893289836883699</v>
      </c>
    </row>
    <row r="116" spans="2:5" x14ac:dyDescent="0.35">
      <c r="B116" s="41" t="s">
        <v>194</v>
      </c>
      <c r="C116" s="42">
        <f>'Belgium Crunch Output'!G212</f>
        <v>0.54686145007519038</v>
      </c>
      <c r="D116" s="42">
        <f>'Belgium Crunch Output'!H212</f>
        <v>0.54087262476759523</v>
      </c>
      <c r="E116" s="42">
        <f>'Belgium Crunch Output'!I212</f>
        <v>0.50956168737366747</v>
      </c>
    </row>
    <row r="117" spans="2:5" x14ac:dyDescent="0.35">
      <c r="B117" s="41" t="s">
        <v>195</v>
      </c>
      <c r="C117" s="42">
        <f>'Belgium Crunch Output'!G213</f>
        <v>0.18054859849051311</v>
      </c>
      <c r="D117" s="42">
        <f>'Belgium Crunch Output'!H213</f>
        <v>0.1817983469126542</v>
      </c>
      <c r="E117" s="42">
        <f>'Belgium Crunch Output'!I213</f>
        <v>0.2011093289379626</v>
      </c>
    </row>
    <row r="118" spans="2:5" x14ac:dyDescent="0.35">
      <c r="B118" s="28" t="s">
        <v>196</v>
      </c>
      <c r="C118" s="43">
        <f>'Belgium Crunch Output'!G214</f>
        <v>0.1246719719865447</v>
      </c>
      <c r="D118" s="43">
        <f>'Belgium Crunch Output'!H214</f>
        <v>0.13691626838234819</v>
      </c>
      <c r="E118" s="43">
        <f>'Belgium Crunch Output'!I214</f>
        <v>0.15985741205863499</v>
      </c>
    </row>
    <row r="119" spans="2:5" x14ac:dyDescent="0.35">
      <c r="B119" s="44">
        <v>9</v>
      </c>
      <c r="C119" s="43">
        <f>'Belgium Crunch Output'!G215</f>
        <v>0.14791797944775181</v>
      </c>
      <c r="D119" s="43">
        <f>'Belgium Crunch Output'!H215</f>
        <v>0.14041275993740249</v>
      </c>
      <c r="E119" s="43">
        <f>'Belgium Crunch Output'!I215</f>
        <v>0.12947157162973491</v>
      </c>
    </row>
    <row r="120" spans="2:5" x14ac:dyDescent="0.35">
      <c r="B120" s="44">
        <v>8</v>
      </c>
      <c r="C120" s="43">
        <f>'Belgium Crunch Output'!G216</f>
        <v>0.32795982704013438</v>
      </c>
      <c r="D120" s="43">
        <f>'Belgium Crunch Output'!H216</f>
        <v>0.32516862965343879</v>
      </c>
      <c r="E120" s="43">
        <f>'Belgium Crunch Output'!I216</f>
        <v>0.33565344888485948</v>
      </c>
    </row>
    <row r="121" spans="2:5" x14ac:dyDescent="0.35">
      <c r="B121" s="44">
        <v>7</v>
      </c>
      <c r="C121" s="43">
        <f>'Belgium Crunch Output'!G217</f>
        <v>0.21890162303505589</v>
      </c>
      <c r="D121" s="43">
        <f>'Belgium Crunch Output'!H217</f>
        <v>0.21570399511415639</v>
      </c>
      <c r="E121" s="43">
        <f>'Belgium Crunch Output'!I217</f>
        <v>0.1739082384888079</v>
      </c>
    </row>
    <row r="122" spans="2:5" x14ac:dyDescent="0.35">
      <c r="B122" s="44">
        <v>6</v>
      </c>
      <c r="C122" s="43">
        <f>'Belgium Crunch Output'!G218</f>
        <v>6.2587044737327457E-2</v>
      </c>
      <c r="D122" s="43">
        <f>'Belgium Crunch Output'!H218</f>
        <v>6.8754142944875668E-2</v>
      </c>
      <c r="E122" s="43">
        <f>'Belgium Crunch Output'!I218</f>
        <v>8.0019215060281923E-2</v>
      </c>
    </row>
    <row r="123" spans="2:5" x14ac:dyDescent="0.35">
      <c r="B123" s="44">
        <v>5</v>
      </c>
      <c r="C123" s="43">
        <f>'Belgium Crunch Output'!G219</f>
        <v>7.050339439171173E-2</v>
      </c>
      <c r="D123" s="43">
        <f>'Belgium Crunch Output'!H219</f>
        <v>6.9455258878154402E-2</v>
      </c>
      <c r="E123" s="43">
        <f>'Belgium Crunch Output'!I219</f>
        <v>7.0466328760207309E-2</v>
      </c>
    </row>
    <row r="124" spans="2:5" x14ac:dyDescent="0.35">
      <c r="B124" s="44">
        <v>4</v>
      </c>
      <c r="C124" s="43">
        <f>'Belgium Crunch Output'!G220</f>
        <v>1.6883201011427821E-2</v>
      </c>
      <c r="D124" s="43">
        <f>'Belgium Crunch Output'!H220</f>
        <v>1.8109945989646731E-2</v>
      </c>
      <c r="E124" s="43">
        <f>'Belgium Crunch Output'!I220</f>
        <v>2.1928785915283341E-2</v>
      </c>
    </row>
    <row r="125" spans="2:5" x14ac:dyDescent="0.35">
      <c r="B125" s="44">
        <v>3</v>
      </c>
      <c r="C125" s="43">
        <f>'Belgium Crunch Output'!G221</f>
        <v>1.18720890163009E-2</v>
      </c>
      <c r="D125" s="43">
        <f>'Belgium Crunch Output'!H221</f>
        <v>9.8933559253965731E-3</v>
      </c>
      <c r="E125" s="43">
        <f>'Belgium Crunch Output'!I221</f>
        <v>9.3150913744482252E-3</v>
      </c>
    </row>
    <row r="126" spans="2:5" x14ac:dyDescent="0.35">
      <c r="B126" s="44">
        <v>2</v>
      </c>
      <c r="C126" s="43">
        <f>'Belgium Crunch Output'!G222</f>
        <v>7.3496654927421422E-3</v>
      </c>
      <c r="D126" s="43">
        <f>'Belgium Crunch Output'!H222</f>
        <v>6.1246893072032446E-3</v>
      </c>
      <c r="E126" s="43">
        <f>'Belgium Crunch Output'!I222</f>
        <v>1.047194470293091E-2</v>
      </c>
    </row>
    <row r="127" spans="2:5" x14ac:dyDescent="0.35">
      <c r="B127" s="44">
        <v>1</v>
      </c>
      <c r="C127" s="43">
        <f>'Belgium Crunch Output'!G223</f>
        <v>0</v>
      </c>
      <c r="D127" s="43">
        <f>'Belgium Crunch Output'!H223</f>
        <v>0</v>
      </c>
      <c r="E127" s="43">
        <f>'Belgium Crunch Output'!I223</f>
        <v>0</v>
      </c>
    </row>
    <row r="128" spans="2:5" x14ac:dyDescent="0.35">
      <c r="B128" s="44" t="s">
        <v>204</v>
      </c>
      <c r="C128" s="43">
        <f>'Belgium Crunch Output'!G224</f>
        <v>1.1353203841003009E-2</v>
      </c>
      <c r="D128" s="43">
        <f>'Belgium Crunch Output'!H224</f>
        <v>9.4609538673775303E-3</v>
      </c>
      <c r="E128" s="43">
        <f>'Belgium Crunch Output'!I224</f>
        <v>8.9079631248107916E-3</v>
      </c>
    </row>
    <row r="129" spans="2:5" s="36" customFormat="1" x14ac:dyDescent="0.3">
      <c r="B129" s="56" t="s">
        <v>24</v>
      </c>
      <c r="C129" s="60">
        <f>'Belgium Crunch Output'!G210</f>
        <v>150</v>
      </c>
      <c r="D129" s="60">
        <f>'Belgium Crunch Output'!H210</f>
        <v>180</v>
      </c>
      <c r="E129" s="60">
        <f>'Belgium Crunch Output'!I210</f>
        <v>192</v>
      </c>
    </row>
    <row r="130" spans="2:5" x14ac:dyDescent="0.35">
      <c r="B130" s="27"/>
      <c r="C130" s="33"/>
      <c r="D130" s="33"/>
      <c r="E130" s="33"/>
    </row>
    <row r="131" spans="2:5" x14ac:dyDescent="0.35">
      <c r="B131" s="99" t="s">
        <v>91</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'Belgium Crunch Output'!G247</f>
        <v>64</v>
      </c>
      <c r="D147" s="60">
        <f>'Belgium Crunch Output'!H247</f>
        <v>72</v>
      </c>
      <c r="E147" s="60">
        <f>'Belgium Crunch Output'!I247</f>
        <v>68</v>
      </c>
    </row>
    <row r="148" spans="2:5" x14ac:dyDescent="0.35">
      <c r="B148" s="27"/>
      <c r="C148" s="33"/>
      <c r="D148" s="33"/>
      <c r="E148" s="33"/>
    </row>
    <row r="149" spans="2:5" x14ac:dyDescent="0.35">
      <c r="B149" s="99" t="s">
        <v>92</v>
      </c>
      <c r="C149" s="39" t="s">
        <v>22</v>
      </c>
      <c r="D149" s="39" t="s">
        <v>22</v>
      </c>
      <c r="E149" s="39" t="s">
        <v>22</v>
      </c>
    </row>
    <row r="150" spans="2:5" x14ac:dyDescent="0.35">
      <c r="B150" s="100"/>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'Belgium Crunch Output'!G302</f>
        <v>47</v>
      </c>
      <c r="D165" s="60">
        <f>'Belgium Crunch Output'!H302</f>
        <v>57</v>
      </c>
      <c r="E165" s="60">
        <f>'Belgium Crunch Output'!I302</f>
        <v>53</v>
      </c>
    </row>
    <row r="166" spans="2:5" x14ac:dyDescent="0.35">
      <c r="B166" s="27"/>
      <c r="C166" s="33"/>
      <c r="D166" s="33"/>
      <c r="E166" s="33"/>
    </row>
    <row r="167" spans="2:5" x14ac:dyDescent="0.35">
      <c r="B167" s="99" t="s">
        <v>93</v>
      </c>
      <c r="C167" s="39" t="s">
        <v>22</v>
      </c>
      <c r="D167" s="39" t="s">
        <v>22</v>
      </c>
      <c r="E167" s="39"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'Belgium Crunch Output'!G340</f>
        <v>26</v>
      </c>
      <c r="D183" s="60">
        <f>'Belgium Crunch Output'!H340</f>
        <v>33</v>
      </c>
      <c r="E183" s="60">
        <f>'Belgium Crunch Output'!I340</f>
        <v>36</v>
      </c>
    </row>
    <row r="184" spans="2:5" x14ac:dyDescent="0.35">
      <c r="B184" s="27"/>
      <c r="C184" s="33"/>
      <c r="D184" s="33"/>
      <c r="E184" s="33"/>
    </row>
    <row r="185" spans="2:5" x14ac:dyDescent="0.35">
      <c r="B185" s="99" t="s">
        <v>233</v>
      </c>
      <c r="C185" s="39" t="s">
        <v>22</v>
      </c>
      <c r="D185" s="39" t="s">
        <v>22</v>
      </c>
      <c r="E185" s="39" t="s">
        <v>22</v>
      </c>
    </row>
    <row r="186" spans="2:5" x14ac:dyDescent="0.35">
      <c r="B186" s="100"/>
      <c r="C186" s="40">
        <f>'Belgium Crunch Output'!G336</f>
        <v>19.82658120178964</v>
      </c>
      <c r="D186" s="40">
        <f>'Belgium Crunch Output'!H336</f>
        <v>20.382305614540279</v>
      </c>
      <c r="E186" s="40">
        <f>'Belgium Crunch Output'!I336</f>
        <v>25.261651798080141</v>
      </c>
    </row>
    <row r="187" spans="2:5" x14ac:dyDescent="0.35">
      <c r="B187" s="41" t="s">
        <v>336</v>
      </c>
      <c r="C187" s="42">
        <f>'Belgium Crunch Output'!G322</f>
        <v>0.37260884653070642</v>
      </c>
      <c r="D187" s="42">
        <f>'Belgium Crunch Output'!H322</f>
        <v>0.36850997672388169</v>
      </c>
      <c r="E187" s="42">
        <f>'Belgium Crunch Output'!I322</f>
        <v>0.3946374661082695</v>
      </c>
    </row>
    <row r="188" spans="2:5" x14ac:dyDescent="0.35">
      <c r="B188" s="41" t="s">
        <v>194</v>
      </c>
      <c r="C188" s="42">
        <f>'Belgium Crunch Output'!G323</f>
        <v>0.45304811895648339</v>
      </c>
      <c r="D188" s="42">
        <f>'Belgium Crunch Output'!H323</f>
        <v>0.46680310269763942</v>
      </c>
      <c r="E188" s="42">
        <f>'Belgium Crunch Output'!I323</f>
        <v>0.46334158576426249</v>
      </c>
    </row>
    <row r="189" spans="2:5" x14ac:dyDescent="0.35">
      <c r="B189" s="41" t="s">
        <v>195</v>
      </c>
      <c r="C189" s="42">
        <f>'Belgium Crunch Output'!G324</f>
        <v>0.17434303451281011</v>
      </c>
      <c r="D189" s="42">
        <f>'Belgium Crunch Output'!H324</f>
        <v>0.164686920578479</v>
      </c>
      <c r="E189" s="42">
        <f>'Belgium Crunch Output'!I324</f>
        <v>0.1420209481274681</v>
      </c>
    </row>
    <row r="190" spans="2:5" x14ac:dyDescent="0.35">
      <c r="B190" s="28" t="s">
        <v>196</v>
      </c>
      <c r="C190" s="43">
        <f>'Belgium Crunch Output'!G325</f>
        <v>0.18665181794788449</v>
      </c>
      <c r="D190" s="43">
        <f>'Belgium Crunch Output'!H325</f>
        <v>0.18033441885661311</v>
      </c>
      <c r="E190" s="43">
        <f>'Belgium Crunch Output'!I325</f>
        <v>0.19817553835919691</v>
      </c>
    </row>
    <row r="191" spans="2:5" x14ac:dyDescent="0.35">
      <c r="B191" s="44">
        <v>9</v>
      </c>
      <c r="C191" s="43">
        <f>'Belgium Crunch Output'!G326</f>
        <v>0.1859570285828219</v>
      </c>
      <c r="D191" s="43">
        <f>'Belgium Crunch Output'!H326</f>
        <v>0.18817555786726861</v>
      </c>
      <c r="E191" s="43">
        <f>'Belgium Crunch Output'!I326</f>
        <v>0.19646192774907259</v>
      </c>
    </row>
    <row r="192" spans="2:5" x14ac:dyDescent="0.35">
      <c r="B192" s="44">
        <v>8</v>
      </c>
      <c r="C192" s="43">
        <f>'Belgium Crunch Output'!G327</f>
        <v>0.25561033962379759</v>
      </c>
      <c r="D192" s="43">
        <f>'Belgium Crunch Output'!H327</f>
        <v>0.27572835841713073</v>
      </c>
      <c r="E192" s="43">
        <f>'Belgium Crunch Output'!I327</f>
        <v>0.28150351916827338</v>
      </c>
    </row>
    <row r="193" spans="2:5" x14ac:dyDescent="0.35">
      <c r="B193" s="44">
        <v>7</v>
      </c>
      <c r="C193" s="43">
        <f>'Belgium Crunch Output'!G328</f>
        <v>0.19743777933268569</v>
      </c>
      <c r="D193" s="43">
        <f>'Belgium Crunch Output'!H328</f>
        <v>0.19107474428050869</v>
      </c>
      <c r="E193" s="43">
        <f>'Belgium Crunch Output'!I328</f>
        <v>0.18183806659598911</v>
      </c>
    </row>
    <row r="194" spans="2:5" x14ac:dyDescent="0.35">
      <c r="B194" s="44">
        <v>6</v>
      </c>
      <c r="C194" s="43">
        <f>'Belgium Crunch Output'!G329</f>
        <v>6.6864136524034515E-2</v>
      </c>
      <c r="D194" s="43">
        <f>'Belgium Crunch Output'!H329</f>
        <v>6.418459100726262E-2</v>
      </c>
      <c r="E194" s="43">
        <f>'Belgium Crunch Output'!I329</f>
        <v>6.0538998227141601E-2</v>
      </c>
    </row>
    <row r="195" spans="2:5" x14ac:dyDescent="0.35">
      <c r="B195" s="44">
        <v>5</v>
      </c>
      <c r="C195" s="43">
        <f>'Belgium Crunch Output'!G330</f>
        <v>5.2897978267894212E-2</v>
      </c>
      <c r="D195" s="43">
        <f>'Belgium Crunch Output'!H330</f>
        <v>5.3414025065473193E-2</v>
      </c>
      <c r="E195" s="43">
        <f>'Belgium Crunch Output'!I330</f>
        <v>5.4016608930156161E-2</v>
      </c>
    </row>
    <row r="196" spans="2:5" x14ac:dyDescent="0.35">
      <c r="B196" s="44">
        <v>4</v>
      </c>
      <c r="C196" s="43">
        <f>'Belgium Crunch Output'!G331</f>
        <v>2.6293149265855929E-2</v>
      </c>
      <c r="D196" s="43">
        <f>'Belgium Crunch Output'!H331</f>
        <v>2.2683747825742739E-2</v>
      </c>
      <c r="E196" s="43">
        <f>'Belgium Crunch Output'!I331</f>
        <v>8.7470759604713587E-3</v>
      </c>
    </row>
    <row r="197" spans="2:5" x14ac:dyDescent="0.35">
      <c r="B197" s="44">
        <v>3</v>
      </c>
      <c r="C197" s="43">
        <f>'Belgium Crunch Output'!G332</f>
        <v>0</v>
      </c>
      <c r="D197" s="43">
        <f>'Belgium Crunch Output'!H332</f>
        <v>0</v>
      </c>
      <c r="E197" s="43">
        <f>'Belgium Crunch Output'!I332</f>
        <v>0</v>
      </c>
    </row>
    <row r="198" spans="2:5" x14ac:dyDescent="0.35">
      <c r="B198" s="44">
        <v>2</v>
      </c>
      <c r="C198" s="43">
        <f>'Belgium Crunch Output'!G333</f>
        <v>6.2907075227691452E-3</v>
      </c>
      <c r="D198" s="43">
        <f>'Belgium Crunch Output'!H333</f>
        <v>5.4271484046722034E-3</v>
      </c>
      <c r="E198" s="43">
        <f>'Belgium Crunch Output'!I333</f>
        <v>5.5746051680155831E-3</v>
      </c>
    </row>
    <row r="199" spans="2:5" x14ac:dyDescent="0.35">
      <c r="B199" s="44">
        <v>1</v>
      </c>
      <c r="C199" s="43">
        <f>'Belgium Crunch Output'!G334</f>
        <v>8.6988577888645197E-3</v>
      </c>
      <c r="D199" s="43">
        <f>'Belgium Crunch Output'!H334</f>
        <v>7.5047189843798039E-3</v>
      </c>
      <c r="E199" s="43">
        <f>'Belgium Crunch Output'!I334</f>
        <v>7.708623777233004E-3</v>
      </c>
    </row>
    <row r="200" spans="2:5" x14ac:dyDescent="0.35">
      <c r="B200" s="45" t="s">
        <v>204</v>
      </c>
      <c r="C200" s="43">
        <f>'Belgium Crunch Output'!G335</f>
        <v>1.329820514339178E-2</v>
      </c>
      <c r="D200" s="43">
        <f>'Belgium Crunch Output'!H335</f>
        <v>1.1472689290948451E-2</v>
      </c>
      <c r="E200" s="43">
        <f>'Belgium Crunch Output'!I335</f>
        <v>5.4350360644504422E-3</v>
      </c>
    </row>
    <row r="201" spans="2:5" s="36" customFormat="1" ht="15" thickBot="1" x14ac:dyDescent="0.35">
      <c r="B201" s="132" t="s">
        <v>24</v>
      </c>
      <c r="C201" s="134">
        <f>'Belgium Crunch Output'!G321</f>
        <v>131</v>
      </c>
      <c r="D201" s="134">
        <f>'Belgium Crunch Output'!H321</f>
        <v>152</v>
      </c>
      <c r="E201" s="134">
        <f>'Belgium Crunch Output'!I321</f>
        <v>148</v>
      </c>
    </row>
    <row r="203" spans="2:5" x14ac:dyDescent="0.35">
      <c r="B203" s="99" t="s">
        <v>105</v>
      </c>
      <c r="C203" s="137" t="s">
        <v>22</v>
      </c>
      <c r="D203" s="137" t="s">
        <v>22</v>
      </c>
      <c r="E203" s="137" t="s">
        <v>22</v>
      </c>
    </row>
    <row r="204" spans="2:5" x14ac:dyDescent="0.35">
      <c r="B204" s="100"/>
      <c r="C204" s="40" t="s">
        <v>43</v>
      </c>
      <c r="D204" s="40">
        <f>'Belgium Crunch Output'!H374</f>
        <v>27.184115320660698</v>
      </c>
      <c r="E204" s="40">
        <f>'Belgium Crunch Output'!I374</f>
        <v>29.562701066441381</v>
      </c>
    </row>
    <row r="205" spans="2:5" x14ac:dyDescent="0.35">
      <c r="B205" s="41" t="s">
        <v>336</v>
      </c>
      <c r="C205" s="42" t="s">
        <v>43</v>
      </c>
      <c r="D205" s="42">
        <f>'Belgium Crunch Output'!H360</f>
        <v>0.45178250820053611</v>
      </c>
      <c r="E205" s="42">
        <f>'Belgium Crunch Output'!I360</f>
        <v>0.45545764665997018</v>
      </c>
    </row>
    <row r="206" spans="2:5" x14ac:dyDescent="0.35">
      <c r="B206" s="41" t="s">
        <v>194</v>
      </c>
      <c r="C206" s="42" t="s">
        <v>43</v>
      </c>
      <c r="D206" s="42">
        <f>'Belgium Crunch Output'!H361</f>
        <v>0.368276136805535</v>
      </c>
      <c r="E206" s="42">
        <f>'Belgium Crunch Output'!I361</f>
        <v>0.38471171734447362</v>
      </c>
    </row>
    <row r="207" spans="2:5" x14ac:dyDescent="0.35">
      <c r="B207" s="41" t="s">
        <v>195</v>
      </c>
      <c r="C207" s="42" t="s">
        <v>43</v>
      </c>
      <c r="D207" s="42">
        <f>'Belgium Crunch Output'!H362</f>
        <v>0.17994135499392899</v>
      </c>
      <c r="E207" s="42">
        <f>'Belgium Crunch Output'!I362</f>
        <v>0.1598306359955563</v>
      </c>
    </row>
    <row r="208" spans="2:5" x14ac:dyDescent="0.35">
      <c r="B208" s="28" t="s">
        <v>196</v>
      </c>
      <c r="C208" s="43" t="s">
        <v>43</v>
      </c>
      <c r="D208" s="43">
        <f>'Belgium Crunch Output'!H363</f>
        <v>0.26122789488138443</v>
      </c>
      <c r="E208" s="43">
        <f>'Belgium Crunch Output'!I363</f>
        <v>0.25954354016046421</v>
      </c>
    </row>
    <row r="209" spans="2:5" x14ac:dyDescent="0.35">
      <c r="B209" s="44">
        <v>9</v>
      </c>
      <c r="C209" s="43" t="s">
        <v>43</v>
      </c>
      <c r="D209" s="43">
        <f>'Belgium Crunch Output'!H364</f>
        <v>0.19055461331915161</v>
      </c>
      <c r="E209" s="43">
        <f>'Belgium Crunch Output'!I364</f>
        <v>0.195914106499506</v>
      </c>
    </row>
    <row r="210" spans="2:5" x14ac:dyDescent="0.35">
      <c r="B210" s="44">
        <v>8</v>
      </c>
      <c r="C210" s="43" t="s">
        <v>43</v>
      </c>
      <c r="D210" s="43">
        <f>'Belgium Crunch Output'!H365</f>
        <v>0.1982118391456944</v>
      </c>
      <c r="E210" s="43">
        <f>'Belgium Crunch Output'!I365</f>
        <v>0.2346477594048364</v>
      </c>
    </row>
    <row r="211" spans="2:5" x14ac:dyDescent="0.35">
      <c r="B211" s="44">
        <v>7</v>
      </c>
      <c r="C211" s="43" t="s">
        <v>43</v>
      </c>
      <c r="D211" s="43">
        <f>'Belgium Crunch Output'!H366</f>
        <v>0.1700642976598406</v>
      </c>
      <c r="E211" s="43">
        <f>'Belgium Crunch Output'!I366</f>
        <v>0.15006395793963731</v>
      </c>
    </row>
    <row r="212" spans="2:5" x14ac:dyDescent="0.35">
      <c r="B212" s="44">
        <v>6</v>
      </c>
      <c r="C212" s="43" t="s">
        <v>43</v>
      </c>
      <c r="D212" s="43">
        <f>'Belgium Crunch Output'!H367</f>
        <v>7.8788962161960532E-2</v>
      </c>
      <c r="E212" s="43">
        <f>'Belgium Crunch Output'!I367</f>
        <v>7.3635636712499758E-2</v>
      </c>
    </row>
    <row r="213" spans="2:5" x14ac:dyDescent="0.35">
      <c r="B213" s="44">
        <v>5</v>
      </c>
      <c r="C213" s="43" t="s">
        <v>43</v>
      </c>
      <c r="D213" s="43">
        <f>'Belgium Crunch Output'!H368</f>
        <v>8.0754445066776301E-2</v>
      </c>
      <c r="E213" s="43">
        <f>'Belgium Crunch Output'!I368</f>
        <v>6.7131213822465494E-2</v>
      </c>
    </row>
    <row r="214" spans="2:5" x14ac:dyDescent="0.35">
      <c r="B214" s="44">
        <v>4</v>
      </c>
      <c r="C214" s="43" t="s">
        <v>43</v>
      </c>
      <c r="D214" s="43">
        <f>'Belgium Crunch Output'!H369</f>
        <v>0</v>
      </c>
      <c r="E214" s="43">
        <f>'Belgium Crunch Output'!I369</f>
        <v>0</v>
      </c>
    </row>
    <row r="215" spans="2:5" x14ac:dyDescent="0.35">
      <c r="B215" s="44">
        <v>3</v>
      </c>
      <c r="C215" s="43" t="s">
        <v>43</v>
      </c>
      <c r="D215" s="43">
        <f>'Belgium Crunch Output'!H370</f>
        <v>1.079105237094481E-2</v>
      </c>
      <c r="E215" s="43">
        <f>'Belgium Crunch Output'!I370</f>
        <v>1.0085245322803461E-2</v>
      </c>
    </row>
    <row r="216" spans="2:5" x14ac:dyDescent="0.35">
      <c r="B216" s="44">
        <v>2</v>
      </c>
      <c r="C216" s="43" t="s">
        <v>43</v>
      </c>
      <c r="D216" s="43">
        <f>'Belgium Crunch Output'!H371</f>
        <v>9.6068953942474028E-3</v>
      </c>
      <c r="E216" s="43">
        <f>'Belgium Crunch Output'!I371</f>
        <v>8.9785401377875714E-3</v>
      </c>
    </row>
    <row r="217" spans="2:5" x14ac:dyDescent="0.35">
      <c r="B217" s="44">
        <v>1</v>
      </c>
      <c r="C217" s="43" t="s">
        <v>43</v>
      </c>
      <c r="D217" s="43">
        <f>'Belgium Crunch Output'!H372</f>
        <v>0</v>
      </c>
      <c r="E217" s="43">
        <f>'Belgium Crunch Output'!I372</f>
        <v>0</v>
      </c>
    </row>
    <row r="218" spans="2:5" x14ac:dyDescent="0.35">
      <c r="B218" s="45" t="s">
        <v>204</v>
      </c>
      <c r="C218" s="43" t="s">
        <v>43</v>
      </c>
      <c r="D218" s="43">
        <f>'Belgium Crunch Output'!H373</f>
        <v>0</v>
      </c>
      <c r="E218" s="43">
        <f>'Belgium Crunch Output'!I373</f>
        <v>0</v>
      </c>
    </row>
    <row r="219" spans="2:5" s="36" customFormat="1" ht="15" thickBot="1" x14ac:dyDescent="0.35">
      <c r="B219" s="132" t="s">
        <v>24</v>
      </c>
      <c r="C219" s="167">
        <f>'Belgium Crunch Output'!G359</f>
        <v>84</v>
      </c>
      <c r="D219" s="167">
        <f>'Belgium Crunch Output'!H359</f>
        <v>108</v>
      </c>
      <c r="E219" s="167">
        <f>'Belgium Crunch Output'!I359</f>
        <v>115</v>
      </c>
    </row>
    <row r="221" spans="2:5" x14ac:dyDescent="0.35">
      <c r="B221" s="99" t="s">
        <v>615</v>
      </c>
      <c r="C221" s="137" t="s">
        <v>22</v>
      </c>
      <c r="D221" s="137" t="s">
        <v>22</v>
      </c>
      <c r="E221" s="137" t="s">
        <v>22</v>
      </c>
    </row>
    <row r="222" spans="2:5" x14ac:dyDescent="0.35">
      <c r="B222" s="100"/>
      <c r="C222" s="40">
        <f>'Belgium Crunch Output'!G393</f>
        <v>1.3757744567623531</v>
      </c>
      <c r="D222" s="40">
        <f>'Belgium Crunch Output'!H393</f>
        <v>0.98354694129705444</v>
      </c>
      <c r="E222" s="40">
        <f>'Belgium Crunch Output'!I393</f>
        <v>2.0424660627381459</v>
      </c>
    </row>
    <row r="223" spans="2:5" x14ac:dyDescent="0.35">
      <c r="B223" s="41" t="s">
        <v>336</v>
      </c>
      <c r="C223" s="42">
        <f>'Belgium Crunch Output'!G379</f>
        <v>0.30093222580511703</v>
      </c>
      <c r="D223" s="42">
        <f>'Belgium Crunch Output'!H379</f>
        <v>0.29136216363926681</v>
      </c>
      <c r="E223" s="42">
        <f>'Belgium Crunch Output'!I379</f>
        <v>0.29563400584552968</v>
      </c>
    </row>
    <row r="224" spans="2:5" x14ac:dyDescent="0.35">
      <c r="B224" s="41" t="s">
        <v>194</v>
      </c>
      <c r="C224" s="42">
        <f>'Belgium Crunch Output'!G380</f>
        <v>0.41189329295738958</v>
      </c>
      <c r="D224" s="42">
        <f>'Belgium Crunch Output'!H380</f>
        <v>0.42711114213443679</v>
      </c>
      <c r="E224" s="42">
        <f>'Belgium Crunch Output'!I380</f>
        <v>0.42915664893632199</v>
      </c>
    </row>
    <row r="225" spans="2:5" x14ac:dyDescent="0.35">
      <c r="B225" s="41" t="s">
        <v>195</v>
      </c>
      <c r="C225" s="42">
        <f>'Belgium Crunch Output'!G381</f>
        <v>0.28717448123749351</v>
      </c>
      <c r="D225" s="42">
        <f>'Belgium Crunch Output'!H381</f>
        <v>0.28152669422629628</v>
      </c>
      <c r="E225" s="42">
        <f>'Belgium Crunch Output'!I381</f>
        <v>0.27520934521814822</v>
      </c>
    </row>
    <row r="226" spans="2:5" x14ac:dyDescent="0.35">
      <c r="B226" s="28" t="s">
        <v>196</v>
      </c>
      <c r="C226" s="43">
        <f>'Belgium Crunch Output'!G382</f>
        <v>0.179682280909368</v>
      </c>
      <c r="D226" s="43">
        <f>'Belgium Crunch Output'!H382</f>
        <v>0.164896329343385</v>
      </c>
      <c r="E226" s="43">
        <f>'Belgium Crunch Output'!I382</f>
        <v>0.16525598844449579</v>
      </c>
    </row>
    <row r="227" spans="2:5" x14ac:dyDescent="0.35">
      <c r="B227" s="44">
        <v>9</v>
      </c>
      <c r="C227" s="43">
        <f>'Belgium Crunch Output'!G383</f>
        <v>0.121249944895749</v>
      </c>
      <c r="D227" s="43">
        <f>'Belgium Crunch Output'!H383</f>
        <v>0.12646583429588179</v>
      </c>
      <c r="E227" s="43">
        <f>'Belgium Crunch Output'!I383</f>
        <v>0.1303780174010338</v>
      </c>
    </row>
    <row r="228" spans="2:5" x14ac:dyDescent="0.35">
      <c r="B228" s="44">
        <v>8</v>
      </c>
      <c r="C228" s="43">
        <f>'Belgium Crunch Output'!G384</f>
        <v>0.24941876746269359</v>
      </c>
      <c r="D228" s="43">
        <f>'Belgium Crunch Output'!H384</f>
        <v>0.25073288855941822</v>
      </c>
      <c r="E228" s="43">
        <f>'Belgium Crunch Output'!I384</f>
        <v>0.2523772137555097</v>
      </c>
    </row>
    <row r="229" spans="2:5" x14ac:dyDescent="0.35">
      <c r="B229" s="44">
        <v>7</v>
      </c>
      <c r="C229" s="43">
        <f>'Belgium Crunch Output'!G385</f>
        <v>0.16247452549469599</v>
      </c>
      <c r="D229" s="43">
        <f>'Belgium Crunch Output'!H385</f>
        <v>0.17637825357501871</v>
      </c>
      <c r="E229" s="43">
        <f>'Belgium Crunch Output'!I385</f>
        <v>0.17677943518081229</v>
      </c>
    </row>
    <row r="230" spans="2:5" x14ac:dyDescent="0.35">
      <c r="B230" s="44">
        <v>6</v>
      </c>
      <c r="C230" s="43">
        <f>'Belgium Crunch Output'!G386</f>
        <v>0.13371790449880791</v>
      </c>
      <c r="D230" s="43">
        <f>'Belgium Crunch Output'!H386</f>
        <v>0.13076281233895351</v>
      </c>
      <c r="E230" s="43">
        <f>'Belgium Crunch Output'!I386</f>
        <v>0.12797280196804661</v>
      </c>
    </row>
    <row r="231" spans="2:5" x14ac:dyDescent="0.35">
      <c r="B231" s="44">
        <v>5</v>
      </c>
      <c r="C231" s="43">
        <f>'Belgium Crunch Output'!G387</f>
        <v>8.3145747802257586E-2</v>
      </c>
      <c r="D231" s="43">
        <f>'Belgium Crunch Output'!H387</f>
        <v>8.710936075112323E-2</v>
      </c>
      <c r="E231" s="43">
        <f>'Belgium Crunch Output'!I387</f>
        <v>8.3818211995052627E-2</v>
      </c>
    </row>
    <row r="232" spans="2:5" x14ac:dyDescent="0.35">
      <c r="B232" s="44">
        <v>4</v>
      </c>
      <c r="C232" s="43">
        <f>'Belgium Crunch Output'!G388</f>
        <v>1.9426846275058429E-2</v>
      </c>
      <c r="D232" s="43">
        <f>'Belgium Crunch Output'!H388</f>
        <v>1.7282383046574191E-2</v>
      </c>
      <c r="E232" s="43">
        <f>'Belgium Crunch Output'!I388</f>
        <v>1.6629423445272851E-2</v>
      </c>
    </row>
    <row r="233" spans="2:5" x14ac:dyDescent="0.35">
      <c r="B233" s="44">
        <v>3</v>
      </c>
      <c r="C233" s="43">
        <f>'Belgium Crunch Output'!G389</f>
        <v>2.0684228106678752E-2</v>
      </c>
      <c r="D233" s="43">
        <f>'Belgium Crunch Output'!H389</f>
        <v>1.5973279722568619E-2</v>
      </c>
      <c r="E233" s="43">
        <f>'Belgium Crunch Output'!I389</f>
        <v>1.536978040589361E-2</v>
      </c>
    </row>
    <row r="234" spans="2:5" x14ac:dyDescent="0.35">
      <c r="B234" s="44">
        <v>2</v>
      </c>
      <c r="C234" s="43">
        <f>'Belgium Crunch Output'!G390</f>
        <v>2.2467838744562769E-2</v>
      </c>
      <c r="D234" s="43">
        <f>'Belgium Crunch Output'!H390</f>
        <v>2.1752500992637751E-2</v>
      </c>
      <c r="E234" s="43">
        <f>'Belgium Crunch Output'!I390</f>
        <v>2.3099445005267661E-2</v>
      </c>
    </row>
    <row r="235" spans="2:5" x14ac:dyDescent="0.35">
      <c r="B235" s="44">
        <v>1</v>
      </c>
      <c r="C235" s="43">
        <f>'Belgium Crunch Output'!G391</f>
        <v>7.7319158101280816E-3</v>
      </c>
      <c r="D235" s="43">
        <f>'Belgium Crunch Output'!H391</f>
        <v>5.970928834740913E-3</v>
      </c>
      <c r="E235" s="43">
        <f>'Belgium Crunch Output'!I391</f>
        <v>5.7453363744404823E-3</v>
      </c>
    </row>
    <row r="236" spans="2:5" x14ac:dyDescent="0.35">
      <c r="B236" s="45" t="s">
        <v>204</v>
      </c>
      <c r="C236" s="43">
        <f>'Belgium Crunch Output'!G392</f>
        <v>0</v>
      </c>
      <c r="D236" s="43">
        <f>'Belgium Crunch Output'!H392</f>
        <v>2.6754285396981209E-3</v>
      </c>
      <c r="E236" s="43">
        <f>'Belgium Crunch Output'!I392</f>
        <v>2.574346024174441E-3</v>
      </c>
    </row>
    <row r="237" spans="2:5" s="36" customFormat="1" ht="15" thickBot="1" x14ac:dyDescent="0.35">
      <c r="B237" s="132" t="s">
        <v>24</v>
      </c>
      <c r="C237" s="167">
        <f>'Belgium Crunch Output'!G378</f>
        <v>308</v>
      </c>
      <c r="D237" s="167">
        <f>'Belgium Crunch Output'!H378</f>
        <v>402</v>
      </c>
      <c r="E237" s="167">
        <f>'Belgium Crunch Output'!I378</f>
        <v>419</v>
      </c>
    </row>
    <row r="239" spans="2:5" x14ac:dyDescent="0.35">
      <c r="B239" s="99" t="s">
        <v>616</v>
      </c>
      <c r="C239" s="137" t="s">
        <v>22</v>
      </c>
      <c r="D239" s="137" t="s">
        <v>22</v>
      </c>
      <c r="E239" s="137" t="s">
        <v>22</v>
      </c>
    </row>
    <row r="240" spans="2:5" x14ac:dyDescent="0.35">
      <c r="B240" s="100"/>
      <c r="C240" s="40">
        <f>'Belgium Crunch Output'!G412</f>
        <v>9.1775789349896036E-3</v>
      </c>
      <c r="D240" s="40">
        <f>'Belgium Crunch Output'!H412</f>
        <v>-1.0766290618547101</v>
      </c>
      <c r="E240" s="40">
        <f>'Belgium Crunch Output'!I412</f>
        <v>-0.54086286115555648</v>
      </c>
    </row>
    <row r="241" spans="2:5" x14ac:dyDescent="0.35">
      <c r="B241" s="41" t="s">
        <v>336</v>
      </c>
      <c r="C241" s="42">
        <f>'Belgium Crunch Output'!G398</f>
        <v>0.33141341344257857</v>
      </c>
      <c r="D241" s="42">
        <f>'Belgium Crunch Output'!H398</f>
        <v>0.31617580862704242</v>
      </c>
      <c r="E241" s="42">
        <f>'Belgium Crunch Output'!I398</f>
        <v>0.31293679271811597</v>
      </c>
    </row>
    <row r="242" spans="2:5" x14ac:dyDescent="0.35">
      <c r="B242" s="41" t="s">
        <v>194</v>
      </c>
      <c r="C242" s="42">
        <f>'Belgium Crunch Output'!G399</f>
        <v>0.33726494890419301</v>
      </c>
      <c r="D242" s="42">
        <f>'Belgium Crunch Output'!H399</f>
        <v>0.3568820921273681</v>
      </c>
      <c r="E242" s="42">
        <f>'Belgium Crunch Output'!I399</f>
        <v>0.36871778595221227</v>
      </c>
    </row>
    <row r="243" spans="2:5" x14ac:dyDescent="0.35">
      <c r="B243" s="41" t="s">
        <v>195</v>
      </c>
      <c r="C243" s="42">
        <f>'Belgium Crunch Output'!G400</f>
        <v>0.3313216376532287</v>
      </c>
      <c r="D243" s="42">
        <f>'Belgium Crunch Output'!H400</f>
        <v>0.32694209924558948</v>
      </c>
      <c r="E243" s="42">
        <f>'Belgium Crunch Output'!I400</f>
        <v>0.31834542132967159</v>
      </c>
    </row>
    <row r="244" spans="2:5" x14ac:dyDescent="0.35">
      <c r="B244" s="28" t="s">
        <v>196</v>
      </c>
      <c r="C244" s="43">
        <f>'Belgium Crunch Output'!G401</f>
        <v>0.1625742586869009</v>
      </c>
      <c r="D244" s="43">
        <f>'Belgium Crunch Output'!H401</f>
        <v>0.15513141292111329</v>
      </c>
      <c r="E244" s="43">
        <f>'Belgium Crunch Output'!I401</f>
        <v>0.1561269290692151</v>
      </c>
    </row>
    <row r="245" spans="2:5" x14ac:dyDescent="0.35">
      <c r="B245" s="44">
        <v>9</v>
      </c>
      <c r="C245" s="43">
        <f>'Belgium Crunch Output'!G402</f>
        <v>0.16883915475567771</v>
      </c>
      <c r="D245" s="43">
        <f>'Belgium Crunch Output'!H402</f>
        <v>0.1610443957059291</v>
      </c>
      <c r="E245" s="43">
        <f>'Belgium Crunch Output'!I402</f>
        <v>0.15680986364890101</v>
      </c>
    </row>
    <row r="246" spans="2:5" x14ac:dyDescent="0.35">
      <c r="B246" s="44">
        <v>8</v>
      </c>
      <c r="C246" s="43">
        <f>'Belgium Crunch Output'!G403</f>
        <v>0.21643086905581349</v>
      </c>
      <c r="D246" s="43">
        <f>'Belgium Crunch Output'!H403</f>
        <v>0.21225548931337609</v>
      </c>
      <c r="E246" s="43">
        <f>'Belgium Crunch Output'!I403</f>
        <v>0.21694852458145869</v>
      </c>
    </row>
    <row r="247" spans="2:5" x14ac:dyDescent="0.35">
      <c r="B247" s="44">
        <v>7</v>
      </c>
      <c r="C247" s="43">
        <f>'Belgium Crunch Output'!G404</f>
        <v>0.1208340798483795</v>
      </c>
      <c r="D247" s="43">
        <f>'Belgium Crunch Output'!H404</f>
        <v>0.14462660281399201</v>
      </c>
      <c r="E247" s="43">
        <f>'Belgium Crunch Output'!I404</f>
        <v>0.15176926137075361</v>
      </c>
    </row>
    <row r="248" spans="2:5" x14ac:dyDescent="0.35">
      <c r="B248" s="44">
        <v>6</v>
      </c>
      <c r="C248" s="43">
        <f>'Belgium Crunch Output'!G405</f>
        <v>0.16841968356844769</v>
      </c>
      <c r="D248" s="43">
        <f>'Belgium Crunch Output'!H405</f>
        <v>0.1635254104231203</v>
      </c>
      <c r="E248" s="43">
        <f>'Belgium Crunch Output'!I405</f>
        <v>0.1592256420919092</v>
      </c>
    </row>
    <row r="249" spans="2:5" x14ac:dyDescent="0.35">
      <c r="B249" s="44">
        <v>5</v>
      </c>
      <c r="C249" s="43">
        <f>'Belgium Crunch Output'!G406</f>
        <v>8.5352493744436847E-2</v>
      </c>
      <c r="D249" s="43">
        <f>'Belgium Crunch Output'!H406</f>
        <v>7.9172325686723624E-2</v>
      </c>
      <c r="E249" s="43">
        <f>'Belgium Crunch Output'!I406</f>
        <v>7.7090553454412666E-2</v>
      </c>
    </row>
    <row r="250" spans="2:5" x14ac:dyDescent="0.35">
      <c r="B250" s="44">
        <v>4</v>
      </c>
      <c r="C250" s="43">
        <f>'Belgium Crunch Output'!G407</f>
        <v>4.6666894154870367E-2</v>
      </c>
      <c r="D250" s="43">
        <f>'Belgium Crunch Output'!H407</f>
        <v>4.1095663440803391E-2</v>
      </c>
      <c r="E250" s="43">
        <f>'Belgium Crunch Output'!I407</f>
        <v>4.0015086228028567E-2</v>
      </c>
    </row>
    <row r="251" spans="2:5" x14ac:dyDescent="0.35">
      <c r="B251" s="44">
        <v>3</v>
      </c>
      <c r="C251" s="43">
        <f>'Belgium Crunch Output'!G408</f>
        <v>1.5467145527374691E-2</v>
      </c>
      <c r="D251" s="43">
        <f>'Belgium Crunch Output'!H408</f>
        <v>2.6655592299714249E-2</v>
      </c>
      <c r="E251" s="43">
        <f>'Belgium Crunch Output'!I408</f>
        <v>2.595470507170837E-2</v>
      </c>
    </row>
    <row r="252" spans="2:5" x14ac:dyDescent="0.35">
      <c r="B252" s="44">
        <v>2</v>
      </c>
      <c r="C252" s="43">
        <f>'Belgium Crunch Output'!G409</f>
        <v>8.9567300372011237E-3</v>
      </c>
      <c r="D252" s="43">
        <f>'Belgium Crunch Output'!H409</f>
        <v>1.144152495544723E-2</v>
      </c>
      <c r="E252" s="43">
        <f>'Belgium Crunch Output'!I409</f>
        <v>1.1140679316002581E-2</v>
      </c>
    </row>
    <row r="253" spans="2:5" x14ac:dyDescent="0.35">
      <c r="B253" s="44">
        <v>1</v>
      </c>
      <c r="C253" s="43">
        <f>'Belgium Crunch Output'!G410</f>
        <v>6.4586906208979984E-3</v>
      </c>
      <c r="D253" s="43">
        <f>'Belgium Crunch Output'!H410</f>
        <v>5.0515824397807689E-3</v>
      </c>
      <c r="E253" s="43">
        <f>'Belgium Crunch Output'!I410</f>
        <v>4.9187551676102273E-3</v>
      </c>
    </row>
    <row r="254" spans="2:5" x14ac:dyDescent="0.35">
      <c r="B254" s="45" t="s">
        <v>204</v>
      </c>
      <c r="C254" s="43">
        <f>'Belgium Crunch Output'!G411</f>
        <v>0</v>
      </c>
      <c r="D254" s="43">
        <f>'Belgium Crunch Output'!H411</f>
        <v>0</v>
      </c>
      <c r="E254" s="43">
        <f>'Belgium Crunch Output'!I411</f>
        <v>0</v>
      </c>
    </row>
    <row r="255" spans="2:5" s="36" customFormat="1" ht="15" thickBot="1" x14ac:dyDescent="0.35">
      <c r="B255" s="132" t="s">
        <v>24</v>
      </c>
      <c r="C255" s="167">
        <f>'Belgium Crunch Output'!G397</f>
        <v>148</v>
      </c>
      <c r="D255" s="167">
        <f>'Belgium Crunch Output'!H397</f>
        <v>191</v>
      </c>
      <c r="E255" s="167">
        <f>'Belgium Crunch Output'!I397</f>
        <v>196</v>
      </c>
    </row>
    <row r="257" spans="2:5" x14ac:dyDescent="0.35">
      <c r="B257" s="99" t="s">
        <v>617</v>
      </c>
      <c r="C257" s="137" t="s">
        <v>22</v>
      </c>
      <c r="D257" s="137" t="s">
        <v>22</v>
      </c>
      <c r="E257" s="137" t="s">
        <v>22</v>
      </c>
    </row>
    <row r="258" spans="2:5" x14ac:dyDescent="0.35">
      <c r="B258" s="100"/>
      <c r="C258" s="40">
        <f>'Belgium Crunch Output'!G431</f>
        <v>2.454929155882362</v>
      </c>
      <c r="D258" s="40">
        <f>'Belgium Crunch Output'!H431</f>
        <v>6.4150402243131239</v>
      </c>
      <c r="E258" s="40">
        <f>'Belgium Crunch Output'!I431</f>
        <v>7.9080324697887141</v>
      </c>
    </row>
    <row r="259" spans="2:5" x14ac:dyDescent="0.35">
      <c r="B259" s="41" t="s">
        <v>336</v>
      </c>
      <c r="C259" s="42">
        <f>'Belgium Crunch Output'!G417</f>
        <v>0.30147867509617998</v>
      </c>
      <c r="D259" s="42">
        <f>'Belgium Crunch Output'!H417</f>
        <v>0.32536777586504051</v>
      </c>
      <c r="E259" s="42">
        <f>'Belgium Crunch Output'!I417</f>
        <v>0.32768707526936419</v>
      </c>
    </row>
    <row r="260" spans="2:5" x14ac:dyDescent="0.35">
      <c r="B260" s="41" t="s">
        <v>194</v>
      </c>
      <c r="C260" s="42">
        <f>'Belgium Crunch Output'!G418</f>
        <v>0.42159194136646361</v>
      </c>
      <c r="D260" s="42">
        <f>'Belgium Crunch Output'!H418</f>
        <v>0.41341485051304999</v>
      </c>
      <c r="E260" s="42">
        <f>'Belgium Crunch Output'!I418</f>
        <v>0.42370617415915862</v>
      </c>
    </row>
    <row r="261" spans="2:5" x14ac:dyDescent="0.35">
      <c r="B261" s="41" t="s">
        <v>195</v>
      </c>
      <c r="C261" s="42">
        <f>'Belgium Crunch Output'!G419</f>
        <v>0.27692938353735641</v>
      </c>
      <c r="D261" s="42">
        <f>'Belgium Crunch Output'!H419</f>
        <v>0.26121737362190928</v>
      </c>
      <c r="E261" s="42">
        <f>'Belgium Crunch Output'!I419</f>
        <v>0.2486067505714771</v>
      </c>
    </row>
    <row r="262" spans="2:5" x14ac:dyDescent="0.35">
      <c r="B262" s="28" t="s">
        <v>196</v>
      </c>
      <c r="C262" s="42">
        <f>'Belgium Crunch Output'!G420</f>
        <v>0.1940112667134983</v>
      </c>
      <c r="D262" s="42">
        <f>'Belgium Crunch Output'!H420</f>
        <v>0.18617305452232741</v>
      </c>
      <c r="E262" s="42">
        <f>'Belgium Crunch Output'!I420</f>
        <v>0.18610463553781839</v>
      </c>
    </row>
    <row r="263" spans="2:5" x14ac:dyDescent="0.35">
      <c r="B263" s="44">
        <v>9</v>
      </c>
      <c r="C263" s="42">
        <f>'Belgium Crunch Output'!G421</f>
        <v>0.10746740838268171</v>
      </c>
      <c r="D263" s="42">
        <f>'Belgium Crunch Output'!H421</f>
        <v>0.13919472134271321</v>
      </c>
      <c r="E263" s="42">
        <f>'Belgium Crunch Output'!I421</f>
        <v>0.14158243973154591</v>
      </c>
    </row>
    <row r="264" spans="2:5" x14ac:dyDescent="0.35">
      <c r="B264" s="44">
        <v>8</v>
      </c>
      <c r="C264" s="42">
        <f>'Belgium Crunch Output'!G422</f>
        <v>0.24799418795514111</v>
      </c>
      <c r="D264" s="42">
        <f>'Belgium Crunch Output'!H422</f>
        <v>0.25042574095377568</v>
      </c>
      <c r="E264" s="42">
        <f>'Belgium Crunch Output'!I422</f>
        <v>0.26858558495700502</v>
      </c>
    </row>
    <row r="265" spans="2:5" x14ac:dyDescent="0.35">
      <c r="B265" s="44">
        <v>7</v>
      </c>
      <c r="C265" s="42">
        <f>'Belgium Crunch Output'!G423</f>
        <v>0.17359775341132239</v>
      </c>
      <c r="D265" s="42">
        <f>'Belgium Crunch Output'!H423</f>
        <v>0.16298910955927429</v>
      </c>
      <c r="E265" s="42">
        <f>'Belgium Crunch Output'!I423</f>
        <v>0.1551205892021536</v>
      </c>
    </row>
    <row r="266" spans="2:5" x14ac:dyDescent="0.35">
      <c r="B266" s="44">
        <v>6</v>
      </c>
      <c r="C266" s="42">
        <f>'Belgium Crunch Output'!G424</f>
        <v>9.6851902507877757E-2</v>
      </c>
      <c r="D266" s="42">
        <f>'Belgium Crunch Output'!H424</f>
        <v>9.5812585418582744E-2</v>
      </c>
      <c r="E266" s="42">
        <f>'Belgium Crunch Output'!I424</f>
        <v>9.1187102888657556E-2</v>
      </c>
    </row>
    <row r="267" spans="2:5" x14ac:dyDescent="0.35">
      <c r="B267" s="44">
        <v>5</v>
      </c>
      <c r="C267" s="42">
        <f>'Belgium Crunch Output'!G425</f>
        <v>8.1906017302915621E-2</v>
      </c>
      <c r="D267" s="42">
        <f>'Belgium Crunch Output'!H425</f>
        <v>8.4300327870552624E-2</v>
      </c>
      <c r="E267" s="42">
        <f>'Belgium Crunch Output'!I425</f>
        <v>8.0230615190024321E-2</v>
      </c>
    </row>
    <row r="268" spans="2:5" x14ac:dyDescent="0.35">
      <c r="B268" s="44">
        <v>4</v>
      </c>
      <c r="C268" s="42">
        <f>'Belgium Crunch Output'!G426</f>
        <v>3.900952614798707E-2</v>
      </c>
      <c r="D268" s="42">
        <f>'Belgium Crunch Output'!H426</f>
        <v>3.061771906517944E-2</v>
      </c>
      <c r="E268" s="42">
        <f>'Belgium Crunch Output'!I426</f>
        <v>2.9139607144668869E-2</v>
      </c>
    </row>
    <row r="269" spans="2:5" x14ac:dyDescent="0.35">
      <c r="B269" s="44">
        <v>3</v>
      </c>
      <c r="C269" s="42">
        <f>'Belgium Crunch Output'!G427</f>
        <v>2.121828409311894E-2</v>
      </c>
      <c r="D269" s="42">
        <f>'Belgium Crunch Output'!H427</f>
        <v>2.0705602211533759E-2</v>
      </c>
      <c r="E269" s="42">
        <f>'Belgium Crunch Output'!I427</f>
        <v>1.9706011177823331E-2</v>
      </c>
    </row>
    <row r="270" spans="2:5" x14ac:dyDescent="0.35">
      <c r="B270" s="44">
        <v>2</v>
      </c>
      <c r="C270" s="42">
        <f>'Belgium Crunch Output'!G428</f>
        <v>8.5321098545508723E-3</v>
      </c>
      <c r="D270" s="42">
        <f>'Belgium Crunch Output'!H428</f>
        <v>6.6966653624262887E-3</v>
      </c>
      <c r="E270" s="42">
        <f>'Belgium Crunch Output'!I428</f>
        <v>6.3733747580935274E-3</v>
      </c>
    </row>
    <row r="271" spans="2:5" x14ac:dyDescent="0.35">
      <c r="B271" s="44">
        <v>1</v>
      </c>
      <c r="C271" s="42">
        <f>'Belgium Crunch Output'!G429</f>
        <v>5.7873420118353842E-3</v>
      </c>
      <c r="D271" s="42">
        <f>'Belgium Crunch Output'!H429</f>
        <v>4.5423574534147384E-3</v>
      </c>
      <c r="E271" s="42">
        <f>'Belgium Crunch Output'!I429</f>
        <v>4.3230689856872976E-3</v>
      </c>
    </row>
    <row r="272" spans="2:5" x14ac:dyDescent="0.35">
      <c r="B272" s="45" t="s">
        <v>204</v>
      </c>
      <c r="C272" s="42">
        <f>'Belgium Crunch Output'!G430</f>
        <v>2.3624201619070782E-2</v>
      </c>
      <c r="D272" s="42">
        <f>'Belgium Crunch Output'!H430</f>
        <v>1.854211624021971E-2</v>
      </c>
      <c r="E272" s="42">
        <f>'Belgium Crunch Output'!I430</f>
        <v>1.7646970426522211E-2</v>
      </c>
    </row>
    <row r="273" spans="2:5" s="36" customFormat="1" ht="15" thickBot="1" x14ac:dyDescent="0.35">
      <c r="B273" s="132" t="s">
        <v>24</v>
      </c>
      <c r="C273" s="167">
        <f>'Belgium Crunch Output'!G416</f>
        <v>153</v>
      </c>
      <c r="D273" s="167">
        <f>'Belgium Crunch Output'!H416</f>
        <v>196</v>
      </c>
      <c r="E273" s="167">
        <f>'Belgium Crunch Output'!I416</f>
        <v>206</v>
      </c>
    </row>
    <row r="275" spans="2:5" x14ac:dyDescent="0.35">
      <c r="B275" s="99" t="s">
        <v>618</v>
      </c>
      <c r="C275" s="137" t="s">
        <v>22</v>
      </c>
      <c r="D275" s="137" t="s">
        <v>22</v>
      </c>
      <c r="E275" s="137" t="s">
        <v>22</v>
      </c>
    </row>
    <row r="276" spans="2:5" x14ac:dyDescent="0.35">
      <c r="B276" s="100"/>
      <c r="C276" s="40">
        <f>'Belgium Crunch Output'!G449</f>
        <v>0.67753147073433617</v>
      </c>
      <c r="D276" s="40">
        <f>'Belgium Crunch Output'!H449</f>
        <v>-2.245181062457402</v>
      </c>
      <c r="E276" s="40">
        <f>'Belgium Crunch Output'!I449</f>
        <v>0.54808894789421425</v>
      </c>
    </row>
    <row r="277" spans="2:5" x14ac:dyDescent="0.35">
      <c r="B277" s="41" t="s">
        <v>336</v>
      </c>
      <c r="C277" s="42">
        <f>'Belgium Crunch Output'!G435</f>
        <v>0.33288292681235049</v>
      </c>
      <c r="D277" s="42">
        <f>'Belgium Crunch Output'!H435</f>
        <v>0.29815880621833379</v>
      </c>
      <c r="E277" s="42">
        <f>'Belgium Crunch Output'!I435</f>
        <v>0.31337908023422723</v>
      </c>
    </row>
    <row r="278" spans="2:5" x14ac:dyDescent="0.35">
      <c r="B278" s="41" t="s">
        <v>194</v>
      </c>
      <c r="C278" s="42">
        <f>'Belgium Crunch Output'!G436</f>
        <v>0.34100946108264218</v>
      </c>
      <c r="D278" s="42">
        <f>'Belgium Crunch Output'!H436</f>
        <v>0.38123057693875823</v>
      </c>
      <c r="E278" s="42">
        <f>'Belgium Crunch Output'!I436</f>
        <v>0.37872272901048759</v>
      </c>
    </row>
    <row r="279" spans="2:5" x14ac:dyDescent="0.35">
      <c r="B279" s="41" t="s">
        <v>195</v>
      </c>
      <c r="C279" s="42">
        <f>'Belgium Crunch Output'!G437</f>
        <v>0.32610761210500711</v>
      </c>
      <c r="D279" s="42">
        <f>'Belgium Crunch Output'!H437</f>
        <v>0.32061061684290793</v>
      </c>
      <c r="E279" s="42">
        <f>'Belgium Crunch Output'!I437</f>
        <v>0.30789819075528507</v>
      </c>
    </row>
    <row r="280" spans="2:5" x14ac:dyDescent="0.35">
      <c r="B280" s="28" t="s">
        <v>196</v>
      </c>
      <c r="C280" s="42">
        <f>'Belgium Crunch Output'!G438</f>
        <v>0.21910076284362279</v>
      </c>
      <c r="D280" s="42">
        <f>'Belgium Crunch Output'!H438</f>
        <v>0.18801157846881769</v>
      </c>
      <c r="E280" s="42">
        <f>'Belgium Crunch Output'!I438</f>
        <v>0.19596381605034049</v>
      </c>
    </row>
    <row r="281" spans="2:5" x14ac:dyDescent="0.35">
      <c r="B281" s="44">
        <v>9</v>
      </c>
      <c r="C281" s="42">
        <f>'Belgium Crunch Output'!G439</f>
        <v>0.1137821639687277</v>
      </c>
      <c r="D281" s="42">
        <f>'Belgium Crunch Output'!H439</f>
        <v>0.1101472277495161</v>
      </c>
      <c r="E281" s="42">
        <f>'Belgium Crunch Output'!I439</f>
        <v>0.11741526418388661</v>
      </c>
    </row>
    <row r="282" spans="2:5" x14ac:dyDescent="0.35">
      <c r="B282" s="44">
        <v>8</v>
      </c>
      <c r="C282" s="42">
        <f>'Belgium Crunch Output'!G440</f>
        <v>0.1757121046786296</v>
      </c>
      <c r="D282" s="42">
        <f>'Belgium Crunch Output'!H440</f>
        <v>0.20196225101741849</v>
      </c>
      <c r="E282" s="42">
        <f>'Belgium Crunch Output'!I440</f>
        <v>0.2001488802048578</v>
      </c>
    </row>
    <row r="283" spans="2:5" x14ac:dyDescent="0.35">
      <c r="B283" s="44">
        <v>7</v>
      </c>
      <c r="C283" s="42">
        <f>'Belgium Crunch Output'!G441</f>
        <v>0.16529735640401261</v>
      </c>
      <c r="D283" s="42">
        <f>'Belgium Crunch Output'!H441</f>
        <v>0.17926832592133971</v>
      </c>
      <c r="E283" s="42">
        <f>'Belgium Crunch Output'!I441</f>
        <v>0.17857384880562979</v>
      </c>
    </row>
    <row r="284" spans="2:5" x14ac:dyDescent="0.35">
      <c r="B284" s="44">
        <v>6</v>
      </c>
      <c r="C284" s="42">
        <f>'Belgium Crunch Output'!G442</f>
        <v>7.9854167646694438E-2</v>
      </c>
      <c r="D284" s="42">
        <f>'Belgium Crunch Output'!H442</f>
        <v>9.4958037156830447E-2</v>
      </c>
      <c r="E284" s="42">
        <f>'Belgium Crunch Output'!I442</f>
        <v>8.9720996349436838E-2</v>
      </c>
    </row>
    <row r="285" spans="2:5" x14ac:dyDescent="0.35">
      <c r="B285" s="44">
        <v>5</v>
      </c>
      <c r="C285" s="42">
        <f>'Belgium Crunch Output'!G443</f>
        <v>0.1053148853226831</v>
      </c>
      <c r="D285" s="42">
        <f>'Belgium Crunch Output'!H443</f>
        <v>0.10167880527338451</v>
      </c>
      <c r="E285" s="42">
        <f>'Belgium Crunch Output'!I443</f>
        <v>0.10104071081218929</v>
      </c>
    </row>
    <row r="286" spans="2:5" x14ac:dyDescent="0.35">
      <c r="B286" s="44">
        <v>4</v>
      </c>
      <c r="C286" s="42">
        <f>'Belgium Crunch Output'!G444</f>
        <v>3.1474825684177407E-2</v>
      </c>
      <c r="D286" s="42">
        <f>'Belgium Crunch Output'!H444</f>
        <v>2.7026597203766971E-2</v>
      </c>
      <c r="E286" s="42">
        <f>'Belgium Crunch Output'!I444</f>
        <v>2.5536050466713481E-2</v>
      </c>
    </row>
    <row r="287" spans="2:5" x14ac:dyDescent="0.35">
      <c r="B287" s="44">
        <v>3</v>
      </c>
      <c r="C287" s="42">
        <f>'Belgium Crunch Output'!G445</f>
        <v>4.5556321167701523E-2</v>
      </c>
      <c r="D287" s="42">
        <f>'Belgium Crunch Output'!H445</f>
        <v>4.1548897009763643E-2</v>
      </c>
      <c r="E287" s="42">
        <f>'Belgium Crunch Output'!I445</f>
        <v>3.9257429371453517E-2</v>
      </c>
    </row>
    <row r="288" spans="2:5" x14ac:dyDescent="0.35">
      <c r="B288" s="44">
        <v>2</v>
      </c>
      <c r="C288" s="42">
        <f>'Belgium Crunch Output'!G446</f>
        <v>2.140444875697093E-2</v>
      </c>
      <c r="D288" s="42">
        <f>'Belgium Crunch Output'!H446</f>
        <v>2.0242651542420539E-2</v>
      </c>
      <c r="E288" s="42">
        <f>'Belgium Crunch Output'!I446</f>
        <v>1.9126246914106471E-2</v>
      </c>
    </row>
    <row r="289" spans="2:5" x14ac:dyDescent="0.35">
      <c r="B289" s="44">
        <v>1</v>
      </c>
      <c r="C289" s="42">
        <f>'Belgium Crunch Output'!G447</f>
        <v>1.2635336095002531E-2</v>
      </c>
      <c r="D289" s="42">
        <f>'Belgium Crunch Output'!H447</f>
        <v>1.3298980540640659E-2</v>
      </c>
      <c r="E289" s="42">
        <f>'Belgium Crunch Output'!I447</f>
        <v>1.2565527050305329E-2</v>
      </c>
    </row>
    <row r="290" spans="2:5" x14ac:dyDescent="0.35">
      <c r="B290" s="45" t="s">
        <v>204</v>
      </c>
      <c r="C290" s="42">
        <f>'Belgium Crunch Output'!G448</f>
        <v>2.9867627431777229E-2</v>
      </c>
      <c r="D290" s="42">
        <f>'Belgium Crunch Output'!H448</f>
        <v>2.1856648116101121E-2</v>
      </c>
      <c r="E290" s="42">
        <f>'Belgium Crunch Output'!I448</f>
        <v>2.065122979108017E-2</v>
      </c>
    </row>
    <row r="291" spans="2:5" s="36" customFormat="1" ht="15" thickBot="1" x14ac:dyDescent="0.35">
      <c r="B291" s="132" t="s">
        <v>24</v>
      </c>
      <c r="C291" s="167">
        <f>'Belgium Crunch Output'!G434</f>
        <v>162</v>
      </c>
      <c r="D291" s="167">
        <f>'Belgium Crunch Output'!H434</f>
        <v>221</v>
      </c>
      <c r="E291" s="167">
        <f>'Belgium Crunch Output'!I434</f>
        <v>233</v>
      </c>
    </row>
  </sheetData>
  <conditionalFormatting sqref="C21:E21 C39:E39 C57:E57 C75:E75 C93:E93 C111:E111 C129:E129 C147:E147 C165:E165 C183:E183 C201:E201 C219:E219 C255:E255 C291:E291">
    <cfRule type="expression" dxfId="11" priority="7">
      <formula>C21&lt;100</formula>
    </cfRule>
  </conditionalFormatting>
  <conditionalFormatting sqref="C237:E237 C273:E273">
    <cfRule type="expression" dxfId="10" priority="4">
      <formula>C237&lt;50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B798-7E99-4787-BDC1-13D421C0F653}">
  <dimension ref="A1:I454"/>
  <sheetViews>
    <sheetView workbookViewId="0">
      <selection activeCell="M3" sqref="M3"/>
    </sheetView>
  </sheetViews>
  <sheetFormatPr defaultRowHeight="14.5" x14ac:dyDescent="0.35"/>
  <cols>
    <col min="1" max="1" width="25.7265625" customWidth="1"/>
    <col min="2" max="9" width="12.7265625" customWidth="1"/>
  </cols>
  <sheetData>
    <row r="1" spans="1:9" ht="26" x14ac:dyDescent="0.6">
      <c r="A1" s="9" t="s">
        <v>234</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636</v>
      </c>
      <c r="H5" s="13" t="s">
        <v>641</v>
      </c>
      <c r="I5" s="13" t="s">
        <v>647</v>
      </c>
    </row>
    <row r="6" spans="1:9" x14ac:dyDescent="0.35">
      <c r="A6" s="14" t="s">
        <v>209</v>
      </c>
      <c r="B6" s="15">
        <v>172</v>
      </c>
      <c r="C6" s="15">
        <v>41</v>
      </c>
      <c r="D6" s="15">
        <v>85</v>
      </c>
      <c r="E6" s="15">
        <v>130</v>
      </c>
      <c r="F6" s="15">
        <v>172</v>
      </c>
      <c r="G6" s="15">
        <v>219</v>
      </c>
      <c r="H6" s="15">
        <v>268</v>
      </c>
      <c r="I6" s="15">
        <v>275</v>
      </c>
    </row>
    <row r="7" spans="1:9" x14ac:dyDescent="0.35">
      <c r="A7" s="16" t="s">
        <v>336</v>
      </c>
      <c r="B7" s="17">
        <v>0.32505318217542267</v>
      </c>
      <c r="C7" s="17">
        <v>0.34409656817227718</v>
      </c>
      <c r="D7" s="17">
        <v>0.36205785085632891</v>
      </c>
      <c r="E7" s="17">
        <v>0.32131413865887348</v>
      </c>
      <c r="F7" s="17">
        <v>0.32505318217542267</v>
      </c>
      <c r="G7" s="17">
        <v>0.31415111398535162</v>
      </c>
      <c r="H7" s="17">
        <v>0.31045631490902142</v>
      </c>
      <c r="I7" s="17">
        <v>0.29914663001319641</v>
      </c>
    </row>
    <row r="8" spans="1:9" x14ac:dyDescent="0.35">
      <c r="A8" s="16" t="s">
        <v>194</v>
      </c>
      <c r="B8" s="17">
        <v>0.49329912821402061</v>
      </c>
      <c r="C8" s="17">
        <v>0.54057805303449802</v>
      </c>
      <c r="D8" s="17">
        <v>0.50468665300535331</v>
      </c>
      <c r="E8" s="17">
        <v>0.49925155127315157</v>
      </c>
      <c r="F8" s="17">
        <v>0.49329912821402061</v>
      </c>
      <c r="G8" s="17">
        <v>0.48715669993169303</v>
      </c>
      <c r="H8" s="17">
        <v>0.48671774183196193</v>
      </c>
      <c r="I8" s="17">
        <v>0.48736150700449921</v>
      </c>
    </row>
    <row r="9" spans="1:9" x14ac:dyDescent="0.35">
      <c r="A9" s="16" t="s">
        <v>195</v>
      </c>
      <c r="B9" s="17">
        <v>0.18164768961055661</v>
      </c>
      <c r="C9" s="17">
        <v>0.1153253787932248</v>
      </c>
      <c r="D9" s="17">
        <v>0.1332554961383178</v>
      </c>
      <c r="E9" s="17">
        <v>0.17943431006797489</v>
      </c>
      <c r="F9" s="152">
        <v>0.18164768961055661</v>
      </c>
      <c r="G9" s="17">
        <v>0.1986921860829553</v>
      </c>
      <c r="H9" s="17">
        <v>0.20282594325901659</v>
      </c>
      <c r="I9" s="17">
        <v>0.21349186298230449</v>
      </c>
    </row>
    <row r="10" spans="1:9" x14ac:dyDescent="0.35">
      <c r="A10" s="14" t="s">
        <v>210</v>
      </c>
      <c r="B10" s="18">
        <v>0.14480053179982591</v>
      </c>
      <c r="C10" s="18">
        <v>0.13385801546329151</v>
      </c>
      <c r="D10" s="18">
        <v>0.17667752673039089</v>
      </c>
      <c r="E10" s="18">
        <v>0.14692228690019141</v>
      </c>
      <c r="F10" s="18">
        <v>0.14480053179982591</v>
      </c>
      <c r="G10" s="18">
        <v>0.14144933088172401</v>
      </c>
      <c r="H10" s="18">
        <v>0.1450257567513499</v>
      </c>
      <c r="I10" s="18">
        <v>0.13958879101541449</v>
      </c>
    </row>
    <row r="11" spans="1:9" x14ac:dyDescent="0.35">
      <c r="A11" s="14" t="s">
        <v>197</v>
      </c>
      <c r="B11" s="18">
        <v>0.18025265037559671</v>
      </c>
      <c r="C11" s="18">
        <v>0.2102385527089857</v>
      </c>
      <c r="D11" s="18">
        <v>0.18538032412593791</v>
      </c>
      <c r="E11" s="18">
        <v>0.17439185175868219</v>
      </c>
      <c r="F11" s="18">
        <v>0.18025265037559679</v>
      </c>
      <c r="G11" s="18">
        <v>0.1727017831036276</v>
      </c>
      <c r="H11" s="18">
        <v>0.16543055815767149</v>
      </c>
      <c r="I11" s="18">
        <v>0.15955783899778189</v>
      </c>
    </row>
    <row r="12" spans="1:9" x14ac:dyDescent="0.35">
      <c r="A12" s="14" t="s">
        <v>198</v>
      </c>
      <c r="B12" s="18">
        <v>0.2750212310288323</v>
      </c>
      <c r="C12" s="18">
        <v>0.31864751301840272</v>
      </c>
      <c r="D12" s="18">
        <v>0.28485080140661351</v>
      </c>
      <c r="E12" s="18">
        <v>0.29215809885593702</v>
      </c>
      <c r="F12" s="18">
        <v>0.27502123102883219</v>
      </c>
      <c r="G12" s="18">
        <v>0.26505588373992772</v>
      </c>
      <c r="H12" s="18">
        <v>0.28799722729975408</v>
      </c>
      <c r="I12" s="18">
        <v>0.29772607162487669</v>
      </c>
    </row>
    <row r="13" spans="1:9" x14ac:dyDescent="0.35">
      <c r="A13" s="14" t="s">
        <v>199</v>
      </c>
      <c r="B13" s="18">
        <v>0.21827789718518839</v>
      </c>
      <c r="C13" s="18">
        <v>0.22193054001609519</v>
      </c>
      <c r="D13" s="18">
        <v>0.21983585159873989</v>
      </c>
      <c r="E13" s="18">
        <v>0.20709345241721461</v>
      </c>
      <c r="F13" s="18">
        <v>0.21827789718518839</v>
      </c>
      <c r="G13" s="18">
        <v>0.22210081619176539</v>
      </c>
      <c r="H13" s="18">
        <v>0.19872051453220779</v>
      </c>
      <c r="I13" s="18">
        <v>0.18963543537962249</v>
      </c>
    </row>
    <row r="14" spans="1:9" x14ac:dyDescent="0.35">
      <c r="A14" s="14" t="s">
        <v>200</v>
      </c>
      <c r="B14" s="18">
        <v>7.122109966320983E-2</v>
      </c>
      <c r="C14" s="18">
        <v>5.0041049546640022E-2</v>
      </c>
      <c r="D14" s="18">
        <v>5.5713539060355831E-2</v>
      </c>
      <c r="E14" s="18">
        <v>6.4393470992630417E-2</v>
      </c>
      <c r="F14" s="18">
        <v>7.122109966320983E-2</v>
      </c>
      <c r="G14" s="18">
        <v>7.9837674782894372E-2</v>
      </c>
      <c r="H14" s="18">
        <v>7.946858139815037E-2</v>
      </c>
      <c r="I14" s="18">
        <v>8.8541413405338817E-2</v>
      </c>
    </row>
    <row r="15" spans="1:9" x14ac:dyDescent="0.35">
      <c r="A15" s="14" t="s">
        <v>201</v>
      </c>
      <c r="B15" s="18">
        <v>6.3950715797099003E-2</v>
      </c>
      <c r="C15" s="18">
        <v>2.1105744950862738E-2</v>
      </c>
      <c r="D15" s="18">
        <v>4.6451556505281127E-2</v>
      </c>
      <c r="E15" s="18">
        <v>5.984885807567885E-2</v>
      </c>
      <c r="F15" s="18">
        <v>6.3950715797099003E-2</v>
      </c>
      <c r="G15" s="18">
        <v>6.0253927843155308E-2</v>
      </c>
      <c r="H15" s="18">
        <v>6.4047883153788732E-2</v>
      </c>
      <c r="I15" s="18">
        <v>7.0197315850942549E-2</v>
      </c>
    </row>
    <row r="16" spans="1:9" x14ac:dyDescent="0.35">
      <c r="A16" s="14" t="s">
        <v>202</v>
      </c>
      <c r="B16" s="18">
        <v>1.185943815109803E-2</v>
      </c>
      <c r="C16" s="18">
        <v>2.0610627198435798E-2</v>
      </c>
      <c r="D16" s="18">
        <v>9.745018546061586E-3</v>
      </c>
      <c r="E16" s="18">
        <v>1.570828871171847E-2</v>
      </c>
      <c r="F16" s="18">
        <v>1.185943815109803E-2</v>
      </c>
      <c r="G16" s="18">
        <v>9.3464287135281918E-3</v>
      </c>
      <c r="H16" s="18">
        <v>1.152188411780565E-2</v>
      </c>
      <c r="I16" s="18">
        <v>8.174951753661952E-3</v>
      </c>
    </row>
    <row r="17" spans="1:9" x14ac:dyDescent="0.35">
      <c r="A17" s="14" t="s">
        <v>211</v>
      </c>
      <c r="B17" s="18">
        <v>1.5155107602009631E-2</v>
      </c>
      <c r="C17" s="18">
        <v>0</v>
      </c>
      <c r="D17" s="18">
        <v>0</v>
      </c>
      <c r="E17" s="18">
        <v>2.0073531531296481E-2</v>
      </c>
      <c r="F17" s="18">
        <v>1.5155107602009631E-2</v>
      </c>
      <c r="G17" s="18">
        <v>1.7404717172579121E-2</v>
      </c>
      <c r="H17" s="18">
        <v>1.4243653146277249E-2</v>
      </c>
      <c r="I17" s="18">
        <v>1.3844497203391081E-2</v>
      </c>
    </row>
    <row r="18" spans="1:9" x14ac:dyDescent="0.35">
      <c r="A18" s="14" t="s">
        <v>212</v>
      </c>
      <c r="B18" s="18">
        <v>5.0501435941226287E-3</v>
      </c>
      <c r="C18" s="18">
        <v>0</v>
      </c>
      <c r="D18" s="18">
        <v>1.0202092848924101E-2</v>
      </c>
      <c r="E18" s="18">
        <v>6.6891123003806879E-3</v>
      </c>
      <c r="F18" s="18">
        <v>5.0501435941226287E-3</v>
      </c>
      <c r="G18" s="18">
        <v>3.9800205114420206E-3</v>
      </c>
      <c r="H18" s="18">
        <v>6.9977465591544033E-3</v>
      </c>
      <c r="I18" s="18">
        <v>1.0389362727273459E-2</v>
      </c>
    </row>
    <row r="19" spans="1:9" x14ac:dyDescent="0.35">
      <c r="A19" s="14" t="s">
        <v>203</v>
      </c>
      <c r="B19" s="18">
        <v>8.8951390963634552E-3</v>
      </c>
      <c r="C19" s="18">
        <v>0</v>
      </c>
      <c r="D19" s="18">
        <v>0</v>
      </c>
      <c r="E19" s="18">
        <v>5.4148306234180887E-3</v>
      </c>
      <c r="F19" s="25">
        <v>8.8951390963634552E-3</v>
      </c>
      <c r="G19" s="18">
        <v>1.5620898428939061E-2</v>
      </c>
      <c r="H19" s="18">
        <v>1.27838135402498E-2</v>
      </c>
      <c r="I19" s="18">
        <v>1.242556730278978E-2</v>
      </c>
    </row>
    <row r="20" spans="1:9" x14ac:dyDescent="0.35">
      <c r="A20" s="14" t="s">
        <v>204</v>
      </c>
      <c r="B20" s="18">
        <v>5.5160457066539756E-3</v>
      </c>
      <c r="C20" s="20">
        <v>2.3567957097286249E-2</v>
      </c>
      <c r="D20" s="18">
        <v>1.114328917769512E-2</v>
      </c>
      <c r="E20" s="18">
        <v>7.3062178328518329E-3</v>
      </c>
      <c r="F20" s="18">
        <v>5.5160457066539756E-3</v>
      </c>
      <c r="G20" s="18">
        <v>1.224851863041727E-2</v>
      </c>
      <c r="H20" s="18">
        <v>1.376238134359041E-2</v>
      </c>
      <c r="I20" s="18">
        <v>9.9187547389068334E-3</v>
      </c>
    </row>
    <row r="21" spans="1:9" x14ac:dyDescent="0.35">
      <c r="A21" s="14" t="s">
        <v>213</v>
      </c>
      <c r="B21" s="1">
        <v>14.340549256486611</v>
      </c>
      <c r="C21" s="1">
        <v>22.877118937905241</v>
      </c>
      <c r="D21" s="1">
        <v>22.880235471801111</v>
      </c>
      <c r="E21" s="1">
        <v>14.187982859089869</v>
      </c>
      <c r="F21" s="1">
        <v>14.34054925648662</v>
      </c>
      <c r="G21" s="1">
        <v>11.54589279023962</v>
      </c>
      <c r="H21" s="1">
        <v>10.76303716500048</v>
      </c>
      <c r="I21" s="1">
        <v>8.5654767030891978</v>
      </c>
    </row>
    <row r="23" spans="1:9" x14ac:dyDescent="0.35">
      <c r="C23" s="187"/>
      <c r="D23" s="187"/>
      <c r="E23" s="187"/>
      <c r="F23" s="187"/>
      <c r="G23" s="170"/>
      <c r="H23" s="170"/>
      <c r="I23" s="170"/>
    </row>
    <row r="24" spans="1:9" ht="29" x14ac:dyDescent="0.35">
      <c r="A24" s="12" t="s">
        <v>494</v>
      </c>
      <c r="B24" s="13" t="s">
        <v>208</v>
      </c>
      <c r="C24" s="13" t="s">
        <v>458</v>
      </c>
      <c r="D24" s="13" t="s">
        <v>466</v>
      </c>
      <c r="E24" s="13" t="s">
        <v>467</v>
      </c>
      <c r="F24" s="13" t="s">
        <v>468</v>
      </c>
      <c r="G24" s="13" t="s">
        <v>636</v>
      </c>
      <c r="H24" s="13" t="s">
        <v>641</v>
      </c>
      <c r="I24" s="13" t="s">
        <v>647</v>
      </c>
    </row>
    <row r="25" spans="1:9" x14ac:dyDescent="0.35">
      <c r="A25" s="14" t="s">
        <v>209</v>
      </c>
      <c r="B25" s="15">
        <v>360</v>
      </c>
      <c r="C25" s="15">
        <v>92</v>
      </c>
      <c r="D25" s="15">
        <v>174</v>
      </c>
      <c r="E25" s="15">
        <v>270</v>
      </c>
      <c r="F25" s="15">
        <v>360</v>
      </c>
      <c r="G25" s="15">
        <v>451</v>
      </c>
      <c r="H25" s="15">
        <v>544</v>
      </c>
      <c r="I25" s="15">
        <v>530</v>
      </c>
    </row>
    <row r="26" spans="1:9" x14ac:dyDescent="0.35">
      <c r="A26" s="16" t="s">
        <v>336</v>
      </c>
      <c r="B26" s="17">
        <v>0.32471416020484589</v>
      </c>
      <c r="C26" s="17">
        <v>0.29196114480753599</v>
      </c>
      <c r="D26" s="17">
        <v>0.29014365200860098</v>
      </c>
      <c r="E26" s="17">
        <v>0.30856513150811221</v>
      </c>
      <c r="F26" s="152">
        <v>0.32471416020484589</v>
      </c>
      <c r="G26" s="17">
        <v>0.31699817699885768</v>
      </c>
      <c r="H26" s="17">
        <v>0.32070745717319399</v>
      </c>
      <c r="I26" s="17">
        <v>0.33078800160991589</v>
      </c>
    </row>
    <row r="27" spans="1:9" x14ac:dyDescent="0.35">
      <c r="A27" s="16" t="s">
        <v>194</v>
      </c>
      <c r="B27" s="17">
        <v>0.50139665799992283</v>
      </c>
      <c r="C27" s="17">
        <v>0.53892472693776305</v>
      </c>
      <c r="D27" s="17">
        <v>0.52605589687145615</v>
      </c>
      <c r="E27" s="17">
        <v>0.51757217114038112</v>
      </c>
      <c r="F27" s="17">
        <v>0.50139665799992295</v>
      </c>
      <c r="G27" s="17">
        <v>0.51015071016996183</v>
      </c>
      <c r="H27" s="17">
        <v>0.48331252344282399</v>
      </c>
      <c r="I27" s="17">
        <v>0.46744132900251117</v>
      </c>
    </row>
    <row r="28" spans="1:9" x14ac:dyDescent="0.35">
      <c r="A28" s="16" t="s">
        <v>195</v>
      </c>
      <c r="B28" s="17">
        <v>0.173889181795231</v>
      </c>
      <c r="C28" s="17">
        <v>0.1691141282547009</v>
      </c>
      <c r="D28" s="17">
        <v>0.183800451119943</v>
      </c>
      <c r="E28" s="17">
        <v>0.17386269735150661</v>
      </c>
      <c r="F28" s="17">
        <v>0.173889181795231</v>
      </c>
      <c r="G28" s="17">
        <v>0.17285111283118071</v>
      </c>
      <c r="H28" s="17">
        <v>0.1959800193839816</v>
      </c>
      <c r="I28" s="17">
        <v>0.20177066938757271</v>
      </c>
    </row>
    <row r="29" spans="1:9" x14ac:dyDescent="0.35">
      <c r="A29" s="14" t="s">
        <v>210</v>
      </c>
      <c r="B29" s="18">
        <v>0.14338970495673789</v>
      </c>
      <c r="C29" s="18">
        <v>0.1119175865623791</v>
      </c>
      <c r="D29" s="18">
        <v>0.12924573556112129</v>
      </c>
      <c r="E29" s="18">
        <v>0.15325459722423909</v>
      </c>
      <c r="F29" s="18">
        <v>0.14338970495673789</v>
      </c>
      <c r="G29" s="18">
        <v>0.13346918401392721</v>
      </c>
      <c r="H29" s="18">
        <v>0.14031488095311179</v>
      </c>
      <c r="I29" s="18">
        <v>0.14339853529054419</v>
      </c>
    </row>
    <row r="30" spans="1:9" x14ac:dyDescent="0.35">
      <c r="A30" s="14" t="s">
        <v>197</v>
      </c>
      <c r="B30" s="18">
        <v>0.181324455248108</v>
      </c>
      <c r="C30" s="18">
        <v>0.180043558245157</v>
      </c>
      <c r="D30" s="18">
        <v>0.16089791644747969</v>
      </c>
      <c r="E30" s="21">
        <v>0.15531053428387301</v>
      </c>
      <c r="F30" s="18">
        <v>0.181324455248108</v>
      </c>
      <c r="G30" s="18">
        <v>0.1835289929849305</v>
      </c>
      <c r="H30" s="18">
        <v>0.1803925762200822</v>
      </c>
      <c r="I30" s="18">
        <v>0.1873894663193717</v>
      </c>
    </row>
    <row r="31" spans="1:9" x14ac:dyDescent="0.35">
      <c r="A31" s="14" t="s">
        <v>198</v>
      </c>
      <c r="B31" s="18">
        <v>0.31725883987828141</v>
      </c>
      <c r="C31" s="18">
        <v>0.3200161779968958</v>
      </c>
      <c r="D31" s="18">
        <v>0.32267511013862438</v>
      </c>
      <c r="E31" s="18">
        <v>0.31546133439055629</v>
      </c>
      <c r="F31" s="18">
        <v>0.31725883987828157</v>
      </c>
      <c r="G31" s="18">
        <v>0.32402977126540689</v>
      </c>
      <c r="H31" s="18">
        <v>0.30842648520951982</v>
      </c>
      <c r="I31" s="18">
        <v>0.30866655575599578</v>
      </c>
    </row>
    <row r="32" spans="1:9" x14ac:dyDescent="0.35">
      <c r="A32" s="14" t="s">
        <v>199</v>
      </c>
      <c r="B32" s="18">
        <v>0.1841378181216414</v>
      </c>
      <c r="C32" s="18">
        <v>0.2189085489408672</v>
      </c>
      <c r="D32" s="18">
        <v>0.20338078673283169</v>
      </c>
      <c r="E32" s="18">
        <v>0.2021108367498248</v>
      </c>
      <c r="F32" s="18">
        <v>0.1841378181216414</v>
      </c>
      <c r="G32" s="18">
        <v>0.18612093890455489</v>
      </c>
      <c r="H32" s="18">
        <v>0.17488603823330429</v>
      </c>
      <c r="I32" s="18">
        <v>0.15877477324651529</v>
      </c>
    </row>
    <row r="33" spans="1:9" x14ac:dyDescent="0.35">
      <c r="A33" s="14" t="s">
        <v>200</v>
      </c>
      <c r="B33" s="18">
        <v>6.5423312734732272E-2</v>
      </c>
      <c r="C33" s="18">
        <v>9.0404754719773175E-2</v>
      </c>
      <c r="D33" s="18">
        <v>8.2058914489701998E-2</v>
      </c>
      <c r="E33" s="18">
        <v>6.5841998846758065E-2</v>
      </c>
      <c r="F33" s="18">
        <v>6.5423312734732272E-2</v>
      </c>
      <c r="G33" s="18">
        <v>6.6691949418889895E-2</v>
      </c>
      <c r="H33" s="18">
        <v>6.9862870224290913E-2</v>
      </c>
      <c r="I33" s="18">
        <v>6.7553118480153593E-2</v>
      </c>
    </row>
    <row r="34" spans="1:9" x14ac:dyDescent="0.35">
      <c r="A34" s="14" t="s">
        <v>201</v>
      </c>
      <c r="B34" s="18">
        <v>5.870531126844164E-2</v>
      </c>
      <c r="C34" s="18">
        <v>3.5491963148108777E-2</v>
      </c>
      <c r="D34" s="18">
        <v>5.5939492355144373E-2</v>
      </c>
      <c r="E34" s="18">
        <v>6.3636839808831225E-2</v>
      </c>
      <c r="F34" s="18">
        <v>5.870531126844164E-2</v>
      </c>
      <c r="G34" s="18">
        <v>5.0741541728824863E-2</v>
      </c>
      <c r="H34" s="18">
        <v>5.6580513051836638E-2</v>
      </c>
      <c r="I34" s="18">
        <v>6.4916220348086112E-2</v>
      </c>
    </row>
    <row r="35" spans="1:9" x14ac:dyDescent="0.35">
      <c r="A35" s="14" t="s">
        <v>202</v>
      </c>
      <c r="B35" s="18">
        <v>1.521317328087428E-2</v>
      </c>
      <c r="C35" s="18">
        <v>1.11743873365505E-2</v>
      </c>
      <c r="D35" s="18">
        <v>1.0612084293820909E-2</v>
      </c>
      <c r="E35" s="18">
        <v>1.324206950403194E-2</v>
      </c>
      <c r="F35" s="18">
        <v>1.521317328087428E-2</v>
      </c>
      <c r="G35" s="18">
        <v>1.6608146232496009E-2</v>
      </c>
      <c r="H35" s="18">
        <v>1.7191660458699871E-2</v>
      </c>
      <c r="I35" s="18">
        <v>1.7508387064102071E-2</v>
      </c>
    </row>
    <row r="36" spans="1:9" x14ac:dyDescent="0.35">
      <c r="A36" s="14" t="s">
        <v>211</v>
      </c>
      <c r="B36" s="18">
        <v>8.8407325130570487E-3</v>
      </c>
      <c r="C36" s="18">
        <v>1.261479400215316E-2</v>
      </c>
      <c r="D36" s="18">
        <v>1.365772554893181E-2</v>
      </c>
      <c r="E36" s="18">
        <v>8.6334457537958157E-3</v>
      </c>
      <c r="F36" s="18">
        <v>8.8407325130570487E-3</v>
      </c>
      <c r="G36" s="18">
        <v>1.158117117397175E-2</v>
      </c>
      <c r="H36" s="18">
        <v>1.145366900328239E-2</v>
      </c>
      <c r="I36" s="18">
        <v>1.1477301876160461E-2</v>
      </c>
    </row>
    <row r="37" spans="1:9" x14ac:dyDescent="0.35">
      <c r="A37" s="14" t="s">
        <v>212</v>
      </c>
      <c r="B37" s="18">
        <v>1.217410135336263E-2</v>
      </c>
      <c r="C37" s="18">
        <v>0</v>
      </c>
      <c r="D37" s="21">
        <v>0</v>
      </c>
      <c r="E37" s="21">
        <v>4.4640446568926431E-3</v>
      </c>
      <c r="F37" s="18">
        <v>1.217410135336263E-2</v>
      </c>
      <c r="G37" s="18">
        <v>1.4175943797149371E-2</v>
      </c>
      <c r="H37" s="18">
        <v>1.497396663608408E-2</v>
      </c>
      <c r="I37" s="18">
        <v>1.531666338578098E-2</v>
      </c>
    </row>
    <row r="38" spans="1:9" x14ac:dyDescent="0.35">
      <c r="A38" s="14" t="s">
        <v>203</v>
      </c>
      <c r="B38" s="18">
        <v>0</v>
      </c>
      <c r="C38" s="18">
        <v>0</v>
      </c>
      <c r="D38" s="18">
        <v>0</v>
      </c>
      <c r="E38" s="18">
        <v>0</v>
      </c>
      <c r="F38" s="18">
        <v>0</v>
      </c>
      <c r="G38" s="18">
        <v>0</v>
      </c>
      <c r="H38" s="18">
        <v>5.3344525572450148E-3</v>
      </c>
      <c r="I38" s="18">
        <v>5.4565377466413122E-3</v>
      </c>
    </row>
    <row r="39" spans="1:9" x14ac:dyDescent="0.35">
      <c r="A39" s="14" t="s">
        <v>204</v>
      </c>
      <c r="B39" s="18">
        <v>1.353255064476315E-2</v>
      </c>
      <c r="C39" s="18">
        <v>1.942822904811527E-2</v>
      </c>
      <c r="D39" s="18">
        <v>2.1532234432343918E-2</v>
      </c>
      <c r="E39" s="18">
        <v>1.8044298781196969E-2</v>
      </c>
      <c r="F39" s="18">
        <v>1.353255064476315E-2</v>
      </c>
      <c r="G39" s="18">
        <v>1.3052360479848859E-2</v>
      </c>
      <c r="H39" s="18">
        <v>2.0582887452542661E-2</v>
      </c>
      <c r="I39" s="18">
        <v>1.9542440486648171E-2</v>
      </c>
    </row>
    <row r="40" spans="1:9" x14ac:dyDescent="0.35">
      <c r="A40" s="14" t="s">
        <v>213</v>
      </c>
      <c r="B40" s="1">
        <v>15.082497840961491</v>
      </c>
      <c r="C40" s="1">
        <v>12.28470165528352</v>
      </c>
      <c r="D40" s="1">
        <v>10.634320088865801</v>
      </c>
      <c r="E40" s="1">
        <v>13.47024341566055</v>
      </c>
      <c r="F40" s="1">
        <v>15.0824978409615</v>
      </c>
      <c r="G40" s="1">
        <v>14.414706416767689</v>
      </c>
      <c r="H40" s="1">
        <v>12.472743778921251</v>
      </c>
      <c r="I40" s="1">
        <v>12.901733222234331</v>
      </c>
    </row>
    <row r="42" spans="1:9" x14ac:dyDescent="0.35">
      <c r="C42" s="187"/>
      <c r="D42" s="187"/>
      <c r="E42" s="187"/>
      <c r="F42" s="187"/>
      <c r="G42" s="170"/>
      <c r="H42" s="170"/>
      <c r="I42" s="170"/>
    </row>
    <row r="43" spans="1:9" ht="29" x14ac:dyDescent="0.35">
      <c r="A43" s="12" t="s">
        <v>495</v>
      </c>
      <c r="B43" s="13" t="s">
        <v>208</v>
      </c>
      <c r="C43" s="13" t="s">
        <v>458</v>
      </c>
      <c r="D43" s="13" t="s">
        <v>466</v>
      </c>
      <c r="E43" s="13" t="s">
        <v>467</v>
      </c>
      <c r="F43" s="13" t="s">
        <v>468</v>
      </c>
      <c r="G43" s="13" t="s">
        <v>636</v>
      </c>
      <c r="H43" s="13" t="s">
        <v>641</v>
      </c>
      <c r="I43" s="13" t="s">
        <v>647</v>
      </c>
    </row>
    <row r="44" spans="1:9" x14ac:dyDescent="0.35">
      <c r="A44" s="14" t="s">
        <v>209</v>
      </c>
      <c r="B44" s="15">
        <v>360</v>
      </c>
      <c r="C44" s="15">
        <v>94</v>
      </c>
      <c r="D44" s="15">
        <v>184</v>
      </c>
      <c r="E44" s="15">
        <v>270</v>
      </c>
      <c r="F44" s="15">
        <v>360</v>
      </c>
      <c r="G44" s="15">
        <v>455</v>
      </c>
      <c r="H44" s="15">
        <v>546</v>
      </c>
      <c r="I44" s="15">
        <v>532</v>
      </c>
    </row>
    <row r="45" spans="1:9" x14ac:dyDescent="0.35">
      <c r="A45" s="16" t="s">
        <v>336</v>
      </c>
      <c r="B45" s="17">
        <v>0.3502856523200788</v>
      </c>
      <c r="C45" s="155">
        <v>0.2603985749160293</v>
      </c>
      <c r="D45" s="17">
        <v>0.33191416899375842</v>
      </c>
      <c r="E45" s="17">
        <v>0.34394522717566273</v>
      </c>
      <c r="F45" s="17">
        <v>0.35028565232007869</v>
      </c>
      <c r="G45" s="17">
        <v>0.35039205765191472</v>
      </c>
      <c r="H45" s="17">
        <v>0.3312292007534598</v>
      </c>
      <c r="I45" s="149">
        <v>0.36727930073603948</v>
      </c>
    </row>
    <row r="46" spans="1:9" x14ac:dyDescent="0.35">
      <c r="A46" s="16" t="s">
        <v>194</v>
      </c>
      <c r="B46" s="17">
        <v>0.43759051339926031</v>
      </c>
      <c r="C46" s="17">
        <v>0.47028500256926292</v>
      </c>
      <c r="D46" s="17">
        <v>0.44181664716636571</v>
      </c>
      <c r="E46" s="17">
        <v>0.42855254004171378</v>
      </c>
      <c r="F46" s="17">
        <v>0.43759051339926031</v>
      </c>
      <c r="G46" s="17">
        <v>0.435636142367686</v>
      </c>
      <c r="H46" s="17">
        <v>0.44108390126781161</v>
      </c>
      <c r="I46" s="17">
        <v>0.41490246738665448</v>
      </c>
    </row>
    <row r="47" spans="1:9" x14ac:dyDescent="0.35">
      <c r="A47" s="16" t="s">
        <v>195</v>
      </c>
      <c r="B47" s="17">
        <v>0.21212383428066101</v>
      </c>
      <c r="C47" s="17">
        <v>0.26931642251470772</v>
      </c>
      <c r="D47" s="17">
        <v>0.2262691838398761</v>
      </c>
      <c r="E47" s="17">
        <v>0.22750223278262349</v>
      </c>
      <c r="F47" s="17">
        <v>0.21212383428066089</v>
      </c>
      <c r="G47" s="17">
        <v>0.21397179998039931</v>
      </c>
      <c r="H47" s="17">
        <v>0.22768689797872871</v>
      </c>
      <c r="I47" s="17">
        <v>0.2178182318773059</v>
      </c>
    </row>
    <row r="48" spans="1:9" x14ac:dyDescent="0.35">
      <c r="A48" s="14" t="s">
        <v>210</v>
      </c>
      <c r="B48" s="18">
        <v>0.16491235061302639</v>
      </c>
      <c r="C48" s="18">
        <v>0.15640408797882019</v>
      </c>
      <c r="D48" s="18">
        <v>0.16821657997714651</v>
      </c>
      <c r="E48" s="18">
        <v>0.16956951112809329</v>
      </c>
      <c r="F48" s="18">
        <v>0.16491235061302639</v>
      </c>
      <c r="G48" s="18">
        <v>0.16783909610061401</v>
      </c>
      <c r="H48" s="18">
        <v>0.14660326324354109</v>
      </c>
      <c r="I48" s="18">
        <v>0.1601744234357369</v>
      </c>
    </row>
    <row r="49" spans="1:9" x14ac:dyDescent="0.35">
      <c r="A49" s="14" t="s">
        <v>197</v>
      </c>
      <c r="B49" s="18">
        <v>0.18537330170705241</v>
      </c>
      <c r="C49" s="21">
        <v>0.1039944869372091</v>
      </c>
      <c r="D49" s="18">
        <v>0.16369758901661191</v>
      </c>
      <c r="E49" s="18">
        <v>0.17437571604756941</v>
      </c>
      <c r="F49" s="18">
        <v>0.18537330170705241</v>
      </c>
      <c r="G49" s="18">
        <v>0.18255296155130071</v>
      </c>
      <c r="H49" s="18">
        <v>0.1846259375099186</v>
      </c>
      <c r="I49" s="19">
        <v>0.2071048773003025</v>
      </c>
    </row>
    <row r="50" spans="1:9" x14ac:dyDescent="0.35">
      <c r="A50" s="14" t="s">
        <v>198</v>
      </c>
      <c r="B50" s="18">
        <v>0.28694448476420947</v>
      </c>
      <c r="C50" s="18">
        <v>0.30814693320703179</v>
      </c>
      <c r="D50" s="18">
        <v>0.26243806201579267</v>
      </c>
      <c r="E50" s="18">
        <v>0.2757268772429447</v>
      </c>
      <c r="F50" s="18">
        <v>0.28694448476420947</v>
      </c>
      <c r="G50" s="18">
        <v>0.28317170342017289</v>
      </c>
      <c r="H50" s="18">
        <v>0.27931574753014321</v>
      </c>
      <c r="I50" s="18">
        <v>0.25443260287186309</v>
      </c>
    </row>
    <row r="51" spans="1:9" x14ac:dyDescent="0.35">
      <c r="A51" s="14" t="s">
        <v>199</v>
      </c>
      <c r="B51" s="18">
        <v>0.15064602863505069</v>
      </c>
      <c r="C51" s="18">
        <v>0.1621380693622311</v>
      </c>
      <c r="D51" s="18">
        <v>0.17937858515057289</v>
      </c>
      <c r="E51" s="18">
        <v>0.15282566279876911</v>
      </c>
      <c r="F51" s="18">
        <v>0.15064602863505069</v>
      </c>
      <c r="G51" s="18">
        <v>0.1524644389475131</v>
      </c>
      <c r="H51" s="18">
        <v>0.16176815373766851</v>
      </c>
      <c r="I51" s="18">
        <v>0.16046986451479131</v>
      </c>
    </row>
    <row r="52" spans="1:9" x14ac:dyDescent="0.35">
      <c r="A52" s="14" t="s">
        <v>200</v>
      </c>
      <c r="B52" s="18">
        <v>8.3610963581335615E-2</v>
      </c>
      <c r="C52" s="18">
        <v>0.1213541179671329</v>
      </c>
      <c r="D52" s="18">
        <v>9.2510259008149673E-2</v>
      </c>
      <c r="E52" s="18">
        <v>8.2399320534157772E-2</v>
      </c>
      <c r="F52" s="18">
        <v>8.3610963581335601E-2</v>
      </c>
      <c r="G52" s="18">
        <v>8.9090009522972913E-2</v>
      </c>
      <c r="H52" s="18">
        <v>8.6978250904476126E-2</v>
      </c>
      <c r="I52" s="18">
        <v>7.7183603922301808E-2</v>
      </c>
    </row>
    <row r="53" spans="1:9" x14ac:dyDescent="0.35">
      <c r="A53" s="14" t="s">
        <v>201</v>
      </c>
      <c r="B53" s="18">
        <v>7.3993958549837313E-2</v>
      </c>
      <c r="C53" s="18">
        <v>7.473190712594413E-2</v>
      </c>
      <c r="D53" s="18">
        <v>8.0846801558908041E-2</v>
      </c>
      <c r="E53" s="20">
        <v>8.7426347518156186E-2</v>
      </c>
      <c r="F53" s="18">
        <v>7.3993958549837313E-2</v>
      </c>
      <c r="G53" s="18">
        <v>7.0244790270143909E-2</v>
      </c>
      <c r="H53" s="18">
        <v>8.3607258774579585E-2</v>
      </c>
      <c r="I53" s="18">
        <v>8.5837691069206579E-2</v>
      </c>
    </row>
    <row r="54" spans="1:9" x14ac:dyDescent="0.35">
      <c r="A54" s="14" t="s">
        <v>202</v>
      </c>
      <c r="B54" s="18">
        <v>1.7274223607462749E-2</v>
      </c>
      <c r="C54" s="18">
        <v>1.8838567333525659E-2</v>
      </c>
      <c r="D54" s="18">
        <v>9.6920908551709397E-3</v>
      </c>
      <c r="E54" s="18">
        <v>1.5429395464410141E-2</v>
      </c>
      <c r="F54" s="18">
        <v>1.7274223607462749E-2</v>
      </c>
      <c r="G54" s="18">
        <v>2.022468939597722E-2</v>
      </c>
      <c r="H54" s="18">
        <v>1.680233461823797E-2</v>
      </c>
      <c r="I54" s="18">
        <v>1.7553941844967891E-2</v>
      </c>
    </row>
    <row r="55" spans="1:9" x14ac:dyDescent="0.35">
      <c r="A55" s="14" t="s">
        <v>211</v>
      </c>
      <c r="B55" s="18">
        <v>8.6752101344249755E-3</v>
      </c>
      <c r="C55" s="18">
        <v>1.9425699344456138E-2</v>
      </c>
      <c r="D55" s="18">
        <v>9.9941593030082876E-3</v>
      </c>
      <c r="E55" s="18">
        <v>1.1541486508588951E-2</v>
      </c>
      <c r="F55" s="18">
        <v>8.6752101344249738E-3</v>
      </c>
      <c r="G55" s="18">
        <v>9.5495478430773061E-3</v>
      </c>
      <c r="H55" s="18">
        <v>1.195745155757042E-2</v>
      </c>
      <c r="I55" s="18">
        <v>1.069162860525776E-2</v>
      </c>
    </row>
    <row r="56" spans="1:9" x14ac:dyDescent="0.35">
      <c r="A56" s="14" t="s">
        <v>212</v>
      </c>
      <c r="B56" s="18">
        <v>1.2018391072193079E-2</v>
      </c>
      <c r="C56" s="18">
        <v>2.4650029070318019E-2</v>
      </c>
      <c r="D56" s="19">
        <v>2.337528124211365E-2</v>
      </c>
      <c r="E56" s="18">
        <v>1.5989249397456409E-2</v>
      </c>
      <c r="F56" s="18">
        <v>1.2018391072193079E-2</v>
      </c>
      <c r="G56" s="18">
        <v>1.1775088667378669E-2</v>
      </c>
      <c r="H56" s="18">
        <v>1.3627920613256579E-2</v>
      </c>
      <c r="I56" s="18">
        <v>1.149782076600145E-2</v>
      </c>
    </row>
    <row r="57" spans="1:9" x14ac:dyDescent="0.35">
      <c r="A57" s="14" t="s">
        <v>203</v>
      </c>
      <c r="B57" s="18">
        <v>2.0223995752966261E-3</v>
      </c>
      <c r="C57" s="18">
        <v>0</v>
      </c>
      <c r="D57" s="18">
        <v>0</v>
      </c>
      <c r="E57" s="18">
        <v>2.690597351715813E-3</v>
      </c>
      <c r="F57" s="18">
        <v>2.0223995752966261E-3</v>
      </c>
      <c r="G57" s="18">
        <v>1.5992004857944889E-3</v>
      </c>
      <c r="H57" s="18">
        <v>5.1692491003992626E-3</v>
      </c>
      <c r="I57" s="18">
        <v>7.0987276447061296E-3</v>
      </c>
    </row>
    <row r="58" spans="1:9" x14ac:dyDescent="0.35">
      <c r="A58" s="14" t="s">
        <v>204</v>
      </c>
      <c r="B58" s="18">
        <v>1.452868776011061E-2</v>
      </c>
      <c r="C58" s="18">
        <v>1.0316101673330819E-2</v>
      </c>
      <c r="D58" s="18">
        <v>9.8505918725254847E-3</v>
      </c>
      <c r="E58" s="18">
        <v>1.202583600813828E-2</v>
      </c>
      <c r="F58" s="18">
        <v>1.45286877601106E-2</v>
      </c>
      <c r="G58" s="18">
        <v>1.148847379505484E-2</v>
      </c>
      <c r="H58" s="18">
        <v>9.5444324102087266E-3</v>
      </c>
      <c r="I58" s="18">
        <v>7.9548180248642918E-3</v>
      </c>
    </row>
    <row r="59" spans="1:9" x14ac:dyDescent="0.35">
      <c r="A59" s="14" t="s">
        <v>213</v>
      </c>
      <c r="B59" s="1">
        <v>13.816181803941779</v>
      </c>
      <c r="C59" s="1">
        <v>-0.89178475986784234</v>
      </c>
      <c r="D59" s="1">
        <v>10.56449851538822</v>
      </c>
      <c r="E59" s="1">
        <v>11.64429943930392</v>
      </c>
      <c r="F59" s="1">
        <v>13.816181803941779</v>
      </c>
      <c r="G59" s="1">
        <v>13.642025767151541</v>
      </c>
      <c r="H59" s="1">
        <v>10.354230277473119</v>
      </c>
      <c r="I59" s="1">
        <v>14.946106885873361</v>
      </c>
    </row>
    <row r="61" spans="1:9" x14ac:dyDescent="0.35">
      <c r="C61" s="187"/>
      <c r="D61" s="187"/>
      <c r="E61" s="187"/>
      <c r="F61" s="187"/>
      <c r="G61" s="170"/>
      <c r="H61" s="170"/>
      <c r="I61" s="170"/>
    </row>
    <row r="62" spans="1:9" ht="29" x14ac:dyDescent="0.35">
      <c r="A62" s="12" t="s">
        <v>496</v>
      </c>
      <c r="B62" s="13" t="s">
        <v>208</v>
      </c>
      <c r="C62" s="13" t="s">
        <v>458</v>
      </c>
      <c r="D62" s="13" t="s">
        <v>466</v>
      </c>
      <c r="E62" s="13" t="s">
        <v>467</v>
      </c>
      <c r="F62" s="13" t="s">
        <v>468</v>
      </c>
      <c r="G62" s="13" t="s">
        <v>636</v>
      </c>
      <c r="H62" s="13" t="s">
        <v>641</v>
      </c>
      <c r="I62" s="13" t="s">
        <v>647</v>
      </c>
    </row>
    <row r="63" spans="1:9" x14ac:dyDescent="0.35">
      <c r="A63" s="14" t="s">
        <v>209</v>
      </c>
      <c r="B63" s="15">
        <v>338</v>
      </c>
      <c r="C63" s="15">
        <v>95</v>
      </c>
      <c r="D63" s="15">
        <v>169</v>
      </c>
      <c r="E63" s="15">
        <v>251</v>
      </c>
      <c r="F63" s="15">
        <v>338</v>
      </c>
      <c r="G63" s="15">
        <v>420</v>
      </c>
      <c r="H63" s="15">
        <v>508</v>
      </c>
      <c r="I63" s="15">
        <v>496</v>
      </c>
    </row>
    <row r="64" spans="1:9" x14ac:dyDescent="0.35">
      <c r="A64" s="16" t="s">
        <v>336</v>
      </c>
      <c r="B64" s="17">
        <v>0.34135713297109888</v>
      </c>
      <c r="C64" s="17">
        <v>0.38829694339291487</v>
      </c>
      <c r="D64" s="17">
        <v>0.3062732241279989</v>
      </c>
      <c r="E64" s="155">
        <v>0.30811897158563001</v>
      </c>
      <c r="F64" s="17">
        <v>0.34135713297109888</v>
      </c>
      <c r="G64" s="17">
        <v>0.33872715111165841</v>
      </c>
      <c r="H64" s="17">
        <v>0.34105369705856592</v>
      </c>
      <c r="I64" s="17">
        <v>0.33790359334914921</v>
      </c>
    </row>
    <row r="65" spans="1:9" x14ac:dyDescent="0.35">
      <c r="A65" s="16" t="s">
        <v>194</v>
      </c>
      <c r="B65" s="17">
        <v>0.44926891971399158</v>
      </c>
      <c r="C65" s="17">
        <v>0.45571969420236869</v>
      </c>
      <c r="D65" s="17">
        <v>0.49189659785827489</v>
      </c>
      <c r="E65" s="153">
        <v>0.47593889563607211</v>
      </c>
      <c r="F65" s="17">
        <v>0.4492689197139918</v>
      </c>
      <c r="G65" s="17">
        <v>0.46173236361024611</v>
      </c>
      <c r="H65" s="17">
        <v>0.46181327546448381</v>
      </c>
      <c r="I65" s="17">
        <v>0.45747620148117252</v>
      </c>
    </row>
    <row r="66" spans="1:9" x14ac:dyDescent="0.35">
      <c r="A66" s="16" t="s">
        <v>195</v>
      </c>
      <c r="B66" s="17">
        <v>0.20937394731490941</v>
      </c>
      <c r="C66" s="17">
        <v>0.15598336240471619</v>
      </c>
      <c r="D66" s="17">
        <v>0.20183017801372641</v>
      </c>
      <c r="E66" s="17">
        <v>0.21594213277829821</v>
      </c>
      <c r="F66" s="17">
        <v>0.20937394731490941</v>
      </c>
      <c r="G66" s="17">
        <v>0.19954048527809551</v>
      </c>
      <c r="H66" s="17">
        <v>0.1971330274769503</v>
      </c>
      <c r="I66" s="17">
        <v>0.20462020516967841</v>
      </c>
    </row>
    <row r="67" spans="1:9" x14ac:dyDescent="0.35">
      <c r="A67" s="14" t="s">
        <v>210</v>
      </c>
      <c r="B67" s="18">
        <v>0.15608429662137391</v>
      </c>
      <c r="C67" s="18">
        <v>0.16959799831745551</v>
      </c>
      <c r="D67" s="24">
        <v>0.10464535338382849</v>
      </c>
      <c r="E67" s="24">
        <v>0.12755003339470511</v>
      </c>
      <c r="F67" s="18">
        <v>0.15608429662137391</v>
      </c>
      <c r="G67" s="18">
        <v>0.15692571212101569</v>
      </c>
      <c r="H67" s="18">
        <v>0.15887550943002099</v>
      </c>
      <c r="I67" s="18">
        <v>0.1593116587181789</v>
      </c>
    </row>
    <row r="68" spans="1:9" x14ac:dyDescent="0.35">
      <c r="A68" s="14" t="s">
        <v>197</v>
      </c>
      <c r="B68" s="18">
        <v>0.18527283634972511</v>
      </c>
      <c r="C68" s="18">
        <v>0.21869894507545931</v>
      </c>
      <c r="D68" s="18">
        <v>0.20162787074417041</v>
      </c>
      <c r="E68" s="18">
        <v>0.18056893819092479</v>
      </c>
      <c r="F68" s="18">
        <v>0.18527283634972511</v>
      </c>
      <c r="G68" s="18">
        <v>0.18180143899064269</v>
      </c>
      <c r="H68" s="18">
        <v>0.18217818762854479</v>
      </c>
      <c r="I68" s="18">
        <v>0.1785919346309702</v>
      </c>
    </row>
    <row r="69" spans="1:9" x14ac:dyDescent="0.35">
      <c r="A69" s="14" t="s">
        <v>198</v>
      </c>
      <c r="B69" s="18">
        <v>0.31119552174909643</v>
      </c>
      <c r="C69" s="18">
        <v>0.26165132403730451</v>
      </c>
      <c r="D69" s="18">
        <v>0.30175167681546877</v>
      </c>
      <c r="E69" s="18">
        <v>0.31863871737381688</v>
      </c>
      <c r="F69" s="18">
        <v>0.31119552174909659</v>
      </c>
      <c r="G69" s="18">
        <v>0.30316116898386652</v>
      </c>
      <c r="H69" s="18">
        <v>0.29868898854470699</v>
      </c>
      <c r="I69" s="18">
        <v>0.30679484420607889</v>
      </c>
    </row>
    <row r="70" spans="1:9" x14ac:dyDescent="0.35">
      <c r="A70" s="14" t="s">
        <v>199</v>
      </c>
      <c r="B70" s="18">
        <v>0.13807339796489521</v>
      </c>
      <c r="C70" s="20">
        <v>0.1940683701650642</v>
      </c>
      <c r="D70" s="22">
        <v>0.190144921042806</v>
      </c>
      <c r="E70" s="20">
        <v>0.15730017826225509</v>
      </c>
      <c r="F70" s="18">
        <v>0.13807339796489521</v>
      </c>
      <c r="G70" s="18">
        <v>0.15857119462637961</v>
      </c>
      <c r="H70" s="18">
        <v>0.16312428691977671</v>
      </c>
      <c r="I70" s="18">
        <v>0.1506813572750936</v>
      </c>
    </row>
    <row r="71" spans="1:9" x14ac:dyDescent="0.35">
      <c r="A71" s="14" t="s">
        <v>200</v>
      </c>
      <c r="B71" s="18">
        <v>7.0828051155909816E-2</v>
      </c>
      <c r="C71" s="18">
        <v>7.7424368263101895E-2</v>
      </c>
      <c r="D71" s="18">
        <v>7.0064883835291414E-2</v>
      </c>
      <c r="E71" s="18">
        <v>6.6974236335194878E-2</v>
      </c>
      <c r="F71" s="18">
        <v>7.0828051155909816E-2</v>
      </c>
      <c r="G71" s="18">
        <v>5.9928212083567502E-2</v>
      </c>
      <c r="H71" s="18">
        <v>5.3493171370569227E-2</v>
      </c>
      <c r="I71" s="18">
        <v>6.0079093035737677E-2</v>
      </c>
    </row>
    <row r="72" spans="1:9" x14ac:dyDescent="0.35">
      <c r="A72" s="14" t="s">
        <v>201</v>
      </c>
      <c r="B72" s="18">
        <v>9.1835758075499971E-2</v>
      </c>
      <c r="C72" s="21">
        <v>4.0493596406792627E-2</v>
      </c>
      <c r="D72" s="18">
        <v>7.8555616785955462E-2</v>
      </c>
      <c r="E72" s="18">
        <v>9.506046180440117E-2</v>
      </c>
      <c r="F72" s="18">
        <v>9.1835758075499985E-2</v>
      </c>
      <c r="G72" s="18">
        <v>8.7444515583301935E-2</v>
      </c>
      <c r="H72" s="18">
        <v>9.1060136410953507E-2</v>
      </c>
      <c r="I72" s="20">
        <v>9.5599458464698098E-2</v>
      </c>
    </row>
    <row r="73" spans="1:9" x14ac:dyDescent="0.35">
      <c r="A73" s="14" t="s">
        <v>202</v>
      </c>
      <c r="B73" s="18">
        <v>3.746832949550717E-3</v>
      </c>
      <c r="C73" s="18">
        <v>0</v>
      </c>
      <c r="D73" s="18">
        <v>0</v>
      </c>
      <c r="E73" s="18">
        <v>4.9893964014842539E-3</v>
      </c>
      <c r="F73" s="18">
        <v>3.746832949550717E-3</v>
      </c>
      <c r="G73" s="18">
        <v>7.9031327704191436E-3</v>
      </c>
      <c r="H73" s="18">
        <v>1.2219238540741769E-2</v>
      </c>
      <c r="I73" s="18">
        <v>1.2605520546237601E-2</v>
      </c>
    </row>
    <row r="74" spans="1:9" x14ac:dyDescent="0.35">
      <c r="A74" s="14" t="s">
        <v>211</v>
      </c>
      <c r="B74" s="18">
        <v>1.6277891797963611E-2</v>
      </c>
      <c r="C74" s="18">
        <v>9.4887103269373288E-3</v>
      </c>
      <c r="D74" s="18">
        <v>1.8721058301481311E-2</v>
      </c>
      <c r="E74" s="18">
        <v>2.1676134445825359E-2</v>
      </c>
      <c r="F74" s="18">
        <v>1.6277891797963611E-2</v>
      </c>
      <c r="G74" s="18">
        <v>1.5463200008199189E-2</v>
      </c>
      <c r="H74" s="18">
        <v>1.28107055309617E-2</v>
      </c>
      <c r="I74" s="18">
        <v>1.332009082331876E-2</v>
      </c>
    </row>
    <row r="75" spans="1:9" x14ac:dyDescent="0.35">
      <c r="A75" s="14" t="s">
        <v>212</v>
      </c>
      <c r="B75" s="18">
        <v>1.157688941006973E-2</v>
      </c>
      <c r="C75" s="18">
        <v>8.4254110668258372E-3</v>
      </c>
      <c r="D75" s="18">
        <v>1.7256364261551891E-2</v>
      </c>
      <c r="E75" s="18">
        <v>1.1409062937326591E-2</v>
      </c>
      <c r="F75" s="18">
        <v>1.157688941006973E-2</v>
      </c>
      <c r="G75" s="18">
        <v>9.4288154796586289E-3</v>
      </c>
      <c r="H75" s="18">
        <v>9.701011820266078E-3</v>
      </c>
      <c r="I75" s="18">
        <v>8.4142044168174553E-3</v>
      </c>
    </row>
    <row r="76" spans="1:9" x14ac:dyDescent="0.35">
      <c r="A76" s="14" t="s">
        <v>203</v>
      </c>
      <c r="B76" s="18">
        <v>2.897091044934456E-3</v>
      </c>
      <c r="C76" s="20">
        <v>1.0662566014121201E-2</v>
      </c>
      <c r="D76" s="18">
        <v>5.835057582383711E-3</v>
      </c>
      <c r="E76" s="18">
        <v>3.857854307623055E-3</v>
      </c>
      <c r="F76" s="18">
        <v>2.8970910449344551E-3</v>
      </c>
      <c r="G76" s="18">
        <v>4.9711047523135063E-3</v>
      </c>
      <c r="H76" s="18">
        <v>5.9176347652443052E-3</v>
      </c>
      <c r="I76" s="18">
        <v>4.0881161570893894E-3</v>
      </c>
    </row>
    <row r="77" spans="1:9" x14ac:dyDescent="0.35">
      <c r="A77" s="14" t="s">
        <v>204</v>
      </c>
      <c r="B77" s="18">
        <v>1.221143288098111E-2</v>
      </c>
      <c r="C77" s="18">
        <v>9.4887103269373288E-3</v>
      </c>
      <c r="D77" s="18">
        <v>1.139719724706262E-2</v>
      </c>
      <c r="E77" s="18">
        <v>1.1974986546442849E-2</v>
      </c>
      <c r="F77" s="18">
        <v>1.221143288098111E-2</v>
      </c>
      <c r="G77" s="18">
        <v>1.440150460063554E-2</v>
      </c>
      <c r="H77" s="18">
        <v>1.1931129038213721E-2</v>
      </c>
      <c r="I77" s="18">
        <v>1.0513721725779499E-2</v>
      </c>
    </row>
    <row r="78" spans="1:9" x14ac:dyDescent="0.35">
      <c r="A78" s="14" t="s">
        <v>213</v>
      </c>
      <c r="B78" s="1">
        <v>13.19831856561896</v>
      </c>
      <c r="C78" s="1">
        <v>23.231358098819861</v>
      </c>
      <c r="D78" s="1">
        <v>10.444304611427251</v>
      </c>
      <c r="E78" s="1">
        <v>9.2176838807331727</v>
      </c>
      <c r="F78" s="1">
        <v>13.198318565618941</v>
      </c>
      <c r="G78" s="1">
        <v>13.918666583356289</v>
      </c>
      <c r="H78" s="1">
        <v>14.392066958161561</v>
      </c>
      <c r="I78" s="1">
        <v>13.32833881794706</v>
      </c>
    </row>
    <row r="80" spans="1:9" x14ac:dyDescent="0.35">
      <c r="C80" s="187"/>
      <c r="D80" s="187"/>
      <c r="E80" s="187"/>
      <c r="F80" s="187"/>
      <c r="G80" s="170"/>
      <c r="H80" s="170"/>
      <c r="I80" s="170"/>
    </row>
    <row r="81" spans="1:9" ht="29" x14ac:dyDescent="0.35">
      <c r="A81" s="12" t="s">
        <v>497</v>
      </c>
      <c r="B81" s="13" t="s">
        <v>208</v>
      </c>
      <c r="C81" s="13" t="s">
        <v>458</v>
      </c>
      <c r="D81" s="13" t="s">
        <v>466</v>
      </c>
      <c r="E81" s="13" t="s">
        <v>467</v>
      </c>
      <c r="F81" s="13" t="s">
        <v>468</v>
      </c>
      <c r="G81" s="13" t="s">
        <v>636</v>
      </c>
      <c r="H81" s="13" t="s">
        <v>641</v>
      </c>
      <c r="I81" s="13" t="s">
        <v>647</v>
      </c>
    </row>
    <row r="82" spans="1:9" x14ac:dyDescent="0.35">
      <c r="A82" s="14" t="s">
        <v>209</v>
      </c>
      <c r="B82" s="15">
        <v>244</v>
      </c>
      <c r="C82" s="15">
        <v>67</v>
      </c>
      <c r="D82" s="15">
        <v>116</v>
      </c>
      <c r="E82" s="15">
        <v>189</v>
      </c>
      <c r="F82" s="15">
        <v>244</v>
      </c>
      <c r="G82" s="15">
        <v>315</v>
      </c>
      <c r="H82" s="15">
        <v>378</v>
      </c>
      <c r="I82" s="15">
        <v>366</v>
      </c>
    </row>
    <row r="83" spans="1:9" x14ac:dyDescent="0.35">
      <c r="A83" s="16" t="s">
        <v>336</v>
      </c>
      <c r="B83" s="17">
        <v>0.31818633155856207</v>
      </c>
      <c r="C83" s="17">
        <v>0.25966821467733509</v>
      </c>
      <c r="D83" s="155">
        <v>0.2558082536502822</v>
      </c>
      <c r="E83" s="17">
        <v>0.31685461139926402</v>
      </c>
      <c r="F83" s="17">
        <v>0.31818633155856207</v>
      </c>
      <c r="G83" s="17">
        <v>0.32432042303649022</v>
      </c>
      <c r="H83" s="17">
        <v>0.34139233179011258</v>
      </c>
      <c r="I83" s="153">
        <v>0.37684086688083512</v>
      </c>
    </row>
    <row r="84" spans="1:9" x14ac:dyDescent="0.35">
      <c r="A84" s="16" t="s">
        <v>194</v>
      </c>
      <c r="B84" s="17">
        <v>0.42419872756655808</v>
      </c>
      <c r="C84" s="17">
        <v>0.39841221921458447</v>
      </c>
      <c r="D84" s="17">
        <v>0.44471457465711262</v>
      </c>
      <c r="E84" s="17">
        <v>0.41580928496624803</v>
      </c>
      <c r="F84" s="17">
        <v>0.42419872756655808</v>
      </c>
      <c r="G84" s="17">
        <v>0.43750717313337711</v>
      </c>
      <c r="H84" s="17">
        <v>0.42641336802279572</v>
      </c>
      <c r="I84" s="17">
        <v>0.41466181313433242</v>
      </c>
    </row>
    <row r="85" spans="1:9" x14ac:dyDescent="0.35">
      <c r="A85" s="16" t="s">
        <v>195</v>
      </c>
      <c r="B85" s="17">
        <v>0.25761494087487963</v>
      </c>
      <c r="C85" s="153">
        <v>0.34191956610808061</v>
      </c>
      <c r="D85" s="17">
        <v>0.29947717169260518</v>
      </c>
      <c r="E85" s="17">
        <v>0.26733610363448812</v>
      </c>
      <c r="F85" s="17">
        <v>0.25761494087487968</v>
      </c>
      <c r="G85" s="17">
        <v>0.2381724038301328</v>
      </c>
      <c r="H85" s="17">
        <v>0.23219430018709181</v>
      </c>
      <c r="I85" s="155">
        <v>0.20849731998483259</v>
      </c>
    </row>
    <row r="86" spans="1:9" x14ac:dyDescent="0.35">
      <c r="A86" s="14" t="s">
        <v>210</v>
      </c>
      <c r="B86" s="18">
        <v>0.12705013861188491</v>
      </c>
      <c r="C86" s="18">
        <v>0.1211307050230131</v>
      </c>
      <c r="D86" s="18">
        <v>0.13970742322476271</v>
      </c>
      <c r="E86" s="20">
        <v>0.14806626300987219</v>
      </c>
      <c r="F86" s="18">
        <v>0.12705013861188491</v>
      </c>
      <c r="G86" s="18">
        <v>0.11208420754950441</v>
      </c>
      <c r="H86" s="18">
        <v>0.13888410950852531</v>
      </c>
      <c r="I86" s="18">
        <v>0.15306674610872409</v>
      </c>
    </row>
    <row r="87" spans="1:9" x14ac:dyDescent="0.35">
      <c r="A87" s="14" t="s">
        <v>197</v>
      </c>
      <c r="B87" s="18">
        <v>0.19113619294667719</v>
      </c>
      <c r="C87" s="18">
        <v>0.13853750965432199</v>
      </c>
      <c r="D87" s="24">
        <v>0.1161008304255195</v>
      </c>
      <c r="E87" s="23">
        <v>0.1687883483893918</v>
      </c>
      <c r="F87" s="18">
        <v>0.1911361929466773</v>
      </c>
      <c r="G87" s="18">
        <v>0.21223621548698579</v>
      </c>
      <c r="H87" s="25">
        <v>0.20250822228158741</v>
      </c>
      <c r="I87" s="18">
        <v>0.22377412077211101</v>
      </c>
    </row>
    <row r="88" spans="1:9" x14ac:dyDescent="0.35">
      <c r="A88" s="14" t="s">
        <v>198</v>
      </c>
      <c r="B88" s="18">
        <v>0.28258893093930038</v>
      </c>
      <c r="C88" s="18">
        <v>0.23819550067813991</v>
      </c>
      <c r="D88" s="18">
        <v>0.28350163279160162</v>
      </c>
      <c r="E88" s="18">
        <v>0.27410514498828031</v>
      </c>
      <c r="F88" s="18">
        <v>0.28258893093930038</v>
      </c>
      <c r="G88" s="25">
        <v>0.29832186119798171</v>
      </c>
      <c r="H88" s="18">
        <v>0.29303607092150757</v>
      </c>
      <c r="I88" s="18">
        <v>0.28681640838669581</v>
      </c>
    </row>
    <row r="89" spans="1:9" x14ac:dyDescent="0.35">
      <c r="A89" s="14" t="s">
        <v>199</v>
      </c>
      <c r="B89" s="18">
        <v>0.14160979662725781</v>
      </c>
      <c r="C89" s="18">
        <v>0.16021671853644459</v>
      </c>
      <c r="D89" s="18">
        <v>0.16121294186551099</v>
      </c>
      <c r="E89" s="18">
        <v>0.14170413997796771</v>
      </c>
      <c r="F89" s="18">
        <v>0.14160979662725781</v>
      </c>
      <c r="G89" s="18">
        <v>0.13918531193539541</v>
      </c>
      <c r="H89" s="18">
        <v>0.13337729710128809</v>
      </c>
      <c r="I89" s="18">
        <v>0.12784540474763659</v>
      </c>
    </row>
    <row r="90" spans="1:9" x14ac:dyDescent="0.35">
      <c r="A90" s="14" t="s">
        <v>200</v>
      </c>
      <c r="B90" s="18">
        <v>0.1019100956220155</v>
      </c>
      <c r="C90" s="18">
        <v>0.14605722553569481</v>
      </c>
      <c r="D90" s="18">
        <v>0.1011087160656043</v>
      </c>
      <c r="E90" s="18">
        <v>0.104045066358754</v>
      </c>
      <c r="F90" s="18">
        <v>0.1019100956220155</v>
      </c>
      <c r="G90" s="18">
        <v>8.9104808495154772E-2</v>
      </c>
      <c r="H90" s="18">
        <v>8.4884088379659106E-2</v>
      </c>
      <c r="I90" s="21">
        <v>6.9973732595319055E-2</v>
      </c>
    </row>
    <row r="91" spans="1:9" x14ac:dyDescent="0.35">
      <c r="A91" s="14" t="s">
        <v>201</v>
      </c>
      <c r="B91" s="18">
        <v>0.1151240557991399</v>
      </c>
      <c r="C91" s="18">
        <v>0.1197789783235073</v>
      </c>
      <c r="D91" s="18">
        <v>0.12595374656941341</v>
      </c>
      <c r="E91" s="18">
        <v>0.1166977275157106</v>
      </c>
      <c r="F91" s="18">
        <v>0.1151240557991399</v>
      </c>
      <c r="G91" s="18">
        <v>0.1068816002463993</v>
      </c>
      <c r="H91" s="18">
        <v>0.10719930986892411</v>
      </c>
      <c r="I91" s="18">
        <v>0.1075399868557466</v>
      </c>
    </row>
    <row r="92" spans="1:9" x14ac:dyDescent="0.35">
      <c r="A92" s="14" t="s">
        <v>202</v>
      </c>
      <c r="B92" s="18">
        <v>7.8520477083391192E-3</v>
      </c>
      <c r="C92" s="18">
        <v>1.3941022920524409E-2</v>
      </c>
      <c r="D92" s="18">
        <v>7.7510337716659413E-3</v>
      </c>
      <c r="E92" s="18">
        <v>4.5724822775175117E-3</v>
      </c>
      <c r="F92" s="18">
        <v>7.8520477083391209E-3</v>
      </c>
      <c r="G92" s="18">
        <v>6.1489884699023516E-3</v>
      </c>
      <c r="H92" s="18">
        <v>5.1561474686140822E-3</v>
      </c>
      <c r="I92" s="18">
        <v>5.6260812460533216E-3</v>
      </c>
    </row>
    <row r="93" spans="1:9" x14ac:dyDescent="0.35">
      <c r="A93" s="14" t="s">
        <v>211</v>
      </c>
      <c r="B93" s="18">
        <v>3.017726272515721E-3</v>
      </c>
      <c r="C93" s="18">
        <v>0</v>
      </c>
      <c r="D93" s="18">
        <v>0</v>
      </c>
      <c r="E93" s="18">
        <v>3.8744952700385869E-3</v>
      </c>
      <c r="F93" s="18">
        <v>3.017726272515721E-3</v>
      </c>
      <c r="G93" s="18">
        <v>6.3946212481860946E-3</v>
      </c>
      <c r="H93" s="18">
        <v>7.7303350411878644E-3</v>
      </c>
      <c r="I93" s="18">
        <v>7.9910103855507127E-3</v>
      </c>
    </row>
    <row r="94" spans="1:9" x14ac:dyDescent="0.35">
      <c r="A94" s="14" t="s">
        <v>212</v>
      </c>
      <c r="B94" s="18">
        <v>1.2974303530116671E-2</v>
      </c>
      <c r="C94" s="20">
        <v>3.2535638768532667E-2</v>
      </c>
      <c r="D94" s="19">
        <v>2.8237545475298609E-2</v>
      </c>
      <c r="E94" s="18">
        <v>1.6657865266744499E-2</v>
      </c>
      <c r="F94" s="18">
        <v>1.2974303530116671E-2</v>
      </c>
      <c r="G94" s="18">
        <v>1.653575986555789E-2</v>
      </c>
      <c r="H94" s="25">
        <v>1.386582797963201E-2</v>
      </c>
      <c r="I94" s="23">
        <v>8.6914750754073181E-3</v>
      </c>
    </row>
    <row r="95" spans="1:9" x14ac:dyDescent="0.35">
      <c r="A95" s="14" t="s">
        <v>203</v>
      </c>
      <c r="B95" s="18">
        <v>0</v>
      </c>
      <c r="C95" s="18">
        <v>0</v>
      </c>
      <c r="D95" s="18">
        <v>0</v>
      </c>
      <c r="E95" s="18">
        <v>0</v>
      </c>
      <c r="F95" s="18">
        <v>0</v>
      </c>
      <c r="G95" s="18">
        <v>0</v>
      </c>
      <c r="H95" s="18">
        <v>0</v>
      </c>
      <c r="I95" s="18">
        <v>0</v>
      </c>
    </row>
    <row r="96" spans="1:9" x14ac:dyDescent="0.35">
      <c r="A96" s="14" t="s">
        <v>204</v>
      </c>
      <c r="B96" s="18">
        <v>1.6736711942752721E-2</v>
      </c>
      <c r="C96" s="18">
        <v>2.960670055982137E-2</v>
      </c>
      <c r="D96" s="19">
        <v>3.6426129810622952E-2</v>
      </c>
      <c r="E96" s="18">
        <v>2.1488466945722939E-2</v>
      </c>
      <c r="F96" s="18">
        <v>1.6736711942752721E-2</v>
      </c>
      <c r="G96" s="18">
        <v>1.31066255049324E-2</v>
      </c>
      <c r="H96" s="18">
        <v>1.335859144907457E-2</v>
      </c>
      <c r="I96" s="18">
        <v>8.675033826755529E-3</v>
      </c>
    </row>
    <row r="97" spans="1:9" x14ac:dyDescent="0.35">
      <c r="A97" s="14" t="s">
        <v>213</v>
      </c>
      <c r="B97" s="1">
        <v>6.0571390683682473</v>
      </c>
      <c r="C97" s="1">
        <v>-8.2251351430745547</v>
      </c>
      <c r="D97" s="1">
        <v>-4.3668918042323037</v>
      </c>
      <c r="E97" s="1">
        <v>4.9518507764775794</v>
      </c>
      <c r="F97" s="1">
        <v>6.0571390683682553</v>
      </c>
      <c r="G97" s="1">
        <v>8.6148019206357382</v>
      </c>
      <c r="H97" s="1">
        <v>10.9198031603021</v>
      </c>
      <c r="I97" s="1">
        <v>16.83435468960025</v>
      </c>
    </row>
    <row r="99" spans="1:9" x14ac:dyDescent="0.35">
      <c r="C99" s="187"/>
      <c r="D99" s="187"/>
      <c r="E99" s="187"/>
      <c r="F99" s="187"/>
      <c r="G99" s="170"/>
      <c r="H99" s="170"/>
      <c r="I99" s="170"/>
    </row>
    <row r="100" spans="1:9" ht="29" x14ac:dyDescent="0.35">
      <c r="A100" s="12" t="s">
        <v>498</v>
      </c>
      <c r="B100" s="13" t="s">
        <v>208</v>
      </c>
      <c r="C100" s="13" t="s">
        <v>458</v>
      </c>
      <c r="D100" s="13" t="s">
        <v>466</v>
      </c>
      <c r="E100" s="13" t="s">
        <v>467</v>
      </c>
      <c r="F100" s="13" t="s">
        <v>468</v>
      </c>
      <c r="G100" s="13" t="s">
        <v>636</v>
      </c>
      <c r="H100" s="13" t="s">
        <v>641</v>
      </c>
      <c r="I100" s="13" t="s">
        <v>647</v>
      </c>
    </row>
    <row r="101" spans="1:9" x14ac:dyDescent="0.35">
      <c r="A101" s="14" t="s">
        <v>209</v>
      </c>
      <c r="B101" s="15">
        <v>0</v>
      </c>
      <c r="C101" s="15">
        <v>0</v>
      </c>
      <c r="D101" s="15">
        <v>0</v>
      </c>
      <c r="E101" s="15">
        <v>0</v>
      </c>
      <c r="F101" s="15">
        <v>0</v>
      </c>
      <c r="G101" s="15">
        <v>0</v>
      </c>
      <c r="H101" s="15">
        <v>0</v>
      </c>
      <c r="I101" s="15">
        <v>0</v>
      </c>
    </row>
    <row r="102" spans="1:9" x14ac:dyDescent="0.35">
      <c r="A102" s="16" t="s">
        <v>336</v>
      </c>
      <c r="B102" s="17" t="s">
        <v>214</v>
      </c>
      <c r="C102" s="168" t="s">
        <v>214</v>
      </c>
      <c r="D102" s="168" t="s">
        <v>214</v>
      </c>
      <c r="E102" s="168" t="s">
        <v>214</v>
      </c>
      <c r="F102" s="168" t="s">
        <v>214</v>
      </c>
      <c r="G102" s="168" t="s">
        <v>214</v>
      </c>
      <c r="H102" s="168" t="s">
        <v>214</v>
      </c>
      <c r="I102" s="168" t="s">
        <v>214</v>
      </c>
    </row>
    <row r="103" spans="1:9" x14ac:dyDescent="0.35">
      <c r="A103" s="16" t="s">
        <v>194</v>
      </c>
      <c r="B103" s="17" t="s">
        <v>214</v>
      </c>
      <c r="C103" s="168" t="s">
        <v>214</v>
      </c>
      <c r="D103" s="168" t="s">
        <v>214</v>
      </c>
      <c r="E103" s="168" t="s">
        <v>214</v>
      </c>
      <c r="F103" s="168" t="s">
        <v>214</v>
      </c>
      <c r="G103" s="168" t="s">
        <v>214</v>
      </c>
      <c r="H103" s="168" t="s">
        <v>214</v>
      </c>
      <c r="I103" s="168" t="s">
        <v>214</v>
      </c>
    </row>
    <row r="104" spans="1:9" x14ac:dyDescent="0.35">
      <c r="A104" s="16" t="s">
        <v>195</v>
      </c>
      <c r="B104" s="17" t="s">
        <v>214</v>
      </c>
      <c r="C104" s="168" t="s">
        <v>214</v>
      </c>
      <c r="D104" s="168" t="s">
        <v>214</v>
      </c>
      <c r="E104" s="168" t="s">
        <v>214</v>
      </c>
      <c r="F104" s="168" t="s">
        <v>214</v>
      </c>
      <c r="G104" s="168" t="s">
        <v>214</v>
      </c>
      <c r="H104" s="168" t="s">
        <v>214</v>
      </c>
      <c r="I104" s="168" t="s">
        <v>214</v>
      </c>
    </row>
    <row r="105" spans="1:9" x14ac:dyDescent="0.35">
      <c r="A105" s="14" t="s">
        <v>210</v>
      </c>
      <c r="B105" s="18" t="s">
        <v>214</v>
      </c>
      <c r="C105" s="18" t="s">
        <v>214</v>
      </c>
      <c r="D105" s="18" t="s">
        <v>214</v>
      </c>
      <c r="E105" s="18" t="s">
        <v>214</v>
      </c>
      <c r="F105" s="18" t="s">
        <v>214</v>
      </c>
      <c r="G105" s="18" t="s">
        <v>214</v>
      </c>
      <c r="H105" s="18" t="s">
        <v>214</v>
      </c>
      <c r="I105" s="18" t="s">
        <v>214</v>
      </c>
    </row>
    <row r="106" spans="1:9" x14ac:dyDescent="0.35">
      <c r="A106" s="14" t="s">
        <v>197</v>
      </c>
      <c r="B106" s="18" t="s">
        <v>214</v>
      </c>
      <c r="C106" s="18" t="s">
        <v>214</v>
      </c>
      <c r="D106" s="18" t="s">
        <v>214</v>
      </c>
      <c r="E106" s="18" t="s">
        <v>214</v>
      </c>
      <c r="F106" s="18" t="s">
        <v>214</v>
      </c>
      <c r="G106" s="18" t="s">
        <v>214</v>
      </c>
      <c r="H106" s="18" t="s">
        <v>214</v>
      </c>
      <c r="I106" s="18" t="s">
        <v>214</v>
      </c>
    </row>
    <row r="107" spans="1:9" x14ac:dyDescent="0.35">
      <c r="A107" s="14" t="s">
        <v>198</v>
      </c>
      <c r="B107" s="18" t="s">
        <v>214</v>
      </c>
      <c r="C107" s="18" t="s">
        <v>214</v>
      </c>
      <c r="D107" s="18" t="s">
        <v>214</v>
      </c>
      <c r="E107" s="18" t="s">
        <v>214</v>
      </c>
      <c r="F107" s="18" t="s">
        <v>214</v>
      </c>
      <c r="G107" s="18" t="s">
        <v>214</v>
      </c>
      <c r="H107" s="18" t="s">
        <v>214</v>
      </c>
      <c r="I107" s="18" t="s">
        <v>214</v>
      </c>
    </row>
    <row r="108" spans="1:9" x14ac:dyDescent="0.35">
      <c r="A108" s="14" t="s">
        <v>199</v>
      </c>
      <c r="B108" s="18" t="s">
        <v>214</v>
      </c>
      <c r="C108" s="18" t="s">
        <v>214</v>
      </c>
      <c r="D108" s="18" t="s">
        <v>214</v>
      </c>
      <c r="E108" s="18" t="s">
        <v>214</v>
      </c>
      <c r="F108" s="18" t="s">
        <v>214</v>
      </c>
      <c r="G108" s="18" t="s">
        <v>214</v>
      </c>
      <c r="H108" s="18" t="s">
        <v>214</v>
      </c>
      <c r="I108" s="18" t="s">
        <v>214</v>
      </c>
    </row>
    <row r="109" spans="1:9" x14ac:dyDescent="0.35">
      <c r="A109" s="14" t="s">
        <v>200</v>
      </c>
      <c r="B109" s="18" t="s">
        <v>214</v>
      </c>
      <c r="C109" s="18" t="s">
        <v>214</v>
      </c>
      <c r="D109" s="18" t="s">
        <v>214</v>
      </c>
      <c r="E109" s="18" t="s">
        <v>214</v>
      </c>
      <c r="F109" s="18" t="s">
        <v>214</v>
      </c>
      <c r="G109" s="18" t="s">
        <v>214</v>
      </c>
      <c r="H109" s="18" t="s">
        <v>214</v>
      </c>
      <c r="I109" s="18" t="s">
        <v>214</v>
      </c>
    </row>
    <row r="110" spans="1:9" x14ac:dyDescent="0.35">
      <c r="A110" s="14" t="s">
        <v>201</v>
      </c>
      <c r="B110" s="18" t="s">
        <v>214</v>
      </c>
      <c r="C110" s="18" t="s">
        <v>214</v>
      </c>
      <c r="D110" s="18" t="s">
        <v>214</v>
      </c>
      <c r="E110" s="18" t="s">
        <v>214</v>
      </c>
      <c r="F110" s="18" t="s">
        <v>214</v>
      </c>
      <c r="G110" s="18" t="s">
        <v>214</v>
      </c>
      <c r="H110" s="18" t="s">
        <v>214</v>
      </c>
      <c r="I110" s="18" t="s">
        <v>214</v>
      </c>
    </row>
    <row r="111" spans="1:9" x14ac:dyDescent="0.35">
      <c r="A111" s="14" t="s">
        <v>202</v>
      </c>
      <c r="B111" s="18" t="s">
        <v>214</v>
      </c>
      <c r="C111" s="18" t="s">
        <v>214</v>
      </c>
      <c r="D111" s="18" t="s">
        <v>214</v>
      </c>
      <c r="E111" s="18" t="s">
        <v>214</v>
      </c>
      <c r="F111" s="18" t="s">
        <v>214</v>
      </c>
      <c r="G111" s="18" t="s">
        <v>214</v>
      </c>
      <c r="H111" s="18" t="s">
        <v>214</v>
      </c>
      <c r="I111" s="18" t="s">
        <v>214</v>
      </c>
    </row>
    <row r="112" spans="1:9" x14ac:dyDescent="0.35">
      <c r="A112" s="14" t="s">
        <v>211</v>
      </c>
      <c r="B112" s="18" t="s">
        <v>214</v>
      </c>
      <c r="C112" s="18" t="s">
        <v>214</v>
      </c>
      <c r="D112" s="18" t="s">
        <v>214</v>
      </c>
      <c r="E112" s="18" t="s">
        <v>214</v>
      </c>
      <c r="F112" s="18" t="s">
        <v>214</v>
      </c>
      <c r="G112" s="18" t="s">
        <v>214</v>
      </c>
      <c r="H112" s="18" t="s">
        <v>214</v>
      </c>
      <c r="I112" s="18" t="s">
        <v>214</v>
      </c>
    </row>
    <row r="113" spans="1:9" x14ac:dyDescent="0.35">
      <c r="A113" s="14" t="s">
        <v>212</v>
      </c>
      <c r="B113" s="18" t="s">
        <v>214</v>
      </c>
      <c r="C113" s="18" t="s">
        <v>214</v>
      </c>
      <c r="D113" s="18" t="s">
        <v>214</v>
      </c>
      <c r="E113" s="18" t="s">
        <v>214</v>
      </c>
      <c r="F113" s="18" t="s">
        <v>214</v>
      </c>
      <c r="G113" s="18" t="s">
        <v>214</v>
      </c>
      <c r="H113" s="18" t="s">
        <v>214</v>
      </c>
      <c r="I113" s="18" t="s">
        <v>214</v>
      </c>
    </row>
    <row r="114" spans="1:9" x14ac:dyDescent="0.35">
      <c r="A114" s="14" t="s">
        <v>203</v>
      </c>
      <c r="B114" s="18" t="s">
        <v>214</v>
      </c>
      <c r="C114" s="18" t="s">
        <v>214</v>
      </c>
      <c r="D114" s="18" t="s">
        <v>214</v>
      </c>
      <c r="E114" s="18" t="s">
        <v>214</v>
      </c>
      <c r="F114" s="18" t="s">
        <v>214</v>
      </c>
      <c r="G114" s="18" t="s">
        <v>214</v>
      </c>
      <c r="H114" s="18" t="s">
        <v>214</v>
      </c>
      <c r="I114" s="18" t="s">
        <v>214</v>
      </c>
    </row>
    <row r="115" spans="1:9" x14ac:dyDescent="0.35">
      <c r="A115" s="14" t="s">
        <v>204</v>
      </c>
      <c r="B115" s="18" t="s">
        <v>214</v>
      </c>
      <c r="C115" s="18" t="s">
        <v>214</v>
      </c>
      <c r="D115" s="18" t="s">
        <v>214</v>
      </c>
      <c r="E115" s="18" t="s">
        <v>214</v>
      </c>
      <c r="F115" s="18" t="s">
        <v>214</v>
      </c>
      <c r="G115" s="18" t="s">
        <v>214</v>
      </c>
      <c r="H115" s="18" t="s">
        <v>214</v>
      </c>
      <c r="I115" s="18" t="s">
        <v>214</v>
      </c>
    </row>
    <row r="117" spans="1:9" x14ac:dyDescent="0.35">
      <c r="C117" s="187"/>
      <c r="D117" s="187"/>
      <c r="E117" s="187"/>
      <c r="F117" s="187"/>
      <c r="G117" s="170"/>
      <c r="H117" s="170"/>
      <c r="I117" s="170"/>
    </row>
    <row r="118" spans="1:9" ht="29" x14ac:dyDescent="0.35">
      <c r="A118" s="12" t="s">
        <v>478</v>
      </c>
      <c r="B118" s="13" t="s">
        <v>208</v>
      </c>
      <c r="C118" s="13" t="s">
        <v>458</v>
      </c>
      <c r="D118" s="13" t="s">
        <v>466</v>
      </c>
      <c r="E118" s="13" t="s">
        <v>467</v>
      </c>
      <c r="F118" s="13" t="s">
        <v>468</v>
      </c>
      <c r="G118" s="13" t="s">
        <v>636</v>
      </c>
      <c r="H118" s="13" t="s">
        <v>641</v>
      </c>
      <c r="I118" s="13" t="s">
        <v>647</v>
      </c>
    </row>
    <row r="119" spans="1:9" x14ac:dyDescent="0.35">
      <c r="A119" s="14" t="s">
        <v>209</v>
      </c>
      <c r="B119" s="15">
        <v>0</v>
      </c>
      <c r="C119" s="15">
        <v>0</v>
      </c>
      <c r="D119" s="15">
        <v>0</v>
      </c>
      <c r="E119" s="15">
        <v>0</v>
      </c>
      <c r="F119" s="15">
        <v>0</v>
      </c>
      <c r="G119" s="15">
        <v>0</v>
      </c>
      <c r="H119" s="15">
        <v>0</v>
      </c>
      <c r="I119" s="15">
        <v>0</v>
      </c>
    </row>
    <row r="120" spans="1:9" x14ac:dyDescent="0.35">
      <c r="A120" s="16" t="s">
        <v>336</v>
      </c>
      <c r="B120" s="17" t="s">
        <v>214</v>
      </c>
      <c r="C120" s="168" t="s">
        <v>214</v>
      </c>
      <c r="D120" s="168" t="s">
        <v>214</v>
      </c>
      <c r="E120" s="168" t="s">
        <v>214</v>
      </c>
      <c r="F120" s="168" t="s">
        <v>214</v>
      </c>
      <c r="G120" s="168" t="s">
        <v>214</v>
      </c>
      <c r="H120" s="168" t="s">
        <v>214</v>
      </c>
      <c r="I120" s="168" t="s">
        <v>214</v>
      </c>
    </row>
    <row r="121" spans="1:9" x14ac:dyDescent="0.35">
      <c r="A121" s="16" t="s">
        <v>194</v>
      </c>
      <c r="B121" s="17" t="s">
        <v>214</v>
      </c>
      <c r="C121" s="168" t="s">
        <v>214</v>
      </c>
      <c r="D121" s="168" t="s">
        <v>214</v>
      </c>
      <c r="E121" s="168" t="s">
        <v>214</v>
      </c>
      <c r="F121" s="168" t="s">
        <v>214</v>
      </c>
      <c r="G121" s="168" t="s">
        <v>214</v>
      </c>
      <c r="H121" s="168" t="s">
        <v>214</v>
      </c>
      <c r="I121" s="168" t="s">
        <v>214</v>
      </c>
    </row>
    <row r="122" spans="1:9" x14ac:dyDescent="0.35">
      <c r="A122" s="16" t="s">
        <v>195</v>
      </c>
      <c r="B122" s="17" t="s">
        <v>214</v>
      </c>
      <c r="C122" s="168" t="s">
        <v>214</v>
      </c>
      <c r="D122" s="168" t="s">
        <v>214</v>
      </c>
      <c r="E122" s="168" t="s">
        <v>214</v>
      </c>
      <c r="F122" s="168" t="s">
        <v>214</v>
      </c>
      <c r="G122" s="168" t="s">
        <v>214</v>
      </c>
      <c r="H122" s="168" t="s">
        <v>214</v>
      </c>
      <c r="I122" s="168" t="s">
        <v>214</v>
      </c>
    </row>
    <row r="123" spans="1:9" x14ac:dyDescent="0.35">
      <c r="A123" s="14" t="s">
        <v>210</v>
      </c>
      <c r="B123" s="18" t="s">
        <v>214</v>
      </c>
      <c r="C123" s="18" t="s">
        <v>214</v>
      </c>
      <c r="D123" s="18" t="s">
        <v>214</v>
      </c>
      <c r="E123" s="18" t="s">
        <v>214</v>
      </c>
      <c r="F123" s="18" t="s">
        <v>214</v>
      </c>
      <c r="G123" s="18" t="s">
        <v>214</v>
      </c>
      <c r="H123" s="18" t="s">
        <v>214</v>
      </c>
      <c r="I123" s="18" t="s">
        <v>214</v>
      </c>
    </row>
    <row r="124" spans="1:9" x14ac:dyDescent="0.35">
      <c r="A124" s="14" t="s">
        <v>197</v>
      </c>
      <c r="B124" s="18" t="s">
        <v>214</v>
      </c>
      <c r="C124" s="18" t="s">
        <v>214</v>
      </c>
      <c r="D124" s="18" t="s">
        <v>214</v>
      </c>
      <c r="E124" s="18" t="s">
        <v>214</v>
      </c>
      <c r="F124" s="18" t="s">
        <v>214</v>
      </c>
      <c r="G124" s="18" t="s">
        <v>214</v>
      </c>
      <c r="H124" s="18" t="s">
        <v>214</v>
      </c>
      <c r="I124" s="18" t="s">
        <v>214</v>
      </c>
    </row>
    <row r="125" spans="1:9" x14ac:dyDescent="0.35">
      <c r="A125" s="14" t="s">
        <v>198</v>
      </c>
      <c r="B125" s="18" t="s">
        <v>214</v>
      </c>
      <c r="C125" s="18" t="s">
        <v>214</v>
      </c>
      <c r="D125" s="18" t="s">
        <v>214</v>
      </c>
      <c r="E125" s="18" t="s">
        <v>214</v>
      </c>
      <c r="F125" s="18" t="s">
        <v>214</v>
      </c>
      <c r="G125" s="18" t="s">
        <v>214</v>
      </c>
      <c r="H125" s="18" t="s">
        <v>214</v>
      </c>
      <c r="I125" s="18" t="s">
        <v>214</v>
      </c>
    </row>
    <row r="126" spans="1:9" x14ac:dyDescent="0.35">
      <c r="A126" s="14" t="s">
        <v>199</v>
      </c>
      <c r="B126" s="18" t="s">
        <v>214</v>
      </c>
      <c r="C126" s="18" t="s">
        <v>214</v>
      </c>
      <c r="D126" s="18" t="s">
        <v>214</v>
      </c>
      <c r="E126" s="18" t="s">
        <v>214</v>
      </c>
      <c r="F126" s="18" t="s">
        <v>214</v>
      </c>
      <c r="G126" s="18" t="s">
        <v>214</v>
      </c>
      <c r="H126" s="18" t="s">
        <v>214</v>
      </c>
      <c r="I126" s="18" t="s">
        <v>214</v>
      </c>
    </row>
    <row r="127" spans="1:9" x14ac:dyDescent="0.35">
      <c r="A127" s="14" t="s">
        <v>200</v>
      </c>
      <c r="B127" s="18" t="s">
        <v>214</v>
      </c>
      <c r="C127" s="18" t="s">
        <v>214</v>
      </c>
      <c r="D127" s="18" t="s">
        <v>214</v>
      </c>
      <c r="E127" s="18" t="s">
        <v>214</v>
      </c>
      <c r="F127" s="18" t="s">
        <v>214</v>
      </c>
      <c r="G127" s="18" t="s">
        <v>214</v>
      </c>
      <c r="H127" s="18" t="s">
        <v>214</v>
      </c>
      <c r="I127" s="18" t="s">
        <v>214</v>
      </c>
    </row>
    <row r="128" spans="1:9" x14ac:dyDescent="0.35">
      <c r="A128" s="14" t="s">
        <v>201</v>
      </c>
      <c r="B128" s="18" t="s">
        <v>214</v>
      </c>
      <c r="C128" s="18" t="s">
        <v>214</v>
      </c>
      <c r="D128" s="18" t="s">
        <v>214</v>
      </c>
      <c r="E128" s="18" t="s">
        <v>214</v>
      </c>
      <c r="F128" s="18" t="s">
        <v>214</v>
      </c>
      <c r="G128" s="18" t="s">
        <v>214</v>
      </c>
      <c r="H128" s="18" t="s">
        <v>214</v>
      </c>
      <c r="I128" s="18" t="s">
        <v>214</v>
      </c>
    </row>
    <row r="129" spans="1:9" x14ac:dyDescent="0.35">
      <c r="A129" s="14" t="s">
        <v>202</v>
      </c>
      <c r="B129" s="18" t="s">
        <v>214</v>
      </c>
      <c r="C129" s="18" t="s">
        <v>214</v>
      </c>
      <c r="D129" s="18" t="s">
        <v>214</v>
      </c>
      <c r="E129" s="18" t="s">
        <v>214</v>
      </c>
      <c r="F129" s="18" t="s">
        <v>214</v>
      </c>
      <c r="G129" s="18" t="s">
        <v>214</v>
      </c>
      <c r="H129" s="18" t="s">
        <v>214</v>
      </c>
      <c r="I129" s="18" t="s">
        <v>214</v>
      </c>
    </row>
    <row r="130" spans="1:9" x14ac:dyDescent="0.35">
      <c r="A130" s="14" t="s">
        <v>211</v>
      </c>
      <c r="B130" s="18" t="s">
        <v>214</v>
      </c>
      <c r="C130" s="18" t="s">
        <v>214</v>
      </c>
      <c r="D130" s="18" t="s">
        <v>214</v>
      </c>
      <c r="E130" s="18" t="s">
        <v>214</v>
      </c>
      <c r="F130" s="18" t="s">
        <v>214</v>
      </c>
      <c r="G130" s="18" t="s">
        <v>214</v>
      </c>
      <c r="H130" s="18" t="s">
        <v>214</v>
      </c>
      <c r="I130" s="18" t="s">
        <v>214</v>
      </c>
    </row>
    <row r="131" spans="1:9" x14ac:dyDescent="0.35">
      <c r="A131" s="14" t="s">
        <v>212</v>
      </c>
      <c r="B131" s="18" t="s">
        <v>214</v>
      </c>
      <c r="C131" s="18" t="s">
        <v>214</v>
      </c>
      <c r="D131" s="18" t="s">
        <v>214</v>
      </c>
      <c r="E131" s="18" t="s">
        <v>214</v>
      </c>
      <c r="F131" s="18" t="s">
        <v>214</v>
      </c>
      <c r="G131" s="18" t="s">
        <v>214</v>
      </c>
      <c r="H131" s="18" t="s">
        <v>214</v>
      </c>
      <c r="I131" s="18" t="s">
        <v>214</v>
      </c>
    </row>
    <row r="132" spans="1:9" x14ac:dyDescent="0.35">
      <c r="A132" s="14" t="s">
        <v>203</v>
      </c>
      <c r="B132" s="18" t="s">
        <v>214</v>
      </c>
      <c r="C132" s="18" t="s">
        <v>214</v>
      </c>
      <c r="D132" s="18" t="s">
        <v>214</v>
      </c>
      <c r="E132" s="18" t="s">
        <v>214</v>
      </c>
      <c r="F132" s="18" t="s">
        <v>214</v>
      </c>
      <c r="G132" s="18" t="s">
        <v>214</v>
      </c>
      <c r="H132" s="18" t="s">
        <v>214</v>
      </c>
      <c r="I132" s="18" t="s">
        <v>214</v>
      </c>
    </row>
    <row r="133" spans="1:9" x14ac:dyDescent="0.35">
      <c r="A133" s="14" t="s">
        <v>204</v>
      </c>
      <c r="B133" s="18" t="s">
        <v>214</v>
      </c>
      <c r="C133" s="18" t="s">
        <v>214</v>
      </c>
      <c r="D133" s="18" t="s">
        <v>214</v>
      </c>
      <c r="E133" s="18" t="s">
        <v>214</v>
      </c>
      <c r="F133" s="18" t="s">
        <v>214</v>
      </c>
      <c r="G133" s="18" t="s">
        <v>214</v>
      </c>
      <c r="H133" s="18" t="s">
        <v>214</v>
      </c>
      <c r="I133" s="18" t="s">
        <v>214</v>
      </c>
    </row>
    <row r="135" spans="1:9" x14ac:dyDescent="0.35">
      <c r="C135" s="187"/>
      <c r="D135" s="187"/>
      <c r="E135" s="187"/>
      <c r="F135" s="187"/>
      <c r="G135" s="170"/>
      <c r="H135" s="170"/>
      <c r="I135" s="170"/>
    </row>
    <row r="136" spans="1:9" ht="29" x14ac:dyDescent="0.35">
      <c r="A136" s="12" t="s">
        <v>499</v>
      </c>
      <c r="B136" s="13" t="s">
        <v>208</v>
      </c>
      <c r="C136" s="13" t="s">
        <v>458</v>
      </c>
      <c r="D136" s="13" t="s">
        <v>466</v>
      </c>
      <c r="E136" s="13" t="s">
        <v>467</v>
      </c>
      <c r="F136" s="13" t="s">
        <v>468</v>
      </c>
      <c r="G136" s="13" t="s">
        <v>636</v>
      </c>
      <c r="H136" s="13" t="s">
        <v>641</v>
      </c>
      <c r="I136" s="13" t="s">
        <v>647</v>
      </c>
    </row>
    <row r="137" spans="1:9" x14ac:dyDescent="0.35">
      <c r="A137" s="14" t="s">
        <v>209</v>
      </c>
      <c r="B137" s="15">
        <v>45</v>
      </c>
      <c r="C137" s="15">
        <v>10</v>
      </c>
      <c r="D137" s="15">
        <v>19</v>
      </c>
      <c r="E137" s="15">
        <v>29</v>
      </c>
      <c r="F137" s="15">
        <v>45</v>
      </c>
      <c r="G137" s="15">
        <v>55</v>
      </c>
      <c r="H137" s="15">
        <v>64</v>
      </c>
      <c r="I137" s="15">
        <v>67</v>
      </c>
    </row>
    <row r="138" spans="1:9" x14ac:dyDescent="0.35">
      <c r="A138" s="16" t="s">
        <v>336</v>
      </c>
      <c r="B138" s="17">
        <v>0.3480293771737108</v>
      </c>
      <c r="C138" s="17">
        <v>0.36433321832613852</v>
      </c>
      <c r="D138" s="17">
        <v>0.34252044845028101</v>
      </c>
      <c r="E138" s="17">
        <v>0.38797803713852269</v>
      </c>
      <c r="F138" s="17">
        <v>0.3480293771737108</v>
      </c>
      <c r="G138" s="17">
        <v>0.3718411997668869</v>
      </c>
      <c r="H138" s="17">
        <v>0.39908900557124077</v>
      </c>
      <c r="I138" s="17">
        <v>0.39949146936912328</v>
      </c>
    </row>
    <row r="139" spans="1:9" x14ac:dyDescent="0.35">
      <c r="A139" s="16" t="s">
        <v>194</v>
      </c>
      <c r="B139" s="17">
        <v>0.50321347630174795</v>
      </c>
      <c r="C139" s="17">
        <v>0.32775259056132389</v>
      </c>
      <c r="D139" s="17">
        <v>0.44221039735147311</v>
      </c>
      <c r="E139" s="17">
        <v>0.44490280193745069</v>
      </c>
      <c r="F139" s="152">
        <v>0.50321347630174795</v>
      </c>
      <c r="G139" s="17">
        <v>0.48662696736711958</v>
      </c>
      <c r="H139" s="17">
        <v>0.44854740499187867</v>
      </c>
      <c r="I139" s="17">
        <v>0.45738550729567717</v>
      </c>
    </row>
    <row r="140" spans="1:9" x14ac:dyDescent="0.35">
      <c r="A140" s="16" t="s">
        <v>195</v>
      </c>
      <c r="B140" s="17">
        <v>0.14875714652454131</v>
      </c>
      <c r="C140" s="17">
        <v>0.30791419111253748</v>
      </c>
      <c r="D140" s="17">
        <v>0.21526915419824591</v>
      </c>
      <c r="E140" s="17">
        <v>0.16711916092402659</v>
      </c>
      <c r="F140" s="152">
        <v>0.14875714652454131</v>
      </c>
      <c r="G140" s="17">
        <v>0.1415318328659935</v>
      </c>
      <c r="H140" s="17">
        <v>0.15236358943688061</v>
      </c>
      <c r="I140" s="17">
        <v>0.14312302333519941</v>
      </c>
    </row>
    <row r="141" spans="1:9" x14ac:dyDescent="0.35">
      <c r="A141" s="14" t="s">
        <v>210</v>
      </c>
      <c r="B141" s="18">
        <v>0.14324718074901149</v>
      </c>
      <c r="C141" s="18">
        <v>0.18963897782028061</v>
      </c>
      <c r="D141" s="18">
        <v>9.7643192747621635E-2</v>
      </c>
      <c r="E141" s="18">
        <v>0.1452928162978126</v>
      </c>
      <c r="F141" s="18">
        <v>0.14324718074901149</v>
      </c>
      <c r="G141" s="18">
        <v>0.15488705234683811</v>
      </c>
      <c r="H141" s="18">
        <v>0.15037039891821061</v>
      </c>
      <c r="I141" s="18">
        <v>0.15878404528298659</v>
      </c>
    </row>
    <row r="142" spans="1:9" x14ac:dyDescent="0.35">
      <c r="A142" s="14" t="s">
        <v>197</v>
      </c>
      <c r="B142" s="18">
        <v>0.2047821964246993</v>
      </c>
      <c r="C142" s="18">
        <v>0.1746942405058578</v>
      </c>
      <c r="D142" s="18">
        <v>0.24487725570265939</v>
      </c>
      <c r="E142" s="18">
        <v>0.24268522084071009</v>
      </c>
      <c r="F142" s="18">
        <v>0.2047821964246993</v>
      </c>
      <c r="G142" s="18">
        <v>0.21695414742004879</v>
      </c>
      <c r="H142" s="18">
        <v>0.24871860665303019</v>
      </c>
      <c r="I142" s="18">
        <v>0.24070742408613671</v>
      </c>
    </row>
    <row r="143" spans="1:9" x14ac:dyDescent="0.35">
      <c r="A143" s="14" t="s">
        <v>198</v>
      </c>
      <c r="B143" s="18">
        <v>0.31523415254567411</v>
      </c>
      <c r="C143" s="21">
        <v>0</v>
      </c>
      <c r="D143" s="18">
        <v>0.2734539015004962</v>
      </c>
      <c r="E143" s="18">
        <v>0.28512345624150759</v>
      </c>
      <c r="F143" s="18">
        <v>0.31523415254567411</v>
      </c>
      <c r="G143" s="18">
        <v>0.31307331782805758</v>
      </c>
      <c r="H143" s="18">
        <v>0.29926758955582261</v>
      </c>
      <c r="I143" s="19">
        <v>0.34856967593714172</v>
      </c>
    </row>
    <row r="144" spans="1:9" x14ac:dyDescent="0.35">
      <c r="A144" s="14" t="s">
        <v>199</v>
      </c>
      <c r="B144" s="18">
        <v>0.1879793237560739</v>
      </c>
      <c r="C144" s="18">
        <v>0.32775259056132389</v>
      </c>
      <c r="D144" s="18">
        <v>0.1687564958509768</v>
      </c>
      <c r="E144" s="18">
        <v>0.1597793456959431</v>
      </c>
      <c r="F144" s="18">
        <v>0.1879793237560739</v>
      </c>
      <c r="G144" s="18">
        <v>0.17355364953906199</v>
      </c>
      <c r="H144" s="18">
        <v>0.14927981543605609</v>
      </c>
      <c r="I144" s="23">
        <v>0.10881583135853549</v>
      </c>
    </row>
    <row r="145" spans="1:9" x14ac:dyDescent="0.35">
      <c r="A145" s="14" t="s">
        <v>200</v>
      </c>
      <c r="B145" s="18">
        <v>4.8688733387467723E-2</v>
      </c>
      <c r="C145" s="22">
        <v>0.21743283509509501</v>
      </c>
      <c r="D145" s="20">
        <v>0.11195396890913691</v>
      </c>
      <c r="E145" s="18">
        <v>7.2968673253474933E-2</v>
      </c>
      <c r="F145" s="18">
        <v>4.8688733387467723E-2</v>
      </c>
      <c r="G145" s="18">
        <v>5.8508844389893983E-2</v>
      </c>
      <c r="H145" s="18">
        <v>6.7717495684420176E-2</v>
      </c>
      <c r="I145" s="21">
        <v>4.5873629294004098E-2</v>
      </c>
    </row>
    <row r="146" spans="1:9" x14ac:dyDescent="0.35">
      <c r="A146" s="14" t="s">
        <v>201</v>
      </c>
      <c r="B146" s="18">
        <v>4.2856156355217549E-2</v>
      </c>
      <c r="C146" s="18">
        <v>0</v>
      </c>
      <c r="D146" s="18">
        <v>5.6727249690499783E-2</v>
      </c>
      <c r="E146" s="18">
        <v>3.6973339914316762E-2</v>
      </c>
      <c r="F146" s="18">
        <v>4.2856156355217549E-2</v>
      </c>
      <c r="G146" s="18">
        <v>3.5556136683564062E-2</v>
      </c>
      <c r="H146" s="18">
        <v>3.058312824788503E-2</v>
      </c>
      <c r="I146" s="18">
        <v>5.9217619157384778E-2</v>
      </c>
    </row>
    <row r="147" spans="1:9" x14ac:dyDescent="0.35">
      <c r="A147" s="14" t="s">
        <v>202</v>
      </c>
      <c r="B147" s="18">
        <v>0</v>
      </c>
      <c r="C147" s="18">
        <v>0</v>
      </c>
      <c r="D147" s="18">
        <v>0</v>
      </c>
      <c r="E147" s="18">
        <v>0</v>
      </c>
      <c r="F147" s="18">
        <v>0</v>
      </c>
      <c r="G147" s="18">
        <v>0</v>
      </c>
      <c r="H147" s="18">
        <v>0</v>
      </c>
      <c r="I147" s="18">
        <v>0</v>
      </c>
    </row>
    <row r="148" spans="1:9" x14ac:dyDescent="0.35">
      <c r="A148" s="14" t="s">
        <v>211</v>
      </c>
      <c r="B148" s="18">
        <v>1.906050235309377E-2</v>
      </c>
      <c r="C148" s="18">
        <v>0</v>
      </c>
      <c r="D148" s="18">
        <v>0</v>
      </c>
      <c r="E148" s="18">
        <v>0</v>
      </c>
      <c r="F148" s="18">
        <v>1.906050235309377E-2</v>
      </c>
      <c r="G148" s="18">
        <v>1.581377996912892E-2</v>
      </c>
      <c r="H148" s="18">
        <v>1.360200814795683E-2</v>
      </c>
      <c r="I148" s="18">
        <v>1.306196004829268E-2</v>
      </c>
    </row>
    <row r="149" spans="1:9" x14ac:dyDescent="0.35">
      <c r="A149" s="14" t="s">
        <v>212</v>
      </c>
      <c r="B149" s="18">
        <v>0</v>
      </c>
      <c r="C149" s="18">
        <v>0</v>
      </c>
      <c r="D149" s="18">
        <v>0</v>
      </c>
      <c r="E149" s="18">
        <v>0</v>
      </c>
      <c r="F149" s="18">
        <v>0</v>
      </c>
      <c r="G149" s="18">
        <v>0</v>
      </c>
      <c r="H149" s="18">
        <v>0</v>
      </c>
      <c r="I149" s="18">
        <v>0</v>
      </c>
    </row>
    <row r="150" spans="1:9" x14ac:dyDescent="0.35">
      <c r="A150" s="14" t="s">
        <v>203</v>
      </c>
      <c r="B150" s="18">
        <v>0</v>
      </c>
      <c r="C150" s="18">
        <v>0</v>
      </c>
      <c r="D150" s="18">
        <v>0</v>
      </c>
      <c r="E150" s="18">
        <v>0</v>
      </c>
      <c r="F150" s="18">
        <v>0</v>
      </c>
      <c r="G150" s="18">
        <v>0</v>
      </c>
      <c r="H150" s="18">
        <v>0</v>
      </c>
      <c r="I150" s="18">
        <v>0</v>
      </c>
    </row>
    <row r="151" spans="1:9" x14ac:dyDescent="0.35">
      <c r="A151" s="14" t="s">
        <v>204</v>
      </c>
      <c r="B151" s="18">
        <v>3.8151754428762293E-2</v>
      </c>
      <c r="C151" s="18">
        <v>9.0481356017442602E-2</v>
      </c>
      <c r="D151" s="18">
        <v>4.6587935598609263E-2</v>
      </c>
      <c r="E151" s="18">
        <v>5.7177147756234947E-2</v>
      </c>
      <c r="F151" s="18">
        <v>3.8151754428762293E-2</v>
      </c>
      <c r="G151" s="18">
        <v>3.1653071823406563E-2</v>
      </c>
      <c r="H151" s="18">
        <v>4.0460957356618532E-2</v>
      </c>
      <c r="I151" s="18">
        <v>2.496981483551787E-2</v>
      </c>
    </row>
    <row r="152" spans="1:9" x14ac:dyDescent="0.35">
      <c r="A152" s="14" t="s">
        <v>213</v>
      </c>
      <c r="B152" s="1">
        <v>19.927223064916941</v>
      </c>
      <c r="C152" s="1">
        <v>5.6419027213600872</v>
      </c>
      <c r="D152" s="1">
        <v>12.725129425203511</v>
      </c>
      <c r="E152" s="1">
        <v>22.085887621449611</v>
      </c>
      <c r="F152" s="1">
        <v>19.927223064916941</v>
      </c>
      <c r="G152" s="1">
        <v>23.03093669008933</v>
      </c>
      <c r="H152" s="1">
        <v>24.672541613436021</v>
      </c>
      <c r="I152" s="1">
        <v>25.63684460339239</v>
      </c>
    </row>
    <row r="154" spans="1:9" x14ac:dyDescent="0.35">
      <c r="C154" s="187"/>
      <c r="D154" s="187"/>
      <c r="E154" s="187"/>
      <c r="F154" s="187"/>
      <c r="G154" s="170"/>
      <c r="H154" s="170"/>
      <c r="I154" s="170"/>
    </row>
    <row r="155" spans="1:9" ht="29" x14ac:dyDescent="0.35">
      <c r="A155" s="12" t="s">
        <v>486</v>
      </c>
      <c r="B155" s="13" t="s">
        <v>208</v>
      </c>
      <c r="C155" s="13" t="s">
        <v>458</v>
      </c>
      <c r="D155" s="13" t="s">
        <v>466</v>
      </c>
      <c r="E155" s="13" t="s">
        <v>467</v>
      </c>
      <c r="F155" s="13" t="s">
        <v>468</v>
      </c>
      <c r="G155" s="13" t="s">
        <v>636</v>
      </c>
      <c r="H155" s="13" t="s">
        <v>641</v>
      </c>
      <c r="I155" s="13" t="s">
        <v>647</v>
      </c>
    </row>
    <row r="156" spans="1:9" x14ac:dyDescent="0.35">
      <c r="A156" s="14" t="s">
        <v>209</v>
      </c>
      <c r="B156" s="15">
        <v>0</v>
      </c>
      <c r="C156" s="15">
        <v>0</v>
      </c>
      <c r="D156" s="15">
        <v>0</v>
      </c>
      <c r="E156" s="15">
        <v>0</v>
      </c>
      <c r="F156" s="15">
        <v>0</v>
      </c>
      <c r="G156" s="15">
        <v>0</v>
      </c>
      <c r="H156" s="15">
        <v>0</v>
      </c>
      <c r="I156" s="15">
        <v>0</v>
      </c>
    </row>
    <row r="157" spans="1:9" x14ac:dyDescent="0.35">
      <c r="A157" s="16" t="s">
        <v>336</v>
      </c>
      <c r="B157" s="17" t="s">
        <v>214</v>
      </c>
      <c r="C157" s="168" t="s">
        <v>214</v>
      </c>
      <c r="D157" s="168" t="s">
        <v>214</v>
      </c>
      <c r="E157" s="168" t="s">
        <v>214</v>
      </c>
      <c r="F157" s="168" t="s">
        <v>214</v>
      </c>
      <c r="G157" s="168" t="s">
        <v>214</v>
      </c>
      <c r="H157" s="168" t="s">
        <v>214</v>
      </c>
      <c r="I157" s="168" t="s">
        <v>214</v>
      </c>
    </row>
    <row r="158" spans="1:9" x14ac:dyDescent="0.35">
      <c r="A158" s="16" t="s">
        <v>194</v>
      </c>
      <c r="B158" s="17" t="s">
        <v>214</v>
      </c>
      <c r="C158" s="168" t="s">
        <v>214</v>
      </c>
      <c r="D158" s="168" t="s">
        <v>214</v>
      </c>
      <c r="E158" s="168" t="s">
        <v>214</v>
      </c>
      <c r="F158" s="168" t="s">
        <v>214</v>
      </c>
      <c r="G158" s="168" t="s">
        <v>214</v>
      </c>
      <c r="H158" s="168" t="s">
        <v>214</v>
      </c>
      <c r="I158" s="168" t="s">
        <v>214</v>
      </c>
    </row>
    <row r="159" spans="1:9" x14ac:dyDescent="0.35">
      <c r="A159" s="16" t="s">
        <v>195</v>
      </c>
      <c r="B159" s="17" t="s">
        <v>214</v>
      </c>
      <c r="C159" s="168" t="s">
        <v>214</v>
      </c>
      <c r="D159" s="168" t="s">
        <v>214</v>
      </c>
      <c r="E159" s="168" t="s">
        <v>214</v>
      </c>
      <c r="F159" s="168" t="s">
        <v>214</v>
      </c>
      <c r="G159" s="168" t="s">
        <v>214</v>
      </c>
      <c r="H159" s="168" t="s">
        <v>214</v>
      </c>
      <c r="I159" s="168" t="s">
        <v>214</v>
      </c>
    </row>
    <row r="160" spans="1:9" x14ac:dyDescent="0.35">
      <c r="A160" s="14" t="s">
        <v>210</v>
      </c>
      <c r="B160" s="18" t="s">
        <v>214</v>
      </c>
      <c r="C160" s="18" t="s">
        <v>214</v>
      </c>
      <c r="D160" s="18" t="s">
        <v>214</v>
      </c>
      <c r="E160" s="18" t="s">
        <v>214</v>
      </c>
      <c r="F160" s="18" t="s">
        <v>214</v>
      </c>
      <c r="G160" s="18" t="s">
        <v>214</v>
      </c>
      <c r="H160" s="18" t="s">
        <v>214</v>
      </c>
      <c r="I160" s="18" t="s">
        <v>214</v>
      </c>
    </row>
    <row r="161" spans="1:9" x14ac:dyDescent="0.35">
      <c r="A161" s="14" t="s">
        <v>197</v>
      </c>
      <c r="B161" s="18" t="s">
        <v>214</v>
      </c>
      <c r="C161" s="18" t="s">
        <v>214</v>
      </c>
      <c r="D161" s="18" t="s">
        <v>214</v>
      </c>
      <c r="E161" s="18" t="s">
        <v>214</v>
      </c>
      <c r="F161" s="18" t="s">
        <v>214</v>
      </c>
      <c r="G161" s="18" t="s">
        <v>214</v>
      </c>
      <c r="H161" s="18" t="s">
        <v>214</v>
      </c>
      <c r="I161" s="18" t="s">
        <v>214</v>
      </c>
    </row>
    <row r="162" spans="1:9" x14ac:dyDescent="0.35">
      <c r="A162" s="14" t="s">
        <v>198</v>
      </c>
      <c r="B162" s="18" t="s">
        <v>214</v>
      </c>
      <c r="C162" s="18" t="s">
        <v>214</v>
      </c>
      <c r="D162" s="18" t="s">
        <v>214</v>
      </c>
      <c r="E162" s="18" t="s">
        <v>214</v>
      </c>
      <c r="F162" s="18" t="s">
        <v>214</v>
      </c>
      <c r="G162" s="18" t="s">
        <v>214</v>
      </c>
      <c r="H162" s="18" t="s">
        <v>214</v>
      </c>
      <c r="I162" s="18" t="s">
        <v>214</v>
      </c>
    </row>
    <row r="163" spans="1:9" x14ac:dyDescent="0.35">
      <c r="A163" s="14" t="s">
        <v>199</v>
      </c>
      <c r="B163" s="18" t="s">
        <v>214</v>
      </c>
      <c r="C163" s="18" t="s">
        <v>214</v>
      </c>
      <c r="D163" s="18" t="s">
        <v>214</v>
      </c>
      <c r="E163" s="18" t="s">
        <v>214</v>
      </c>
      <c r="F163" s="18" t="s">
        <v>214</v>
      </c>
      <c r="G163" s="18" t="s">
        <v>214</v>
      </c>
      <c r="H163" s="18" t="s">
        <v>214</v>
      </c>
      <c r="I163" s="18" t="s">
        <v>214</v>
      </c>
    </row>
    <row r="164" spans="1:9" x14ac:dyDescent="0.35">
      <c r="A164" s="14" t="s">
        <v>200</v>
      </c>
      <c r="B164" s="18" t="s">
        <v>214</v>
      </c>
      <c r="C164" s="18" t="s">
        <v>214</v>
      </c>
      <c r="D164" s="18" t="s">
        <v>214</v>
      </c>
      <c r="E164" s="18" t="s">
        <v>214</v>
      </c>
      <c r="F164" s="18" t="s">
        <v>214</v>
      </c>
      <c r="G164" s="18" t="s">
        <v>214</v>
      </c>
      <c r="H164" s="18" t="s">
        <v>214</v>
      </c>
      <c r="I164" s="18" t="s">
        <v>214</v>
      </c>
    </row>
    <row r="165" spans="1:9" x14ac:dyDescent="0.35">
      <c r="A165" s="14" t="s">
        <v>201</v>
      </c>
      <c r="B165" s="18" t="s">
        <v>214</v>
      </c>
      <c r="C165" s="18" t="s">
        <v>214</v>
      </c>
      <c r="D165" s="18" t="s">
        <v>214</v>
      </c>
      <c r="E165" s="18" t="s">
        <v>214</v>
      </c>
      <c r="F165" s="18" t="s">
        <v>214</v>
      </c>
      <c r="G165" s="18" t="s">
        <v>214</v>
      </c>
      <c r="H165" s="18" t="s">
        <v>214</v>
      </c>
      <c r="I165" s="18" t="s">
        <v>214</v>
      </c>
    </row>
    <row r="166" spans="1:9" x14ac:dyDescent="0.35">
      <c r="A166" s="14" t="s">
        <v>202</v>
      </c>
      <c r="B166" s="18" t="s">
        <v>214</v>
      </c>
      <c r="C166" s="18" t="s">
        <v>214</v>
      </c>
      <c r="D166" s="18" t="s">
        <v>214</v>
      </c>
      <c r="E166" s="18" t="s">
        <v>214</v>
      </c>
      <c r="F166" s="18" t="s">
        <v>214</v>
      </c>
      <c r="G166" s="18" t="s">
        <v>214</v>
      </c>
      <c r="H166" s="18" t="s">
        <v>214</v>
      </c>
      <c r="I166" s="18" t="s">
        <v>214</v>
      </c>
    </row>
    <row r="167" spans="1:9" x14ac:dyDescent="0.35">
      <c r="A167" s="14" t="s">
        <v>211</v>
      </c>
      <c r="B167" s="18" t="s">
        <v>214</v>
      </c>
      <c r="C167" s="18" t="s">
        <v>214</v>
      </c>
      <c r="D167" s="18" t="s">
        <v>214</v>
      </c>
      <c r="E167" s="18" t="s">
        <v>214</v>
      </c>
      <c r="F167" s="18" t="s">
        <v>214</v>
      </c>
      <c r="G167" s="18" t="s">
        <v>214</v>
      </c>
      <c r="H167" s="18" t="s">
        <v>214</v>
      </c>
      <c r="I167" s="18" t="s">
        <v>214</v>
      </c>
    </row>
    <row r="168" spans="1:9" x14ac:dyDescent="0.35">
      <c r="A168" s="14" t="s">
        <v>212</v>
      </c>
      <c r="B168" s="18" t="s">
        <v>214</v>
      </c>
      <c r="C168" s="18" t="s">
        <v>214</v>
      </c>
      <c r="D168" s="18" t="s">
        <v>214</v>
      </c>
      <c r="E168" s="18" t="s">
        <v>214</v>
      </c>
      <c r="F168" s="18" t="s">
        <v>214</v>
      </c>
      <c r="G168" s="18" t="s">
        <v>214</v>
      </c>
      <c r="H168" s="18" t="s">
        <v>214</v>
      </c>
      <c r="I168" s="18" t="s">
        <v>214</v>
      </c>
    </row>
    <row r="169" spans="1:9" x14ac:dyDescent="0.35">
      <c r="A169" s="14" t="s">
        <v>203</v>
      </c>
      <c r="B169" s="18" t="s">
        <v>214</v>
      </c>
      <c r="C169" s="18" t="s">
        <v>214</v>
      </c>
      <c r="D169" s="18" t="s">
        <v>214</v>
      </c>
      <c r="E169" s="18" t="s">
        <v>214</v>
      </c>
      <c r="F169" s="18" t="s">
        <v>214</v>
      </c>
      <c r="G169" s="18" t="s">
        <v>214</v>
      </c>
      <c r="H169" s="18" t="s">
        <v>214</v>
      </c>
      <c r="I169" s="18" t="s">
        <v>214</v>
      </c>
    </row>
    <row r="170" spans="1:9" x14ac:dyDescent="0.35">
      <c r="A170" s="14" t="s">
        <v>204</v>
      </c>
      <c r="B170" s="18" t="s">
        <v>214</v>
      </c>
      <c r="C170" s="18" t="s">
        <v>214</v>
      </c>
      <c r="D170" s="18" t="s">
        <v>214</v>
      </c>
      <c r="E170" s="18" t="s">
        <v>214</v>
      </c>
      <c r="F170" s="18" t="s">
        <v>214</v>
      </c>
      <c r="G170" s="18" t="s">
        <v>214</v>
      </c>
      <c r="H170" s="18" t="s">
        <v>214</v>
      </c>
      <c r="I170" s="18" t="s">
        <v>214</v>
      </c>
    </row>
    <row r="172" spans="1:9" x14ac:dyDescent="0.35">
      <c r="C172" s="187"/>
      <c r="D172" s="187"/>
      <c r="E172" s="187"/>
      <c r="F172" s="187"/>
      <c r="G172" s="170"/>
      <c r="H172" s="170"/>
      <c r="I172" s="170"/>
    </row>
    <row r="173" spans="1:9" ht="29" x14ac:dyDescent="0.35">
      <c r="A173" s="12" t="s">
        <v>500</v>
      </c>
      <c r="B173" s="13" t="s">
        <v>208</v>
      </c>
      <c r="C173" s="13" t="s">
        <v>458</v>
      </c>
      <c r="D173" s="13" t="s">
        <v>466</v>
      </c>
      <c r="E173" s="13" t="s">
        <v>467</v>
      </c>
      <c r="F173" s="13" t="s">
        <v>468</v>
      </c>
      <c r="G173" s="13" t="s">
        <v>636</v>
      </c>
      <c r="H173" s="13" t="s">
        <v>641</v>
      </c>
      <c r="I173" s="13" t="s">
        <v>647</v>
      </c>
    </row>
    <row r="174" spans="1:9" x14ac:dyDescent="0.35">
      <c r="A174" s="14" t="s">
        <v>209</v>
      </c>
      <c r="B174" s="15">
        <v>0</v>
      </c>
      <c r="C174" s="15">
        <v>0</v>
      </c>
      <c r="D174" s="15">
        <v>0</v>
      </c>
      <c r="E174" s="15">
        <v>0</v>
      </c>
      <c r="F174" s="15">
        <v>0</v>
      </c>
      <c r="G174" s="15">
        <v>0</v>
      </c>
      <c r="H174" s="15">
        <v>0</v>
      </c>
      <c r="I174" s="15">
        <v>0</v>
      </c>
    </row>
    <row r="175" spans="1:9" x14ac:dyDescent="0.35">
      <c r="A175" s="16" t="s">
        <v>336</v>
      </c>
      <c r="B175" s="17" t="s">
        <v>214</v>
      </c>
      <c r="C175" s="168" t="s">
        <v>214</v>
      </c>
      <c r="D175" s="168" t="s">
        <v>214</v>
      </c>
      <c r="E175" s="168" t="s">
        <v>214</v>
      </c>
      <c r="F175" s="168" t="s">
        <v>214</v>
      </c>
      <c r="G175" s="168" t="s">
        <v>214</v>
      </c>
      <c r="H175" s="168" t="s">
        <v>214</v>
      </c>
      <c r="I175" s="168" t="s">
        <v>214</v>
      </c>
    </row>
    <row r="176" spans="1:9" x14ac:dyDescent="0.35">
      <c r="A176" s="16" t="s">
        <v>194</v>
      </c>
      <c r="B176" s="17" t="s">
        <v>214</v>
      </c>
      <c r="C176" s="168" t="s">
        <v>214</v>
      </c>
      <c r="D176" s="168" t="s">
        <v>214</v>
      </c>
      <c r="E176" s="168" t="s">
        <v>214</v>
      </c>
      <c r="F176" s="168" t="s">
        <v>214</v>
      </c>
      <c r="G176" s="168" t="s">
        <v>214</v>
      </c>
      <c r="H176" s="168" t="s">
        <v>214</v>
      </c>
      <c r="I176" s="168" t="s">
        <v>214</v>
      </c>
    </row>
    <row r="177" spans="1:9" x14ac:dyDescent="0.35">
      <c r="A177" s="16" t="s">
        <v>195</v>
      </c>
      <c r="B177" s="17" t="s">
        <v>214</v>
      </c>
      <c r="C177" s="168" t="s">
        <v>214</v>
      </c>
      <c r="D177" s="168" t="s">
        <v>214</v>
      </c>
      <c r="E177" s="168" t="s">
        <v>214</v>
      </c>
      <c r="F177" s="168" t="s">
        <v>214</v>
      </c>
      <c r="G177" s="168" t="s">
        <v>214</v>
      </c>
      <c r="H177" s="168" t="s">
        <v>214</v>
      </c>
      <c r="I177" s="168" t="s">
        <v>214</v>
      </c>
    </row>
    <row r="178" spans="1:9" x14ac:dyDescent="0.35">
      <c r="A178" s="14" t="s">
        <v>210</v>
      </c>
      <c r="B178" s="18" t="s">
        <v>214</v>
      </c>
      <c r="C178" s="18" t="s">
        <v>214</v>
      </c>
      <c r="D178" s="18" t="s">
        <v>214</v>
      </c>
      <c r="E178" s="18" t="s">
        <v>214</v>
      </c>
      <c r="F178" s="18" t="s">
        <v>214</v>
      </c>
      <c r="G178" s="18" t="s">
        <v>214</v>
      </c>
      <c r="H178" s="18" t="s">
        <v>214</v>
      </c>
      <c r="I178" s="18" t="s">
        <v>214</v>
      </c>
    </row>
    <row r="179" spans="1:9" x14ac:dyDescent="0.35">
      <c r="A179" s="14" t="s">
        <v>197</v>
      </c>
      <c r="B179" s="18" t="s">
        <v>214</v>
      </c>
      <c r="C179" s="18" t="s">
        <v>214</v>
      </c>
      <c r="D179" s="18" t="s">
        <v>214</v>
      </c>
      <c r="E179" s="18" t="s">
        <v>214</v>
      </c>
      <c r="F179" s="18" t="s">
        <v>214</v>
      </c>
      <c r="G179" s="18" t="s">
        <v>214</v>
      </c>
      <c r="H179" s="18" t="s">
        <v>214</v>
      </c>
      <c r="I179" s="18" t="s">
        <v>214</v>
      </c>
    </row>
    <row r="180" spans="1:9" x14ac:dyDescent="0.35">
      <c r="A180" s="14" t="s">
        <v>198</v>
      </c>
      <c r="B180" s="18" t="s">
        <v>214</v>
      </c>
      <c r="C180" s="18" t="s">
        <v>214</v>
      </c>
      <c r="D180" s="18" t="s">
        <v>214</v>
      </c>
      <c r="E180" s="18" t="s">
        <v>214</v>
      </c>
      <c r="F180" s="18" t="s">
        <v>214</v>
      </c>
      <c r="G180" s="18" t="s">
        <v>214</v>
      </c>
      <c r="H180" s="18" t="s">
        <v>214</v>
      </c>
      <c r="I180" s="18" t="s">
        <v>214</v>
      </c>
    </row>
    <row r="181" spans="1:9" x14ac:dyDescent="0.35">
      <c r="A181" s="14" t="s">
        <v>199</v>
      </c>
      <c r="B181" s="18" t="s">
        <v>214</v>
      </c>
      <c r="C181" s="18" t="s">
        <v>214</v>
      </c>
      <c r="D181" s="18" t="s">
        <v>214</v>
      </c>
      <c r="E181" s="18" t="s">
        <v>214</v>
      </c>
      <c r="F181" s="18" t="s">
        <v>214</v>
      </c>
      <c r="G181" s="18" t="s">
        <v>214</v>
      </c>
      <c r="H181" s="18" t="s">
        <v>214</v>
      </c>
      <c r="I181" s="18" t="s">
        <v>214</v>
      </c>
    </row>
    <row r="182" spans="1:9" x14ac:dyDescent="0.35">
      <c r="A182" s="14" t="s">
        <v>200</v>
      </c>
      <c r="B182" s="18" t="s">
        <v>214</v>
      </c>
      <c r="C182" s="18" t="s">
        <v>214</v>
      </c>
      <c r="D182" s="18" t="s">
        <v>214</v>
      </c>
      <c r="E182" s="18" t="s">
        <v>214</v>
      </c>
      <c r="F182" s="18" t="s">
        <v>214</v>
      </c>
      <c r="G182" s="18" t="s">
        <v>214</v>
      </c>
      <c r="H182" s="18" t="s">
        <v>214</v>
      </c>
      <c r="I182" s="18" t="s">
        <v>214</v>
      </c>
    </row>
    <row r="183" spans="1:9" x14ac:dyDescent="0.35">
      <c r="A183" s="14" t="s">
        <v>201</v>
      </c>
      <c r="B183" s="18" t="s">
        <v>214</v>
      </c>
      <c r="C183" s="18" t="s">
        <v>214</v>
      </c>
      <c r="D183" s="18" t="s">
        <v>214</v>
      </c>
      <c r="E183" s="18" t="s">
        <v>214</v>
      </c>
      <c r="F183" s="18" t="s">
        <v>214</v>
      </c>
      <c r="G183" s="18" t="s">
        <v>214</v>
      </c>
      <c r="H183" s="18" t="s">
        <v>214</v>
      </c>
      <c r="I183" s="18" t="s">
        <v>214</v>
      </c>
    </row>
    <row r="184" spans="1:9" x14ac:dyDescent="0.35">
      <c r="A184" s="14" t="s">
        <v>202</v>
      </c>
      <c r="B184" s="18" t="s">
        <v>214</v>
      </c>
      <c r="C184" s="18" t="s">
        <v>214</v>
      </c>
      <c r="D184" s="18" t="s">
        <v>214</v>
      </c>
      <c r="E184" s="18" t="s">
        <v>214</v>
      </c>
      <c r="F184" s="18" t="s">
        <v>214</v>
      </c>
      <c r="G184" s="18" t="s">
        <v>214</v>
      </c>
      <c r="H184" s="18" t="s">
        <v>214</v>
      </c>
      <c r="I184" s="18" t="s">
        <v>214</v>
      </c>
    </row>
    <row r="185" spans="1:9" x14ac:dyDescent="0.35">
      <c r="A185" s="14" t="s">
        <v>211</v>
      </c>
      <c r="B185" s="18" t="s">
        <v>214</v>
      </c>
      <c r="C185" s="18" t="s">
        <v>214</v>
      </c>
      <c r="D185" s="18" t="s">
        <v>214</v>
      </c>
      <c r="E185" s="18" t="s">
        <v>214</v>
      </c>
      <c r="F185" s="18" t="s">
        <v>214</v>
      </c>
      <c r="G185" s="18" t="s">
        <v>214</v>
      </c>
      <c r="H185" s="18" t="s">
        <v>214</v>
      </c>
      <c r="I185" s="18" t="s">
        <v>214</v>
      </c>
    </row>
    <row r="186" spans="1:9" x14ac:dyDescent="0.35">
      <c r="A186" s="14" t="s">
        <v>212</v>
      </c>
      <c r="B186" s="18" t="s">
        <v>214</v>
      </c>
      <c r="C186" s="18" t="s">
        <v>214</v>
      </c>
      <c r="D186" s="18" t="s">
        <v>214</v>
      </c>
      <c r="E186" s="18" t="s">
        <v>214</v>
      </c>
      <c r="F186" s="18" t="s">
        <v>214</v>
      </c>
      <c r="G186" s="18" t="s">
        <v>214</v>
      </c>
      <c r="H186" s="18" t="s">
        <v>214</v>
      </c>
      <c r="I186" s="18" t="s">
        <v>214</v>
      </c>
    </row>
    <row r="187" spans="1:9" x14ac:dyDescent="0.35">
      <c r="A187" s="14" t="s">
        <v>203</v>
      </c>
      <c r="B187" s="18" t="s">
        <v>214</v>
      </c>
      <c r="C187" s="18" t="s">
        <v>214</v>
      </c>
      <c r="D187" s="18" t="s">
        <v>214</v>
      </c>
      <c r="E187" s="18" t="s">
        <v>214</v>
      </c>
      <c r="F187" s="18" t="s">
        <v>214</v>
      </c>
      <c r="G187" s="18" t="s">
        <v>214</v>
      </c>
      <c r="H187" s="18" t="s">
        <v>214</v>
      </c>
      <c r="I187" s="18" t="s">
        <v>214</v>
      </c>
    </row>
    <row r="188" spans="1:9" x14ac:dyDescent="0.35">
      <c r="A188" s="14" t="s">
        <v>204</v>
      </c>
      <c r="B188" s="18" t="s">
        <v>214</v>
      </c>
      <c r="C188" s="18" t="s">
        <v>214</v>
      </c>
      <c r="D188" s="18" t="s">
        <v>214</v>
      </c>
      <c r="E188" s="18" t="s">
        <v>214</v>
      </c>
      <c r="F188" s="18" t="s">
        <v>214</v>
      </c>
      <c r="G188" s="18" t="s">
        <v>214</v>
      </c>
      <c r="H188" s="18" t="s">
        <v>214</v>
      </c>
      <c r="I188" s="18" t="s">
        <v>214</v>
      </c>
    </row>
    <row r="190" spans="1:9" x14ac:dyDescent="0.35">
      <c r="C190" s="187"/>
      <c r="D190" s="187"/>
      <c r="E190" s="187"/>
      <c r="F190" s="187"/>
      <c r="G190" s="170"/>
      <c r="H190" s="170"/>
      <c r="I190" s="170"/>
    </row>
    <row r="191" spans="1:9" ht="29" x14ac:dyDescent="0.35">
      <c r="A191" s="12" t="s">
        <v>488</v>
      </c>
      <c r="B191" s="13" t="s">
        <v>208</v>
      </c>
      <c r="C191" s="13" t="s">
        <v>458</v>
      </c>
      <c r="D191" s="13" t="s">
        <v>466</v>
      </c>
      <c r="E191" s="13" t="s">
        <v>467</v>
      </c>
      <c r="F191" s="13" t="s">
        <v>468</v>
      </c>
      <c r="G191" s="13" t="s">
        <v>636</v>
      </c>
      <c r="H191" s="13" t="s">
        <v>641</v>
      </c>
      <c r="I191" s="13" t="s">
        <v>647</v>
      </c>
    </row>
    <row r="192" spans="1:9" x14ac:dyDescent="0.35">
      <c r="A192" s="14" t="s">
        <v>209</v>
      </c>
      <c r="B192" s="15">
        <v>0</v>
      </c>
      <c r="C192" s="15">
        <v>0</v>
      </c>
      <c r="D192" s="15">
        <v>0</v>
      </c>
      <c r="E192" s="15">
        <v>0</v>
      </c>
      <c r="F192" s="15">
        <v>0</v>
      </c>
      <c r="G192" s="15">
        <v>0</v>
      </c>
      <c r="H192" s="15">
        <v>0</v>
      </c>
      <c r="I192" s="15">
        <v>0</v>
      </c>
    </row>
    <row r="193" spans="1:9" x14ac:dyDescent="0.35">
      <c r="A193" s="16" t="s">
        <v>336</v>
      </c>
      <c r="B193" s="17" t="s">
        <v>214</v>
      </c>
      <c r="C193" s="168" t="s">
        <v>214</v>
      </c>
      <c r="D193" s="168" t="s">
        <v>214</v>
      </c>
      <c r="E193" s="168" t="s">
        <v>214</v>
      </c>
      <c r="F193" s="168" t="s">
        <v>214</v>
      </c>
      <c r="G193" s="168" t="s">
        <v>214</v>
      </c>
      <c r="H193" s="168" t="s">
        <v>214</v>
      </c>
      <c r="I193" s="168" t="s">
        <v>214</v>
      </c>
    </row>
    <row r="194" spans="1:9" x14ac:dyDescent="0.35">
      <c r="A194" s="16" t="s">
        <v>194</v>
      </c>
      <c r="B194" s="17" t="s">
        <v>214</v>
      </c>
      <c r="C194" s="168" t="s">
        <v>214</v>
      </c>
      <c r="D194" s="168" t="s">
        <v>214</v>
      </c>
      <c r="E194" s="168" t="s">
        <v>214</v>
      </c>
      <c r="F194" s="168" t="s">
        <v>214</v>
      </c>
      <c r="G194" s="168" t="s">
        <v>214</v>
      </c>
      <c r="H194" s="168" t="s">
        <v>214</v>
      </c>
      <c r="I194" s="168" t="s">
        <v>214</v>
      </c>
    </row>
    <row r="195" spans="1:9" x14ac:dyDescent="0.35">
      <c r="A195" s="16" t="s">
        <v>195</v>
      </c>
      <c r="B195" s="17" t="s">
        <v>214</v>
      </c>
      <c r="C195" s="168" t="s">
        <v>214</v>
      </c>
      <c r="D195" s="168" t="s">
        <v>214</v>
      </c>
      <c r="E195" s="168" t="s">
        <v>214</v>
      </c>
      <c r="F195" s="168" t="s">
        <v>214</v>
      </c>
      <c r="G195" s="168" t="s">
        <v>214</v>
      </c>
      <c r="H195" s="168" t="s">
        <v>214</v>
      </c>
      <c r="I195" s="168" t="s">
        <v>214</v>
      </c>
    </row>
    <row r="196" spans="1:9" x14ac:dyDescent="0.35">
      <c r="A196" s="14" t="s">
        <v>210</v>
      </c>
      <c r="B196" s="18" t="s">
        <v>214</v>
      </c>
      <c r="C196" s="18" t="s">
        <v>214</v>
      </c>
      <c r="D196" s="18" t="s">
        <v>214</v>
      </c>
      <c r="E196" s="18" t="s">
        <v>214</v>
      </c>
      <c r="F196" s="18" t="s">
        <v>214</v>
      </c>
      <c r="G196" s="18" t="s">
        <v>214</v>
      </c>
      <c r="H196" s="18" t="s">
        <v>214</v>
      </c>
      <c r="I196" s="18" t="s">
        <v>214</v>
      </c>
    </row>
    <row r="197" spans="1:9" x14ac:dyDescent="0.35">
      <c r="A197" s="14" t="s">
        <v>197</v>
      </c>
      <c r="B197" s="18" t="s">
        <v>214</v>
      </c>
      <c r="C197" s="18" t="s">
        <v>214</v>
      </c>
      <c r="D197" s="18" t="s">
        <v>214</v>
      </c>
      <c r="E197" s="18" t="s">
        <v>214</v>
      </c>
      <c r="F197" s="18" t="s">
        <v>214</v>
      </c>
      <c r="G197" s="18" t="s">
        <v>214</v>
      </c>
      <c r="H197" s="18" t="s">
        <v>214</v>
      </c>
      <c r="I197" s="18" t="s">
        <v>214</v>
      </c>
    </row>
    <row r="198" spans="1:9" x14ac:dyDescent="0.35">
      <c r="A198" s="14" t="s">
        <v>198</v>
      </c>
      <c r="B198" s="18" t="s">
        <v>214</v>
      </c>
      <c r="C198" s="18" t="s">
        <v>214</v>
      </c>
      <c r="D198" s="18" t="s">
        <v>214</v>
      </c>
      <c r="E198" s="18" t="s">
        <v>214</v>
      </c>
      <c r="F198" s="18" t="s">
        <v>214</v>
      </c>
      <c r="G198" s="18" t="s">
        <v>214</v>
      </c>
      <c r="H198" s="18" t="s">
        <v>214</v>
      </c>
      <c r="I198" s="18" t="s">
        <v>214</v>
      </c>
    </row>
    <row r="199" spans="1:9" x14ac:dyDescent="0.35">
      <c r="A199" s="14" t="s">
        <v>199</v>
      </c>
      <c r="B199" s="18" t="s">
        <v>214</v>
      </c>
      <c r="C199" s="18" t="s">
        <v>214</v>
      </c>
      <c r="D199" s="18" t="s">
        <v>214</v>
      </c>
      <c r="E199" s="18" t="s">
        <v>214</v>
      </c>
      <c r="F199" s="18" t="s">
        <v>214</v>
      </c>
      <c r="G199" s="18" t="s">
        <v>214</v>
      </c>
      <c r="H199" s="18" t="s">
        <v>214</v>
      </c>
      <c r="I199" s="18" t="s">
        <v>214</v>
      </c>
    </row>
    <row r="200" spans="1:9" x14ac:dyDescent="0.35">
      <c r="A200" s="14" t="s">
        <v>200</v>
      </c>
      <c r="B200" s="18" t="s">
        <v>214</v>
      </c>
      <c r="C200" s="18" t="s">
        <v>214</v>
      </c>
      <c r="D200" s="18" t="s">
        <v>214</v>
      </c>
      <c r="E200" s="18" t="s">
        <v>214</v>
      </c>
      <c r="F200" s="18" t="s">
        <v>214</v>
      </c>
      <c r="G200" s="18" t="s">
        <v>214</v>
      </c>
      <c r="H200" s="18" t="s">
        <v>214</v>
      </c>
      <c r="I200" s="18" t="s">
        <v>214</v>
      </c>
    </row>
    <row r="201" spans="1:9" x14ac:dyDescent="0.35">
      <c r="A201" s="14" t="s">
        <v>201</v>
      </c>
      <c r="B201" s="18" t="s">
        <v>214</v>
      </c>
      <c r="C201" s="18" t="s">
        <v>214</v>
      </c>
      <c r="D201" s="18" t="s">
        <v>214</v>
      </c>
      <c r="E201" s="18" t="s">
        <v>214</v>
      </c>
      <c r="F201" s="18" t="s">
        <v>214</v>
      </c>
      <c r="G201" s="18" t="s">
        <v>214</v>
      </c>
      <c r="H201" s="18" t="s">
        <v>214</v>
      </c>
      <c r="I201" s="18" t="s">
        <v>214</v>
      </c>
    </row>
    <row r="202" spans="1:9" x14ac:dyDescent="0.35">
      <c r="A202" s="14" t="s">
        <v>202</v>
      </c>
      <c r="B202" s="18" t="s">
        <v>214</v>
      </c>
      <c r="C202" s="18" t="s">
        <v>214</v>
      </c>
      <c r="D202" s="18" t="s">
        <v>214</v>
      </c>
      <c r="E202" s="18" t="s">
        <v>214</v>
      </c>
      <c r="F202" s="18" t="s">
        <v>214</v>
      </c>
      <c r="G202" s="18" t="s">
        <v>214</v>
      </c>
      <c r="H202" s="18" t="s">
        <v>214</v>
      </c>
      <c r="I202" s="18" t="s">
        <v>214</v>
      </c>
    </row>
    <row r="203" spans="1:9" x14ac:dyDescent="0.35">
      <c r="A203" s="14" t="s">
        <v>211</v>
      </c>
      <c r="B203" s="18" t="s">
        <v>214</v>
      </c>
      <c r="C203" s="18" t="s">
        <v>214</v>
      </c>
      <c r="D203" s="18" t="s">
        <v>214</v>
      </c>
      <c r="E203" s="18" t="s">
        <v>214</v>
      </c>
      <c r="F203" s="18" t="s">
        <v>214</v>
      </c>
      <c r="G203" s="18" t="s">
        <v>214</v>
      </c>
      <c r="H203" s="18" t="s">
        <v>214</v>
      </c>
      <c r="I203" s="18" t="s">
        <v>214</v>
      </c>
    </row>
    <row r="204" spans="1:9" x14ac:dyDescent="0.35">
      <c r="A204" s="14" t="s">
        <v>212</v>
      </c>
      <c r="B204" s="18" t="s">
        <v>214</v>
      </c>
      <c r="C204" s="18" t="s">
        <v>214</v>
      </c>
      <c r="D204" s="18" t="s">
        <v>214</v>
      </c>
      <c r="E204" s="18" t="s">
        <v>214</v>
      </c>
      <c r="F204" s="18" t="s">
        <v>214</v>
      </c>
      <c r="G204" s="18" t="s">
        <v>214</v>
      </c>
      <c r="H204" s="18" t="s">
        <v>214</v>
      </c>
      <c r="I204" s="18" t="s">
        <v>214</v>
      </c>
    </row>
    <row r="205" spans="1:9" x14ac:dyDescent="0.35">
      <c r="A205" s="14" t="s">
        <v>203</v>
      </c>
      <c r="B205" s="18" t="s">
        <v>214</v>
      </c>
      <c r="C205" s="18" t="s">
        <v>214</v>
      </c>
      <c r="D205" s="18" t="s">
        <v>214</v>
      </c>
      <c r="E205" s="18" t="s">
        <v>214</v>
      </c>
      <c r="F205" s="18" t="s">
        <v>214</v>
      </c>
      <c r="G205" s="18" t="s">
        <v>214</v>
      </c>
      <c r="H205" s="18" t="s">
        <v>214</v>
      </c>
      <c r="I205" s="18" t="s">
        <v>214</v>
      </c>
    </row>
    <row r="206" spans="1:9" x14ac:dyDescent="0.35">
      <c r="A206" s="14" t="s">
        <v>204</v>
      </c>
      <c r="B206" s="18" t="s">
        <v>214</v>
      </c>
      <c r="C206" s="18" t="s">
        <v>214</v>
      </c>
      <c r="D206" s="18" t="s">
        <v>214</v>
      </c>
      <c r="E206" s="18" t="s">
        <v>214</v>
      </c>
      <c r="F206" s="18" t="s">
        <v>214</v>
      </c>
      <c r="G206" s="18" t="s">
        <v>214</v>
      </c>
      <c r="H206" s="18" t="s">
        <v>214</v>
      </c>
      <c r="I206" s="18" t="s">
        <v>214</v>
      </c>
    </row>
    <row r="208" spans="1:9" x14ac:dyDescent="0.35">
      <c r="C208" s="187"/>
      <c r="D208" s="187"/>
      <c r="E208" s="187"/>
      <c r="F208" s="187"/>
      <c r="G208" s="170"/>
      <c r="H208" s="170"/>
      <c r="I208" s="170"/>
    </row>
    <row r="209" spans="1:9" ht="29" x14ac:dyDescent="0.35">
      <c r="A209" s="12" t="s">
        <v>501</v>
      </c>
      <c r="B209" s="13" t="s">
        <v>208</v>
      </c>
      <c r="C209" s="13" t="s">
        <v>458</v>
      </c>
      <c r="D209" s="13" t="s">
        <v>466</v>
      </c>
      <c r="E209" s="13" t="s">
        <v>467</v>
      </c>
      <c r="F209" s="13" t="s">
        <v>468</v>
      </c>
      <c r="G209" s="13" t="s">
        <v>636</v>
      </c>
      <c r="H209" s="13" t="s">
        <v>641</v>
      </c>
      <c r="I209" s="13" t="s">
        <v>647</v>
      </c>
    </row>
    <row r="210" spans="1:9" x14ac:dyDescent="0.35">
      <c r="A210" s="14" t="s">
        <v>209</v>
      </c>
      <c r="B210" s="15">
        <v>111</v>
      </c>
      <c r="C210" s="15">
        <v>28</v>
      </c>
      <c r="D210" s="15">
        <v>58</v>
      </c>
      <c r="E210" s="15">
        <v>83</v>
      </c>
      <c r="F210" s="15">
        <v>111</v>
      </c>
      <c r="G210" s="15">
        <v>150</v>
      </c>
      <c r="H210" s="15">
        <v>180</v>
      </c>
      <c r="I210" s="15">
        <v>192</v>
      </c>
    </row>
    <row r="211" spans="1:9" x14ac:dyDescent="0.35">
      <c r="A211" s="16" t="s">
        <v>336</v>
      </c>
      <c r="B211" s="17">
        <v>0.22387480657214379</v>
      </c>
      <c r="C211" s="17">
        <v>0.18873865541395349</v>
      </c>
      <c r="D211" s="17">
        <v>0.20641171730699681</v>
      </c>
      <c r="E211" s="17">
        <v>0.2148593452509025</v>
      </c>
      <c r="F211" s="17">
        <v>0.22387480657214379</v>
      </c>
      <c r="G211" s="17">
        <v>0.27258995143429637</v>
      </c>
      <c r="H211" s="17">
        <v>0.2773290283197507</v>
      </c>
      <c r="I211" s="17">
        <v>0.2893289836883699</v>
      </c>
    </row>
    <row r="212" spans="1:9" x14ac:dyDescent="0.35">
      <c r="A212" s="16" t="s">
        <v>194</v>
      </c>
      <c r="B212" s="17">
        <v>0.59553371603595839</v>
      </c>
      <c r="C212" s="17">
        <v>0.66165278482838952</v>
      </c>
      <c r="D212" s="17">
        <v>0.64811450733496667</v>
      </c>
      <c r="E212" s="17">
        <v>0.61485699890544154</v>
      </c>
      <c r="F212" s="17">
        <v>0.59553371603595828</v>
      </c>
      <c r="G212" s="17">
        <v>0.54686145007519038</v>
      </c>
      <c r="H212" s="17">
        <v>0.54087262476759523</v>
      </c>
      <c r="I212" s="17">
        <v>0.50956168737366747</v>
      </c>
    </row>
    <row r="213" spans="1:9" x14ac:dyDescent="0.35">
      <c r="A213" s="16" t="s">
        <v>195</v>
      </c>
      <c r="B213" s="17">
        <v>0.18059147739189779</v>
      </c>
      <c r="C213" s="17">
        <v>0.14960855975765691</v>
      </c>
      <c r="D213" s="17">
        <v>0.14547377535803679</v>
      </c>
      <c r="E213" s="17">
        <v>0.1702836558436559</v>
      </c>
      <c r="F213" s="17">
        <v>0.18059147739189779</v>
      </c>
      <c r="G213" s="17">
        <v>0.18054859849051311</v>
      </c>
      <c r="H213" s="17">
        <v>0.1817983469126542</v>
      </c>
      <c r="I213" s="17">
        <v>0.2011093289379626</v>
      </c>
    </row>
    <row r="214" spans="1:9" x14ac:dyDescent="0.35">
      <c r="A214" s="14" t="s">
        <v>210</v>
      </c>
      <c r="B214" s="18">
        <v>0.1043075587088301</v>
      </c>
      <c r="C214" s="18">
        <v>3.0962980969405359E-2</v>
      </c>
      <c r="D214" s="18">
        <v>9.7840176811034199E-2</v>
      </c>
      <c r="E214" s="18">
        <v>0.1036942480867967</v>
      </c>
      <c r="F214" s="18">
        <v>0.1043075587088301</v>
      </c>
      <c r="G214" s="18">
        <v>0.1246719719865447</v>
      </c>
      <c r="H214" s="18">
        <v>0.13691626838234819</v>
      </c>
      <c r="I214" s="20">
        <v>0.15985741205863499</v>
      </c>
    </row>
    <row r="215" spans="1:9" x14ac:dyDescent="0.35">
      <c r="A215" s="14" t="s">
        <v>197</v>
      </c>
      <c r="B215" s="18">
        <v>0.1195672478633136</v>
      </c>
      <c r="C215" s="18">
        <v>0.15777567444454821</v>
      </c>
      <c r="D215" s="18">
        <v>0.1085715404959626</v>
      </c>
      <c r="E215" s="18">
        <v>0.1111650971641058</v>
      </c>
      <c r="F215" s="18">
        <v>0.1195672478633136</v>
      </c>
      <c r="G215" s="18">
        <v>0.14791797944775181</v>
      </c>
      <c r="H215" s="25">
        <v>0.14041275993740249</v>
      </c>
      <c r="I215" s="18">
        <v>0.12947157162973491</v>
      </c>
    </row>
    <row r="216" spans="1:9" x14ac:dyDescent="0.35">
      <c r="A216" s="14" t="s">
        <v>198</v>
      </c>
      <c r="B216" s="18">
        <v>0.36153747412611908</v>
      </c>
      <c r="C216" s="18">
        <v>0.28225871213445358</v>
      </c>
      <c r="D216" s="18">
        <v>0.39337733483924869</v>
      </c>
      <c r="E216" s="18">
        <v>0.36673072333448092</v>
      </c>
      <c r="F216" s="18">
        <v>0.36153747412611908</v>
      </c>
      <c r="G216" s="18">
        <v>0.32795982704013438</v>
      </c>
      <c r="H216" s="25">
        <v>0.32516862965343879</v>
      </c>
      <c r="I216" s="18">
        <v>0.33565344888485948</v>
      </c>
    </row>
    <row r="217" spans="1:9" x14ac:dyDescent="0.35">
      <c r="A217" s="14" t="s">
        <v>199</v>
      </c>
      <c r="B217" s="18">
        <v>0.23399624190983931</v>
      </c>
      <c r="C217" s="19">
        <v>0.37939407269393599</v>
      </c>
      <c r="D217" s="18">
        <v>0.25473717249571792</v>
      </c>
      <c r="E217" s="18">
        <v>0.2481262755709607</v>
      </c>
      <c r="F217" s="18">
        <v>0.23399624190983931</v>
      </c>
      <c r="G217" s="18">
        <v>0.21890162303505589</v>
      </c>
      <c r="H217" s="18">
        <v>0.21570399511415639</v>
      </c>
      <c r="I217" s="21">
        <v>0.1739082384888079</v>
      </c>
    </row>
    <row r="218" spans="1:9" x14ac:dyDescent="0.35">
      <c r="A218" s="14" t="s">
        <v>200</v>
      </c>
      <c r="B218" s="18">
        <v>5.7380774264949197E-2</v>
      </c>
      <c r="C218" s="18">
        <v>0</v>
      </c>
      <c r="D218" s="24">
        <v>0</v>
      </c>
      <c r="E218" s="21">
        <v>3.0072098427415969E-2</v>
      </c>
      <c r="F218" s="18">
        <v>5.7380774264949197E-2</v>
      </c>
      <c r="G218" s="18">
        <v>6.2587044737327457E-2</v>
      </c>
      <c r="H218" s="18">
        <v>6.8754142944875668E-2</v>
      </c>
      <c r="I218" s="18">
        <v>8.0019215060281923E-2</v>
      </c>
    </row>
    <row r="219" spans="1:9" x14ac:dyDescent="0.35">
      <c r="A219" s="14" t="s">
        <v>201</v>
      </c>
      <c r="B219" s="18">
        <v>7.6718090847628428E-2</v>
      </c>
      <c r="C219" s="18">
        <v>0.10919330664659831</v>
      </c>
      <c r="D219" s="18">
        <v>8.4301908891136604E-2</v>
      </c>
      <c r="E219" s="18">
        <v>9.0426484566559551E-2</v>
      </c>
      <c r="F219" s="18">
        <v>7.6718090847628415E-2</v>
      </c>
      <c r="G219" s="18">
        <v>7.050339439171173E-2</v>
      </c>
      <c r="H219" s="18">
        <v>6.9455258878154402E-2</v>
      </c>
      <c r="I219" s="18">
        <v>7.0466328760207309E-2</v>
      </c>
    </row>
    <row r="220" spans="1:9" x14ac:dyDescent="0.35">
      <c r="A220" s="14" t="s">
        <v>202</v>
      </c>
      <c r="B220" s="18">
        <v>2.260702847924451E-2</v>
      </c>
      <c r="C220" s="18">
        <v>0</v>
      </c>
      <c r="D220" s="18">
        <v>1.4197266190277009E-2</v>
      </c>
      <c r="E220" s="18">
        <v>1.7917621429209388E-2</v>
      </c>
      <c r="F220" s="18">
        <v>2.260702847924451E-2</v>
      </c>
      <c r="G220" s="18">
        <v>1.6883201011427821E-2</v>
      </c>
      <c r="H220" s="18">
        <v>1.8109945989646731E-2</v>
      </c>
      <c r="I220" s="18">
        <v>2.1928785915283341E-2</v>
      </c>
    </row>
    <row r="221" spans="1:9" x14ac:dyDescent="0.35">
      <c r="A221" s="14" t="s">
        <v>211</v>
      </c>
      <c r="B221" s="18">
        <v>7.3542336761155749E-3</v>
      </c>
      <c r="C221" s="18">
        <v>0</v>
      </c>
      <c r="D221" s="18">
        <v>1.446320886137668E-2</v>
      </c>
      <c r="E221" s="18">
        <v>9.8118047425603191E-3</v>
      </c>
      <c r="F221" s="18">
        <v>7.3542336761155741E-3</v>
      </c>
      <c r="G221" s="25">
        <v>1.18720890163009E-2</v>
      </c>
      <c r="H221" s="18">
        <v>9.8933559253965731E-3</v>
      </c>
      <c r="I221" s="18">
        <v>9.3150913744482252E-3</v>
      </c>
    </row>
    <row r="222" spans="1:9" x14ac:dyDescent="0.35">
      <c r="A222" s="14" t="s">
        <v>212</v>
      </c>
      <c r="B222" s="18">
        <v>9.8413859430374999E-3</v>
      </c>
      <c r="C222" s="20">
        <v>4.0415253111058508E-2</v>
      </c>
      <c r="D222" s="18">
        <v>1.9354568626482539E-2</v>
      </c>
      <c r="E222" s="18">
        <v>1.313009098186076E-2</v>
      </c>
      <c r="F222" s="18">
        <v>9.8413859430374982E-3</v>
      </c>
      <c r="G222" s="18">
        <v>7.3496654927421422E-3</v>
      </c>
      <c r="H222" s="18">
        <v>6.1246893072032446E-3</v>
      </c>
      <c r="I222" s="18">
        <v>1.047194470293091E-2</v>
      </c>
    </row>
    <row r="223" spans="1:9" x14ac:dyDescent="0.35">
      <c r="A223" s="14" t="s">
        <v>203</v>
      </c>
      <c r="B223" s="18">
        <v>0</v>
      </c>
      <c r="C223" s="18">
        <v>0</v>
      </c>
      <c r="D223" s="18">
        <v>0</v>
      </c>
      <c r="E223" s="18">
        <v>0</v>
      </c>
      <c r="F223" s="18">
        <v>0</v>
      </c>
      <c r="G223" s="18">
        <v>0</v>
      </c>
      <c r="H223" s="18">
        <v>0</v>
      </c>
      <c r="I223" s="18">
        <v>0</v>
      </c>
    </row>
    <row r="224" spans="1:9" x14ac:dyDescent="0.35">
      <c r="A224" s="14" t="s">
        <v>204</v>
      </c>
      <c r="B224" s="18">
        <v>6.6899641809226203E-3</v>
      </c>
      <c r="C224" s="18">
        <v>0</v>
      </c>
      <c r="D224" s="18">
        <v>1.315682278876394E-2</v>
      </c>
      <c r="E224" s="18">
        <v>8.9255556960498809E-3</v>
      </c>
      <c r="F224" s="18">
        <v>6.6899641809226194E-3</v>
      </c>
      <c r="G224" s="18">
        <v>1.1353203841003009E-2</v>
      </c>
      <c r="H224" s="18">
        <v>9.4609538673775303E-3</v>
      </c>
      <c r="I224" s="18">
        <v>8.9079631248107916E-3</v>
      </c>
    </row>
    <row r="225" spans="1:9" x14ac:dyDescent="0.35">
      <c r="A225" s="14" t="s">
        <v>213</v>
      </c>
      <c r="B225" s="1">
        <v>4.3283329180245982</v>
      </c>
      <c r="C225" s="1">
        <v>3.9130095656296739</v>
      </c>
      <c r="D225" s="1">
        <v>6.0937941948960033</v>
      </c>
      <c r="E225" s="1">
        <v>4.4575689407246628</v>
      </c>
      <c r="F225" s="1">
        <v>4.3283329180245946</v>
      </c>
      <c r="G225" s="1">
        <v>9.2041352943783377</v>
      </c>
      <c r="H225" s="1">
        <v>9.5530681407096534</v>
      </c>
      <c r="I225" s="1">
        <v>8.821965475040745</v>
      </c>
    </row>
    <row r="227" spans="1:9" x14ac:dyDescent="0.35">
      <c r="C227" s="187"/>
      <c r="D227" s="187"/>
      <c r="E227" s="187"/>
      <c r="F227" s="187"/>
      <c r="G227" s="170"/>
      <c r="H227" s="170"/>
      <c r="I227" s="170"/>
    </row>
    <row r="228" spans="1:9" ht="29" x14ac:dyDescent="0.35">
      <c r="A228" s="12" t="s">
        <v>502</v>
      </c>
      <c r="B228" s="13" t="s">
        <v>208</v>
      </c>
      <c r="C228" s="13" t="s">
        <v>458</v>
      </c>
      <c r="D228" s="13" t="s">
        <v>466</v>
      </c>
      <c r="E228" s="13" t="s">
        <v>467</v>
      </c>
      <c r="F228" s="13" t="s">
        <v>468</v>
      </c>
      <c r="G228" s="13" t="s">
        <v>636</v>
      </c>
      <c r="H228" s="13" t="s">
        <v>641</v>
      </c>
      <c r="I228" s="13" t="s">
        <v>647</v>
      </c>
    </row>
    <row r="229" spans="1:9" x14ac:dyDescent="0.35">
      <c r="A229" s="14" t="s">
        <v>209</v>
      </c>
      <c r="B229" s="15">
        <v>0</v>
      </c>
      <c r="C229" s="15">
        <v>0</v>
      </c>
      <c r="D229" s="15">
        <v>0</v>
      </c>
      <c r="E229" s="15">
        <v>0</v>
      </c>
      <c r="F229" s="15">
        <v>0</v>
      </c>
      <c r="G229" s="15">
        <v>0</v>
      </c>
      <c r="H229" s="15">
        <v>0</v>
      </c>
      <c r="I229" s="15">
        <v>0</v>
      </c>
    </row>
    <row r="230" spans="1:9" x14ac:dyDescent="0.35">
      <c r="A230" s="16" t="s">
        <v>336</v>
      </c>
      <c r="B230" s="17" t="s">
        <v>214</v>
      </c>
      <c r="C230" s="168" t="s">
        <v>214</v>
      </c>
      <c r="D230" s="168" t="s">
        <v>214</v>
      </c>
      <c r="E230" s="168" t="s">
        <v>214</v>
      </c>
      <c r="F230" s="168" t="s">
        <v>214</v>
      </c>
      <c r="G230" s="168" t="s">
        <v>214</v>
      </c>
      <c r="H230" s="168" t="s">
        <v>214</v>
      </c>
      <c r="I230" s="168" t="s">
        <v>214</v>
      </c>
    </row>
    <row r="231" spans="1:9" x14ac:dyDescent="0.35">
      <c r="A231" s="16" t="s">
        <v>194</v>
      </c>
      <c r="B231" s="17" t="s">
        <v>214</v>
      </c>
      <c r="C231" s="168" t="s">
        <v>214</v>
      </c>
      <c r="D231" s="168" t="s">
        <v>214</v>
      </c>
      <c r="E231" s="168" t="s">
        <v>214</v>
      </c>
      <c r="F231" s="168" t="s">
        <v>214</v>
      </c>
      <c r="G231" s="168" t="s">
        <v>214</v>
      </c>
      <c r="H231" s="168" t="s">
        <v>214</v>
      </c>
      <c r="I231" s="168" t="s">
        <v>214</v>
      </c>
    </row>
    <row r="232" spans="1:9" x14ac:dyDescent="0.35">
      <c r="A232" s="16" t="s">
        <v>195</v>
      </c>
      <c r="B232" s="17" t="s">
        <v>214</v>
      </c>
      <c r="C232" s="168" t="s">
        <v>214</v>
      </c>
      <c r="D232" s="168" t="s">
        <v>214</v>
      </c>
      <c r="E232" s="168" t="s">
        <v>214</v>
      </c>
      <c r="F232" s="168" t="s">
        <v>214</v>
      </c>
      <c r="G232" s="168" t="s">
        <v>214</v>
      </c>
      <c r="H232" s="168" t="s">
        <v>214</v>
      </c>
      <c r="I232" s="168" t="s">
        <v>214</v>
      </c>
    </row>
    <row r="233" spans="1:9" x14ac:dyDescent="0.35">
      <c r="A233" s="14" t="s">
        <v>210</v>
      </c>
      <c r="B233" s="18" t="s">
        <v>214</v>
      </c>
      <c r="C233" s="18" t="s">
        <v>214</v>
      </c>
      <c r="D233" s="18" t="s">
        <v>214</v>
      </c>
      <c r="E233" s="18" t="s">
        <v>214</v>
      </c>
      <c r="F233" s="18" t="s">
        <v>214</v>
      </c>
      <c r="G233" s="18" t="s">
        <v>214</v>
      </c>
      <c r="H233" s="18" t="s">
        <v>214</v>
      </c>
      <c r="I233" s="18" t="s">
        <v>214</v>
      </c>
    </row>
    <row r="234" spans="1:9" x14ac:dyDescent="0.35">
      <c r="A234" s="14" t="s">
        <v>197</v>
      </c>
      <c r="B234" s="18" t="s">
        <v>214</v>
      </c>
      <c r="C234" s="18" t="s">
        <v>214</v>
      </c>
      <c r="D234" s="18" t="s">
        <v>214</v>
      </c>
      <c r="E234" s="18" t="s">
        <v>214</v>
      </c>
      <c r="F234" s="18" t="s">
        <v>214</v>
      </c>
      <c r="G234" s="18" t="s">
        <v>214</v>
      </c>
      <c r="H234" s="18" t="s">
        <v>214</v>
      </c>
      <c r="I234" s="18" t="s">
        <v>214</v>
      </c>
    </row>
    <row r="235" spans="1:9" x14ac:dyDescent="0.35">
      <c r="A235" s="14" t="s">
        <v>198</v>
      </c>
      <c r="B235" s="18" t="s">
        <v>214</v>
      </c>
      <c r="C235" s="18" t="s">
        <v>214</v>
      </c>
      <c r="D235" s="18" t="s">
        <v>214</v>
      </c>
      <c r="E235" s="18" t="s">
        <v>214</v>
      </c>
      <c r="F235" s="18" t="s">
        <v>214</v>
      </c>
      <c r="G235" s="18" t="s">
        <v>214</v>
      </c>
      <c r="H235" s="18" t="s">
        <v>214</v>
      </c>
      <c r="I235" s="18" t="s">
        <v>214</v>
      </c>
    </row>
    <row r="236" spans="1:9" x14ac:dyDescent="0.35">
      <c r="A236" s="14" t="s">
        <v>199</v>
      </c>
      <c r="B236" s="18" t="s">
        <v>214</v>
      </c>
      <c r="C236" s="18" t="s">
        <v>214</v>
      </c>
      <c r="D236" s="18" t="s">
        <v>214</v>
      </c>
      <c r="E236" s="18" t="s">
        <v>214</v>
      </c>
      <c r="F236" s="18" t="s">
        <v>214</v>
      </c>
      <c r="G236" s="18" t="s">
        <v>214</v>
      </c>
      <c r="H236" s="18" t="s">
        <v>214</v>
      </c>
      <c r="I236" s="18" t="s">
        <v>214</v>
      </c>
    </row>
    <row r="237" spans="1:9" x14ac:dyDescent="0.35">
      <c r="A237" s="14" t="s">
        <v>200</v>
      </c>
      <c r="B237" s="18" t="s">
        <v>214</v>
      </c>
      <c r="C237" s="18" t="s">
        <v>214</v>
      </c>
      <c r="D237" s="18" t="s">
        <v>214</v>
      </c>
      <c r="E237" s="18" t="s">
        <v>214</v>
      </c>
      <c r="F237" s="18" t="s">
        <v>214</v>
      </c>
      <c r="G237" s="18" t="s">
        <v>214</v>
      </c>
      <c r="H237" s="18" t="s">
        <v>214</v>
      </c>
      <c r="I237" s="18" t="s">
        <v>214</v>
      </c>
    </row>
    <row r="238" spans="1:9" x14ac:dyDescent="0.35">
      <c r="A238" s="14" t="s">
        <v>201</v>
      </c>
      <c r="B238" s="18" t="s">
        <v>214</v>
      </c>
      <c r="C238" s="18" t="s">
        <v>214</v>
      </c>
      <c r="D238" s="18" t="s">
        <v>214</v>
      </c>
      <c r="E238" s="18" t="s">
        <v>214</v>
      </c>
      <c r="F238" s="18" t="s">
        <v>214</v>
      </c>
      <c r="G238" s="18" t="s">
        <v>214</v>
      </c>
      <c r="H238" s="18" t="s">
        <v>214</v>
      </c>
      <c r="I238" s="18" t="s">
        <v>214</v>
      </c>
    </row>
    <row r="239" spans="1:9" x14ac:dyDescent="0.35">
      <c r="A239" s="14" t="s">
        <v>202</v>
      </c>
      <c r="B239" s="18" t="s">
        <v>214</v>
      </c>
      <c r="C239" s="18" t="s">
        <v>214</v>
      </c>
      <c r="D239" s="18" t="s">
        <v>214</v>
      </c>
      <c r="E239" s="18" t="s">
        <v>214</v>
      </c>
      <c r="F239" s="18" t="s">
        <v>214</v>
      </c>
      <c r="G239" s="18" t="s">
        <v>214</v>
      </c>
      <c r="H239" s="18" t="s">
        <v>214</v>
      </c>
      <c r="I239" s="18" t="s">
        <v>214</v>
      </c>
    </row>
    <row r="240" spans="1:9" x14ac:dyDescent="0.35">
      <c r="A240" s="14" t="s">
        <v>211</v>
      </c>
      <c r="B240" s="18" t="s">
        <v>214</v>
      </c>
      <c r="C240" s="18" t="s">
        <v>214</v>
      </c>
      <c r="D240" s="18" t="s">
        <v>214</v>
      </c>
      <c r="E240" s="18" t="s">
        <v>214</v>
      </c>
      <c r="F240" s="18" t="s">
        <v>214</v>
      </c>
      <c r="G240" s="18" t="s">
        <v>214</v>
      </c>
      <c r="H240" s="18" t="s">
        <v>214</v>
      </c>
      <c r="I240" s="18" t="s">
        <v>214</v>
      </c>
    </row>
    <row r="241" spans="1:9" x14ac:dyDescent="0.35">
      <c r="A241" s="14" t="s">
        <v>212</v>
      </c>
      <c r="B241" s="18" t="s">
        <v>214</v>
      </c>
      <c r="C241" s="18" t="s">
        <v>214</v>
      </c>
      <c r="D241" s="18" t="s">
        <v>214</v>
      </c>
      <c r="E241" s="18" t="s">
        <v>214</v>
      </c>
      <c r="F241" s="18" t="s">
        <v>214</v>
      </c>
      <c r="G241" s="18" t="s">
        <v>214</v>
      </c>
      <c r="H241" s="18" t="s">
        <v>214</v>
      </c>
      <c r="I241" s="18" t="s">
        <v>214</v>
      </c>
    </row>
    <row r="242" spans="1:9" x14ac:dyDescent="0.35">
      <c r="A242" s="14" t="s">
        <v>203</v>
      </c>
      <c r="B242" s="18" t="s">
        <v>214</v>
      </c>
      <c r="C242" s="18" t="s">
        <v>214</v>
      </c>
      <c r="D242" s="18" t="s">
        <v>214</v>
      </c>
      <c r="E242" s="18" t="s">
        <v>214</v>
      </c>
      <c r="F242" s="18" t="s">
        <v>214</v>
      </c>
      <c r="G242" s="18" t="s">
        <v>214</v>
      </c>
      <c r="H242" s="18" t="s">
        <v>214</v>
      </c>
      <c r="I242" s="18" t="s">
        <v>214</v>
      </c>
    </row>
    <row r="243" spans="1:9" x14ac:dyDescent="0.35">
      <c r="A243" s="14" t="s">
        <v>204</v>
      </c>
      <c r="B243" s="18" t="s">
        <v>214</v>
      </c>
      <c r="C243" s="18" t="s">
        <v>214</v>
      </c>
      <c r="D243" s="18" t="s">
        <v>214</v>
      </c>
      <c r="E243" s="18" t="s">
        <v>214</v>
      </c>
      <c r="F243" s="18" t="s">
        <v>214</v>
      </c>
      <c r="G243" s="18" t="s">
        <v>214</v>
      </c>
      <c r="H243" s="18" t="s">
        <v>214</v>
      </c>
      <c r="I243" s="18" t="s">
        <v>214</v>
      </c>
    </row>
    <row r="245" spans="1:9" x14ac:dyDescent="0.35">
      <c r="C245" s="187"/>
      <c r="D245" s="187"/>
      <c r="E245" s="187"/>
      <c r="F245" s="187"/>
      <c r="G245" s="170"/>
      <c r="H245" s="170"/>
      <c r="I245" s="170"/>
    </row>
    <row r="246" spans="1:9" ht="29" x14ac:dyDescent="0.35">
      <c r="A246" s="12" t="s">
        <v>503</v>
      </c>
      <c r="B246" s="13" t="s">
        <v>208</v>
      </c>
      <c r="C246" s="13" t="s">
        <v>458</v>
      </c>
      <c r="D246" s="13" t="s">
        <v>466</v>
      </c>
      <c r="E246" s="13" t="s">
        <v>467</v>
      </c>
      <c r="F246" s="13" t="s">
        <v>468</v>
      </c>
      <c r="G246" s="13" t="s">
        <v>636</v>
      </c>
      <c r="H246" s="13" t="s">
        <v>641</v>
      </c>
      <c r="I246" s="13" t="s">
        <v>647</v>
      </c>
    </row>
    <row r="247" spans="1:9" x14ac:dyDescent="0.35">
      <c r="A247" s="14" t="s">
        <v>209</v>
      </c>
      <c r="B247" s="15">
        <v>50</v>
      </c>
      <c r="C247" s="15">
        <v>14</v>
      </c>
      <c r="D247" s="15">
        <v>27</v>
      </c>
      <c r="E247" s="15">
        <v>42</v>
      </c>
      <c r="F247" s="15">
        <v>50</v>
      </c>
      <c r="G247" s="15">
        <v>64</v>
      </c>
      <c r="H247" s="15">
        <v>72</v>
      </c>
      <c r="I247" s="15">
        <v>68</v>
      </c>
    </row>
    <row r="248" spans="1:9" x14ac:dyDescent="0.35">
      <c r="A248" s="16" t="s">
        <v>336</v>
      </c>
      <c r="B248" s="17">
        <v>0.37050595047093648</v>
      </c>
      <c r="C248" s="17">
        <v>0.42498641098661832</v>
      </c>
      <c r="D248" s="17">
        <v>0.35118878823833322</v>
      </c>
      <c r="E248" s="17">
        <v>0.37029304114148742</v>
      </c>
      <c r="F248" s="17">
        <v>0.37050595047093648</v>
      </c>
      <c r="G248" s="17">
        <v>0.41630962861676452</v>
      </c>
      <c r="H248" s="17">
        <v>0.41213191512826858</v>
      </c>
      <c r="I248" s="17">
        <v>0.40650418023021972</v>
      </c>
    </row>
    <row r="249" spans="1:9" x14ac:dyDescent="0.35">
      <c r="A249" s="16" t="s">
        <v>194</v>
      </c>
      <c r="B249" s="17">
        <v>0.36209966406867811</v>
      </c>
      <c r="C249" s="17">
        <v>0.2231343113439169</v>
      </c>
      <c r="D249" s="17">
        <v>0.41964824813182589</v>
      </c>
      <c r="E249" s="17">
        <v>0.36465055051251172</v>
      </c>
      <c r="F249" s="17">
        <v>0.36209966406867811</v>
      </c>
      <c r="G249" s="17">
        <v>0.34398545428137151</v>
      </c>
      <c r="H249" s="17">
        <v>0.37300626801419551</v>
      </c>
      <c r="I249" s="17">
        <v>0.41050902347815449</v>
      </c>
    </row>
    <row r="250" spans="1:9" x14ac:dyDescent="0.35">
      <c r="A250" s="16" t="s">
        <v>195</v>
      </c>
      <c r="B250" s="17">
        <v>0.26739438546038552</v>
      </c>
      <c r="C250" s="17">
        <v>0.35187927766946497</v>
      </c>
      <c r="D250" s="17">
        <v>0.2291629636298409</v>
      </c>
      <c r="E250" s="17">
        <v>0.26505640834600103</v>
      </c>
      <c r="F250" s="152">
        <v>0.26739438546038552</v>
      </c>
      <c r="G250" s="17">
        <v>0.2397049171018642</v>
      </c>
      <c r="H250" s="17">
        <v>0.214861816857536</v>
      </c>
      <c r="I250" s="17">
        <v>0.18298679629162559</v>
      </c>
    </row>
    <row r="251" spans="1:9" x14ac:dyDescent="0.35">
      <c r="A251" s="14" t="s">
        <v>210</v>
      </c>
      <c r="B251" s="18">
        <v>0.13699069738405389</v>
      </c>
      <c r="C251" s="18">
        <v>0.14568667636035601</v>
      </c>
      <c r="D251" s="18">
        <v>0.1069701521783749</v>
      </c>
      <c r="E251" s="18">
        <v>0.13877466564277929</v>
      </c>
      <c r="F251" s="18">
        <v>0.13699069738405389</v>
      </c>
      <c r="G251" s="18">
        <v>0.17044504112693359</v>
      </c>
      <c r="H251" s="25">
        <v>0.19174881824526011</v>
      </c>
      <c r="I251" s="18">
        <v>0.1731370083031078</v>
      </c>
    </row>
    <row r="252" spans="1:9" x14ac:dyDescent="0.35">
      <c r="A252" s="14" t="s">
        <v>197</v>
      </c>
      <c r="B252" s="18">
        <v>0.23351525308688251</v>
      </c>
      <c r="C252" s="18">
        <v>0.27929973462626229</v>
      </c>
      <c r="D252" s="18">
        <v>0.24421863605995831</v>
      </c>
      <c r="E252" s="18">
        <v>0.23151837549870821</v>
      </c>
      <c r="F252" s="18">
        <v>0.23351525308688259</v>
      </c>
      <c r="G252" s="18">
        <v>0.24586458748983089</v>
      </c>
      <c r="H252" s="18">
        <v>0.22038309688300861</v>
      </c>
      <c r="I252" s="18">
        <v>0.2333671719271119</v>
      </c>
    </row>
    <row r="253" spans="1:9" x14ac:dyDescent="0.35">
      <c r="A253" s="14" t="s">
        <v>198</v>
      </c>
      <c r="B253" s="18">
        <v>0.25702819917777908</v>
      </c>
      <c r="C253" s="18">
        <v>0.14738858198483629</v>
      </c>
      <c r="D253" s="18">
        <v>0.29616219244584763</v>
      </c>
      <c r="E253" s="18">
        <v>0.26299624760251328</v>
      </c>
      <c r="F253" s="18">
        <v>0.25702819917777908</v>
      </c>
      <c r="G253" s="18">
        <v>0.23238270814112549</v>
      </c>
      <c r="H253" s="18">
        <v>0.24710310313324779</v>
      </c>
      <c r="I253" s="18">
        <v>0.2781431972107658</v>
      </c>
    </row>
    <row r="254" spans="1:9" x14ac:dyDescent="0.35">
      <c r="A254" s="14" t="s">
        <v>199</v>
      </c>
      <c r="B254" s="18">
        <v>0.105071464890899</v>
      </c>
      <c r="C254" s="18">
        <v>7.5745729359080555E-2</v>
      </c>
      <c r="D254" s="18">
        <v>0.1234860556859784</v>
      </c>
      <c r="E254" s="18">
        <v>0.1016543029099984</v>
      </c>
      <c r="F254" s="25">
        <v>0.105071464890899</v>
      </c>
      <c r="G254" s="18">
        <v>0.111602746140246</v>
      </c>
      <c r="H254" s="18">
        <v>0.12590316488094769</v>
      </c>
      <c r="I254" s="18">
        <v>0.13236582626738869</v>
      </c>
    </row>
    <row r="255" spans="1:9" x14ac:dyDescent="0.35">
      <c r="A255" s="14" t="s">
        <v>200</v>
      </c>
      <c r="B255" s="18">
        <v>0.10606693588686859</v>
      </c>
      <c r="C255" s="18">
        <v>0.15060450327171951</v>
      </c>
      <c r="D255" s="18">
        <v>7.8961684355606285E-2</v>
      </c>
      <c r="E255" s="18">
        <v>0.1259919063051918</v>
      </c>
      <c r="F255" s="18">
        <v>0.10606693588686859</v>
      </c>
      <c r="G255" s="18">
        <v>9.5088532216425672E-2</v>
      </c>
      <c r="H255" s="18">
        <v>8.5233523956687623E-2</v>
      </c>
      <c r="I255" s="18">
        <v>5.8596492444843003E-2</v>
      </c>
    </row>
    <row r="256" spans="1:9" x14ac:dyDescent="0.35">
      <c r="A256" s="14" t="s">
        <v>201</v>
      </c>
      <c r="B256" s="18">
        <v>6.5371148434040793E-2</v>
      </c>
      <c r="C256" s="18">
        <v>6.4371633537058895E-2</v>
      </c>
      <c r="D256" s="18">
        <v>7.8423195876362067E-2</v>
      </c>
      <c r="E256" s="18">
        <v>5.0510058838251763E-2</v>
      </c>
      <c r="F256" s="18">
        <v>6.5371148434040793E-2</v>
      </c>
      <c r="G256" s="18">
        <v>6.9011616241581863E-2</v>
      </c>
      <c r="H256" s="18">
        <v>6.1859228543234578E-2</v>
      </c>
      <c r="I256" s="18">
        <v>8.1470646297252536E-2</v>
      </c>
    </row>
    <row r="257" spans="1:9" x14ac:dyDescent="0.35">
      <c r="A257" s="14" t="s">
        <v>202</v>
      </c>
      <c r="B257" s="18">
        <v>1.8309944800096421E-2</v>
      </c>
      <c r="C257" s="18">
        <v>6.4407712559284222E-2</v>
      </c>
      <c r="D257" s="18">
        <v>3.376885391001333E-2</v>
      </c>
      <c r="E257" s="18">
        <v>2.1749519116565551E-2</v>
      </c>
      <c r="F257" s="18">
        <v>1.8309944800096421E-2</v>
      </c>
      <c r="G257" s="18">
        <v>1.442655796497321E-2</v>
      </c>
      <c r="H257" s="18">
        <v>1.2931384524070709E-2</v>
      </c>
      <c r="I257" s="21">
        <v>0</v>
      </c>
    </row>
    <row r="258" spans="1:9" x14ac:dyDescent="0.35">
      <c r="A258" s="14" t="s">
        <v>211</v>
      </c>
      <c r="B258" s="18">
        <v>2.3340704426922178E-2</v>
      </c>
      <c r="C258" s="18">
        <v>0</v>
      </c>
      <c r="D258" s="18">
        <v>0</v>
      </c>
      <c r="E258" s="18">
        <v>2.7725321002867068E-2</v>
      </c>
      <c r="F258" s="18">
        <v>2.3340704426922178E-2</v>
      </c>
      <c r="G258" s="18">
        <v>1.8390335363355451E-2</v>
      </c>
      <c r="H258" s="18">
        <v>1.648435466641171E-2</v>
      </c>
      <c r="I258" s="18">
        <v>1.7563531854071449E-2</v>
      </c>
    </row>
    <row r="259" spans="1:9" x14ac:dyDescent="0.35">
      <c r="A259" s="14" t="s">
        <v>212</v>
      </c>
      <c r="B259" s="18">
        <v>2.140628657813623E-2</v>
      </c>
      <c r="C259" s="18">
        <v>0</v>
      </c>
      <c r="D259" s="18">
        <v>0</v>
      </c>
      <c r="E259" s="21">
        <v>0</v>
      </c>
      <c r="F259" s="18">
        <v>2.140628657813623E-2</v>
      </c>
      <c r="G259" s="18">
        <v>1.6866191433448991E-2</v>
      </c>
      <c r="H259" s="18">
        <v>1.511817353883425E-2</v>
      </c>
      <c r="I259" s="18">
        <v>1.610791128303813E-2</v>
      </c>
    </row>
    <row r="260" spans="1:9" x14ac:dyDescent="0.35">
      <c r="A260" s="14" t="s">
        <v>203</v>
      </c>
      <c r="B260" s="18">
        <v>3.2899365334321209E-2</v>
      </c>
      <c r="C260" s="18">
        <v>7.2495428301402418E-2</v>
      </c>
      <c r="D260" s="18">
        <v>3.8009229487859189E-2</v>
      </c>
      <c r="E260" s="18">
        <v>3.907960308312481E-2</v>
      </c>
      <c r="F260" s="18">
        <v>3.2899365334321223E-2</v>
      </c>
      <c r="G260" s="18">
        <v>2.592168388207897E-2</v>
      </c>
      <c r="H260" s="18">
        <v>2.323515162829707E-2</v>
      </c>
      <c r="I260" s="18">
        <v>9.2482144124204704E-3</v>
      </c>
    </row>
    <row r="261" spans="1:9" x14ac:dyDescent="0.35">
      <c r="A261" s="14" t="s">
        <v>204</v>
      </c>
      <c r="B261" s="18">
        <v>0</v>
      </c>
      <c r="C261" s="18">
        <v>0</v>
      </c>
      <c r="D261" s="18">
        <v>0</v>
      </c>
      <c r="E261" s="18">
        <v>0</v>
      </c>
      <c r="F261" s="18">
        <v>0</v>
      </c>
      <c r="G261" s="18">
        <v>0</v>
      </c>
      <c r="H261" s="18">
        <v>0</v>
      </c>
      <c r="I261" s="18">
        <v>0</v>
      </c>
    </row>
    <row r="262" spans="1:9" x14ac:dyDescent="0.35">
      <c r="A262" s="14" t="s">
        <v>213</v>
      </c>
      <c r="B262" s="1">
        <v>10.3111565010551</v>
      </c>
      <c r="C262" s="1">
        <v>7.3107133317153297</v>
      </c>
      <c r="D262" s="1">
        <v>12.202582460849239</v>
      </c>
      <c r="E262" s="1">
        <v>10.523663279548639</v>
      </c>
      <c r="F262" s="1">
        <v>10.3111565010551</v>
      </c>
      <c r="G262" s="1">
        <v>17.660471151490029</v>
      </c>
      <c r="H262" s="1">
        <v>19.727009827073271</v>
      </c>
      <c r="I262" s="1">
        <v>22.351738393859421</v>
      </c>
    </row>
    <row r="264" spans="1:9" x14ac:dyDescent="0.35">
      <c r="C264" s="187"/>
      <c r="D264" s="187"/>
      <c r="E264" s="187"/>
      <c r="F264" s="187"/>
      <c r="G264" s="170"/>
      <c r="H264" s="170"/>
      <c r="I264" s="170"/>
    </row>
    <row r="265" spans="1:9" ht="29" x14ac:dyDescent="0.35">
      <c r="A265" s="12" t="s">
        <v>504</v>
      </c>
      <c r="B265" s="13" t="s">
        <v>208</v>
      </c>
      <c r="C265" s="13" t="s">
        <v>458</v>
      </c>
      <c r="D265" s="13" t="s">
        <v>466</v>
      </c>
      <c r="E265" s="13" t="s">
        <v>467</v>
      </c>
      <c r="F265" s="13" t="s">
        <v>468</v>
      </c>
      <c r="G265" s="13" t="s">
        <v>636</v>
      </c>
      <c r="H265" s="13" t="s">
        <v>641</v>
      </c>
      <c r="I265" s="13" t="s">
        <v>647</v>
      </c>
    </row>
    <row r="266" spans="1:9" x14ac:dyDescent="0.35">
      <c r="A266" s="14" t="s">
        <v>209</v>
      </c>
      <c r="B266" s="15">
        <v>0</v>
      </c>
      <c r="C266" s="15">
        <v>0</v>
      </c>
      <c r="D266" s="15">
        <v>0</v>
      </c>
      <c r="E266" s="15">
        <v>0</v>
      </c>
      <c r="F266" s="15">
        <v>0</v>
      </c>
      <c r="G266" s="15">
        <v>0</v>
      </c>
      <c r="H266" s="15">
        <v>0</v>
      </c>
      <c r="I266" s="15">
        <v>0</v>
      </c>
    </row>
    <row r="267" spans="1:9" x14ac:dyDescent="0.35">
      <c r="A267" s="16" t="s">
        <v>336</v>
      </c>
      <c r="B267" s="17" t="s">
        <v>214</v>
      </c>
      <c r="C267" s="168" t="s">
        <v>214</v>
      </c>
      <c r="D267" s="168" t="s">
        <v>214</v>
      </c>
      <c r="E267" s="168" t="s">
        <v>214</v>
      </c>
      <c r="F267" s="168" t="s">
        <v>214</v>
      </c>
      <c r="G267" s="168" t="s">
        <v>214</v>
      </c>
      <c r="H267" s="168" t="s">
        <v>214</v>
      </c>
      <c r="I267" s="168" t="s">
        <v>214</v>
      </c>
    </row>
    <row r="268" spans="1:9" x14ac:dyDescent="0.35">
      <c r="A268" s="16" t="s">
        <v>194</v>
      </c>
      <c r="B268" s="17" t="s">
        <v>214</v>
      </c>
      <c r="C268" s="168" t="s">
        <v>214</v>
      </c>
      <c r="D268" s="168" t="s">
        <v>214</v>
      </c>
      <c r="E268" s="168" t="s">
        <v>214</v>
      </c>
      <c r="F268" s="168" t="s">
        <v>214</v>
      </c>
      <c r="G268" s="168" t="s">
        <v>214</v>
      </c>
      <c r="H268" s="168" t="s">
        <v>214</v>
      </c>
      <c r="I268" s="168" t="s">
        <v>214</v>
      </c>
    </row>
    <row r="269" spans="1:9" x14ac:dyDescent="0.35">
      <c r="A269" s="16" t="s">
        <v>195</v>
      </c>
      <c r="B269" s="17" t="s">
        <v>214</v>
      </c>
      <c r="C269" s="168" t="s">
        <v>214</v>
      </c>
      <c r="D269" s="168" t="s">
        <v>214</v>
      </c>
      <c r="E269" s="168" t="s">
        <v>214</v>
      </c>
      <c r="F269" s="168" t="s">
        <v>214</v>
      </c>
      <c r="G269" s="168" t="s">
        <v>214</v>
      </c>
      <c r="H269" s="168" t="s">
        <v>214</v>
      </c>
      <c r="I269" s="168" t="s">
        <v>214</v>
      </c>
    </row>
    <row r="270" spans="1:9" x14ac:dyDescent="0.35">
      <c r="A270" s="14" t="s">
        <v>210</v>
      </c>
      <c r="B270" s="18" t="s">
        <v>214</v>
      </c>
      <c r="C270" s="18" t="s">
        <v>214</v>
      </c>
      <c r="D270" s="18" t="s">
        <v>214</v>
      </c>
      <c r="E270" s="18" t="s">
        <v>214</v>
      </c>
      <c r="F270" s="18" t="s">
        <v>214</v>
      </c>
      <c r="G270" s="18" t="s">
        <v>214</v>
      </c>
      <c r="H270" s="18" t="s">
        <v>214</v>
      </c>
      <c r="I270" s="18" t="s">
        <v>214</v>
      </c>
    </row>
    <row r="271" spans="1:9" x14ac:dyDescent="0.35">
      <c r="A271" s="14" t="s">
        <v>197</v>
      </c>
      <c r="B271" s="18" t="s">
        <v>214</v>
      </c>
      <c r="C271" s="18" t="s">
        <v>214</v>
      </c>
      <c r="D271" s="18" t="s">
        <v>214</v>
      </c>
      <c r="E271" s="18" t="s">
        <v>214</v>
      </c>
      <c r="F271" s="18" t="s">
        <v>214</v>
      </c>
      <c r="G271" s="18" t="s">
        <v>214</v>
      </c>
      <c r="H271" s="18" t="s">
        <v>214</v>
      </c>
      <c r="I271" s="18" t="s">
        <v>214</v>
      </c>
    </row>
    <row r="272" spans="1:9" x14ac:dyDescent="0.35">
      <c r="A272" s="14" t="s">
        <v>198</v>
      </c>
      <c r="B272" s="18" t="s">
        <v>214</v>
      </c>
      <c r="C272" s="18" t="s">
        <v>214</v>
      </c>
      <c r="D272" s="18" t="s">
        <v>214</v>
      </c>
      <c r="E272" s="18" t="s">
        <v>214</v>
      </c>
      <c r="F272" s="18" t="s">
        <v>214</v>
      </c>
      <c r="G272" s="18" t="s">
        <v>214</v>
      </c>
      <c r="H272" s="18" t="s">
        <v>214</v>
      </c>
      <c r="I272" s="18" t="s">
        <v>214</v>
      </c>
    </row>
    <row r="273" spans="1:9" x14ac:dyDescent="0.35">
      <c r="A273" s="14" t="s">
        <v>199</v>
      </c>
      <c r="B273" s="18" t="s">
        <v>214</v>
      </c>
      <c r="C273" s="18" t="s">
        <v>214</v>
      </c>
      <c r="D273" s="18" t="s">
        <v>214</v>
      </c>
      <c r="E273" s="18" t="s">
        <v>214</v>
      </c>
      <c r="F273" s="18" t="s">
        <v>214</v>
      </c>
      <c r="G273" s="18" t="s">
        <v>214</v>
      </c>
      <c r="H273" s="18" t="s">
        <v>214</v>
      </c>
      <c r="I273" s="18" t="s">
        <v>214</v>
      </c>
    </row>
    <row r="274" spans="1:9" x14ac:dyDescent="0.35">
      <c r="A274" s="14" t="s">
        <v>200</v>
      </c>
      <c r="B274" s="18" t="s">
        <v>214</v>
      </c>
      <c r="C274" s="18" t="s">
        <v>214</v>
      </c>
      <c r="D274" s="18" t="s">
        <v>214</v>
      </c>
      <c r="E274" s="18" t="s">
        <v>214</v>
      </c>
      <c r="F274" s="18" t="s">
        <v>214</v>
      </c>
      <c r="G274" s="18" t="s">
        <v>214</v>
      </c>
      <c r="H274" s="18" t="s">
        <v>214</v>
      </c>
      <c r="I274" s="18" t="s">
        <v>214</v>
      </c>
    </row>
    <row r="275" spans="1:9" x14ac:dyDescent="0.35">
      <c r="A275" s="14" t="s">
        <v>201</v>
      </c>
      <c r="B275" s="18" t="s">
        <v>214</v>
      </c>
      <c r="C275" s="18" t="s">
        <v>214</v>
      </c>
      <c r="D275" s="18" t="s">
        <v>214</v>
      </c>
      <c r="E275" s="18" t="s">
        <v>214</v>
      </c>
      <c r="F275" s="18" t="s">
        <v>214</v>
      </c>
      <c r="G275" s="18" t="s">
        <v>214</v>
      </c>
      <c r="H275" s="18" t="s">
        <v>214</v>
      </c>
      <c r="I275" s="18" t="s">
        <v>214</v>
      </c>
    </row>
    <row r="276" spans="1:9" x14ac:dyDescent="0.35">
      <c r="A276" s="14" t="s">
        <v>202</v>
      </c>
      <c r="B276" s="18" t="s">
        <v>214</v>
      </c>
      <c r="C276" s="18" t="s">
        <v>214</v>
      </c>
      <c r="D276" s="18" t="s">
        <v>214</v>
      </c>
      <c r="E276" s="18" t="s">
        <v>214</v>
      </c>
      <c r="F276" s="18" t="s">
        <v>214</v>
      </c>
      <c r="G276" s="18" t="s">
        <v>214</v>
      </c>
      <c r="H276" s="18" t="s">
        <v>214</v>
      </c>
      <c r="I276" s="18" t="s">
        <v>214</v>
      </c>
    </row>
    <row r="277" spans="1:9" x14ac:dyDescent="0.35">
      <c r="A277" s="14" t="s">
        <v>211</v>
      </c>
      <c r="B277" s="18" t="s">
        <v>214</v>
      </c>
      <c r="C277" s="18" t="s">
        <v>214</v>
      </c>
      <c r="D277" s="18" t="s">
        <v>214</v>
      </c>
      <c r="E277" s="18" t="s">
        <v>214</v>
      </c>
      <c r="F277" s="18" t="s">
        <v>214</v>
      </c>
      <c r="G277" s="18" t="s">
        <v>214</v>
      </c>
      <c r="H277" s="18" t="s">
        <v>214</v>
      </c>
      <c r="I277" s="18" t="s">
        <v>214</v>
      </c>
    </row>
    <row r="278" spans="1:9" x14ac:dyDescent="0.35">
      <c r="A278" s="14" t="s">
        <v>212</v>
      </c>
      <c r="B278" s="18" t="s">
        <v>214</v>
      </c>
      <c r="C278" s="18" t="s">
        <v>214</v>
      </c>
      <c r="D278" s="18" t="s">
        <v>214</v>
      </c>
      <c r="E278" s="18" t="s">
        <v>214</v>
      </c>
      <c r="F278" s="18" t="s">
        <v>214</v>
      </c>
      <c r="G278" s="18" t="s">
        <v>214</v>
      </c>
      <c r="H278" s="18" t="s">
        <v>214</v>
      </c>
      <c r="I278" s="18" t="s">
        <v>214</v>
      </c>
    </row>
    <row r="279" spans="1:9" x14ac:dyDescent="0.35">
      <c r="A279" s="14" t="s">
        <v>203</v>
      </c>
      <c r="B279" s="18" t="s">
        <v>214</v>
      </c>
      <c r="C279" s="18" t="s">
        <v>214</v>
      </c>
      <c r="D279" s="18" t="s">
        <v>214</v>
      </c>
      <c r="E279" s="18" t="s">
        <v>214</v>
      </c>
      <c r="F279" s="18" t="s">
        <v>214</v>
      </c>
      <c r="G279" s="18" t="s">
        <v>214</v>
      </c>
      <c r="H279" s="18" t="s">
        <v>214</v>
      </c>
      <c r="I279" s="18" t="s">
        <v>214</v>
      </c>
    </row>
    <row r="280" spans="1:9" x14ac:dyDescent="0.35">
      <c r="A280" s="14" t="s">
        <v>204</v>
      </c>
      <c r="B280" s="18" t="s">
        <v>214</v>
      </c>
      <c r="C280" s="18" t="s">
        <v>214</v>
      </c>
      <c r="D280" s="18" t="s">
        <v>214</v>
      </c>
      <c r="E280" s="18" t="s">
        <v>214</v>
      </c>
      <c r="F280" s="18" t="s">
        <v>214</v>
      </c>
      <c r="G280" s="18" t="s">
        <v>214</v>
      </c>
      <c r="H280" s="18" t="s">
        <v>214</v>
      </c>
      <c r="I280" s="18" t="s">
        <v>214</v>
      </c>
    </row>
    <row r="282" spans="1:9" x14ac:dyDescent="0.35">
      <c r="C282" s="187"/>
      <c r="D282" s="187"/>
      <c r="E282" s="187"/>
      <c r="F282" s="187"/>
      <c r="G282" s="170"/>
      <c r="H282" s="170"/>
      <c r="I282" s="170"/>
    </row>
    <row r="283" spans="1:9" ht="29" x14ac:dyDescent="0.35">
      <c r="A283" s="12" t="s">
        <v>505</v>
      </c>
      <c r="B283" s="13" t="s">
        <v>208</v>
      </c>
      <c r="C283" s="13" t="s">
        <v>458</v>
      </c>
      <c r="D283" s="13" t="s">
        <v>466</v>
      </c>
      <c r="E283" s="13" t="s">
        <v>467</v>
      </c>
      <c r="F283" s="13" t="s">
        <v>468</v>
      </c>
      <c r="G283" s="13" t="s">
        <v>636</v>
      </c>
      <c r="H283" s="13" t="s">
        <v>641</v>
      </c>
      <c r="I283" s="13" t="s">
        <v>647</v>
      </c>
    </row>
    <row r="284" spans="1:9" x14ac:dyDescent="0.35">
      <c r="A284" s="14" t="s">
        <v>209</v>
      </c>
      <c r="B284" s="15">
        <v>0</v>
      </c>
      <c r="C284" s="15">
        <v>0</v>
      </c>
      <c r="D284" s="15">
        <v>0</v>
      </c>
      <c r="E284" s="15">
        <v>0</v>
      </c>
      <c r="F284" s="15">
        <v>0</v>
      </c>
      <c r="G284" s="15">
        <v>0</v>
      </c>
      <c r="H284" s="15">
        <v>0</v>
      </c>
      <c r="I284" s="15">
        <v>0</v>
      </c>
    </row>
    <row r="285" spans="1:9" x14ac:dyDescent="0.35">
      <c r="A285" s="16" t="s">
        <v>336</v>
      </c>
      <c r="B285" s="17" t="s">
        <v>214</v>
      </c>
      <c r="C285" s="168" t="s">
        <v>214</v>
      </c>
      <c r="D285" s="168" t="s">
        <v>214</v>
      </c>
      <c r="E285" s="168" t="s">
        <v>214</v>
      </c>
      <c r="F285" s="168" t="s">
        <v>214</v>
      </c>
      <c r="G285" s="168" t="s">
        <v>214</v>
      </c>
      <c r="H285" s="168" t="s">
        <v>214</v>
      </c>
      <c r="I285" s="168" t="s">
        <v>214</v>
      </c>
    </row>
    <row r="286" spans="1:9" x14ac:dyDescent="0.35">
      <c r="A286" s="16" t="s">
        <v>194</v>
      </c>
      <c r="B286" s="17" t="s">
        <v>214</v>
      </c>
      <c r="C286" s="168" t="s">
        <v>214</v>
      </c>
      <c r="D286" s="168" t="s">
        <v>214</v>
      </c>
      <c r="E286" s="168" t="s">
        <v>214</v>
      </c>
      <c r="F286" s="168" t="s">
        <v>214</v>
      </c>
      <c r="G286" s="168" t="s">
        <v>214</v>
      </c>
      <c r="H286" s="168" t="s">
        <v>214</v>
      </c>
      <c r="I286" s="168" t="s">
        <v>214</v>
      </c>
    </row>
    <row r="287" spans="1:9" x14ac:dyDescent="0.35">
      <c r="A287" s="16" t="s">
        <v>195</v>
      </c>
      <c r="B287" s="17" t="s">
        <v>214</v>
      </c>
      <c r="C287" s="168" t="s">
        <v>214</v>
      </c>
      <c r="D287" s="168" t="s">
        <v>214</v>
      </c>
      <c r="E287" s="168" t="s">
        <v>214</v>
      </c>
      <c r="F287" s="168" t="s">
        <v>214</v>
      </c>
      <c r="G287" s="168" t="s">
        <v>214</v>
      </c>
      <c r="H287" s="168" t="s">
        <v>214</v>
      </c>
      <c r="I287" s="168" t="s">
        <v>214</v>
      </c>
    </row>
    <row r="288" spans="1:9" x14ac:dyDescent="0.35">
      <c r="A288" s="14" t="s">
        <v>210</v>
      </c>
      <c r="B288" s="18" t="s">
        <v>214</v>
      </c>
      <c r="C288" s="18" t="s">
        <v>214</v>
      </c>
      <c r="D288" s="18" t="s">
        <v>214</v>
      </c>
      <c r="E288" s="18" t="s">
        <v>214</v>
      </c>
      <c r="F288" s="18" t="s">
        <v>214</v>
      </c>
      <c r="G288" s="18" t="s">
        <v>214</v>
      </c>
      <c r="H288" s="18" t="s">
        <v>214</v>
      </c>
      <c r="I288" s="18" t="s">
        <v>214</v>
      </c>
    </row>
    <row r="289" spans="1:9" x14ac:dyDescent="0.35">
      <c r="A289" s="14" t="s">
        <v>197</v>
      </c>
      <c r="B289" s="18" t="s">
        <v>214</v>
      </c>
      <c r="C289" s="18" t="s">
        <v>214</v>
      </c>
      <c r="D289" s="18" t="s">
        <v>214</v>
      </c>
      <c r="E289" s="18" t="s">
        <v>214</v>
      </c>
      <c r="F289" s="18" t="s">
        <v>214</v>
      </c>
      <c r="G289" s="18" t="s">
        <v>214</v>
      </c>
      <c r="H289" s="18" t="s">
        <v>214</v>
      </c>
      <c r="I289" s="18" t="s">
        <v>214</v>
      </c>
    </row>
    <row r="290" spans="1:9" x14ac:dyDescent="0.35">
      <c r="A290" s="14" t="s">
        <v>198</v>
      </c>
      <c r="B290" s="18" t="s">
        <v>214</v>
      </c>
      <c r="C290" s="18" t="s">
        <v>214</v>
      </c>
      <c r="D290" s="18" t="s">
        <v>214</v>
      </c>
      <c r="E290" s="18" t="s">
        <v>214</v>
      </c>
      <c r="F290" s="18" t="s">
        <v>214</v>
      </c>
      <c r="G290" s="18" t="s">
        <v>214</v>
      </c>
      <c r="H290" s="18" t="s">
        <v>214</v>
      </c>
      <c r="I290" s="18" t="s">
        <v>214</v>
      </c>
    </row>
    <row r="291" spans="1:9" x14ac:dyDescent="0.35">
      <c r="A291" s="14" t="s">
        <v>199</v>
      </c>
      <c r="B291" s="18" t="s">
        <v>214</v>
      </c>
      <c r="C291" s="18" t="s">
        <v>214</v>
      </c>
      <c r="D291" s="18" t="s">
        <v>214</v>
      </c>
      <c r="E291" s="18" t="s">
        <v>214</v>
      </c>
      <c r="F291" s="18" t="s">
        <v>214</v>
      </c>
      <c r="G291" s="18" t="s">
        <v>214</v>
      </c>
      <c r="H291" s="18" t="s">
        <v>214</v>
      </c>
      <c r="I291" s="18" t="s">
        <v>214</v>
      </c>
    </row>
    <row r="292" spans="1:9" x14ac:dyDescent="0.35">
      <c r="A292" s="14" t="s">
        <v>200</v>
      </c>
      <c r="B292" s="18" t="s">
        <v>214</v>
      </c>
      <c r="C292" s="18" t="s">
        <v>214</v>
      </c>
      <c r="D292" s="18" t="s">
        <v>214</v>
      </c>
      <c r="E292" s="18" t="s">
        <v>214</v>
      </c>
      <c r="F292" s="18" t="s">
        <v>214</v>
      </c>
      <c r="G292" s="18" t="s">
        <v>214</v>
      </c>
      <c r="H292" s="18" t="s">
        <v>214</v>
      </c>
      <c r="I292" s="18" t="s">
        <v>214</v>
      </c>
    </row>
    <row r="293" spans="1:9" x14ac:dyDescent="0.35">
      <c r="A293" s="14" t="s">
        <v>201</v>
      </c>
      <c r="B293" s="18" t="s">
        <v>214</v>
      </c>
      <c r="C293" s="18" t="s">
        <v>214</v>
      </c>
      <c r="D293" s="18" t="s">
        <v>214</v>
      </c>
      <c r="E293" s="18" t="s">
        <v>214</v>
      </c>
      <c r="F293" s="18" t="s">
        <v>214</v>
      </c>
      <c r="G293" s="18" t="s">
        <v>214</v>
      </c>
      <c r="H293" s="18" t="s">
        <v>214</v>
      </c>
      <c r="I293" s="18" t="s">
        <v>214</v>
      </c>
    </row>
    <row r="294" spans="1:9" x14ac:dyDescent="0.35">
      <c r="A294" s="14" t="s">
        <v>202</v>
      </c>
      <c r="B294" s="18" t="s">
        <v>214</v>
      </c>
      <c r="C294" s="18" t="s">
        <v>214</v>
      </c>
      <c r="D294" s="18" t="s">
        <v>214</v>
      </c>
      <c r="E294" s="18" t="s">
        <v>214</v>
      </c>
      <c r="F294" s="18" t="s">
        <v>214</v>
      </c>
      <c r="G294" s="18" t="s">
        <v>214</v>
      </c>
      <c r="H294" s="18" t="s">
        <v>214</v>
      </c>
      <c r="I294" s="18" t="s">
        <v>214</v>
      </c>
    </row>
    <row r="295" spans="1:9" x14ac:dyDescent="0.35">
      <c r="A295" s="14" t="s">
        <v>211</v>
      </c>
      <c r="B295" s="18" t="s">
        <v>214</v>
      </c>
      <c r="C295" s="18" t="s">
        <v>214</v>
      </c>
      <c r="D295" s="18" t="s">
        <v>214</v>
      </c>
      <c r="E295" s="18" t="s">
        <v>214</v>
      </c>
      <c r="F295" s="18" t="s">
        <v>214</v>
      </c>
      <c r="G295" s="18" t="s">
        <v>214</v>
      </c>
      <c r="H295" s="18" t="s">
        <v>214</v>
      </c>
      <c r="I295" s="18" t="s">
        <v>214</v>
      </c>
    </row>
    <row r="296" spans="1:9" x14ac:dyDescent="0.35">
      <c r="A296" s="14" t="s">
        <v>212</v>
      </c>
      <c r="B296" s="18" t="s">
        <v>214</v>
      </c>
      <c r="C296" s="18" t="s">
        <v>214</v>
      </c>
      <c r="D296" s="18" t="s">
        <v>214</v>
      </c>
      <c r="E296" s="18" t="s">
        <v>214</v>
      </c>
      <c r="F296" s="18" t="s">
        <v>214</v>
      </c>
      <c r="G296" s="18" t="s">
        <v>214</v>
      </c>
      <c r="H296" s="18" t="s">
        <v>214</v>
      </c>
      <c r="I296" s="18" t="s">
        <v>214</v>
      </c>
    </row>
    <row r="297" spans="1:9" x14ac:dyDescent="0.35">
      <c r="A297" s="14" t="s">
        <v>203</v>
      </c>
      <c r="B297" s="18" t="s">
        <v>214</v>
      </c>
      <c r="C297" s="18" t="s">
        <v>214</v>
      </c>
      <c r="D297" s="18" t="s">
        <v>214</v>
      </c>
      <c r="E297" s="18" t="s">
        <v>214</v>
      </c>
      <c r="F297" s="18" t="s">
        <v>214</v>
      </c>
      <c r="G297" s="18" t="s">
        <v>214</v>
      </c>
      <c r="H297" s="18" t="s">
        <v>214</v>
      </c>
      <c r="I297" s="18" t="s">
        <v>214</v>
      </c>
    </row>
    <row r="298" spans="1:9" x14ac:dyDescent="0.35">
      <c r="A298" s="14" t="s">
        <v>204</v>
      </c>
      <c r="B298" s="18" t="s">
        <v>214</v>
      </c>
      <c r="C298" s="18" t="s">
        <v>214</v>
      </c>
      <c r="D298" s="18" t="s">
        <v>214</v>
      </c>
      <c r="E298" s="18" t="s">
        <v>214</v>
      </c>
      <c r="F298" s="18" t="s">
        <v>214</v>
      </c>
      <c r="G298" s="18" t="s">
        <v>214</v>
      </c>
      <c r="H298" s="18" t="s">
        <v>214</v>
      </c>
      <c r="I298" s="18" t="s">
        <v>214</v>
      </c>
    </row>
    <row r="300" spans="1:9" x14ac:dyDescent="0.35">
      <c r="C300" s="187"/>
      <c r="D300" s="187"/>
      <c r="E300" s="187"/>
      <c r="F300" s="187"/>
      <c r="G300" s="170"/>
      <c r="H300" s="170"/>
      <c r="I300" s="170"/>
    </row>
    <row r="301" spans="1:9" ht="29" x14ac:dyDescent="0.35">
      <c r="A301" s="12" t="s">
        <v>506</v>
      </c>
      <c r="B301" s="13" t="s">
        <v>208</v>
      </c>
      <c r="C301" s="13" t="s">
        <v>458</v>
      </c>
      <c r="D301" s="13" t="s">
        <v>466</v>
      </c>
      <c r="E301" s="13" t="s">
        <v>467</v>
      </c>
      <c r="F301" s="13" t="s">
        <v>468</v>
      </c>
      <c r="G301" s="13" t="s">
        <v>636</v>
      </c>
      <c r="H301" s="13" t="s">
        <v>641</v>
      </c>
      <c r="I301" s="13" t="s">
        <v>647</v>
      </c>
    </row>
    <row r="302" spans="1:9" x14ac:dyDescent="0.35">
      <c r="A302" s="14" t="s">
        <v>209</v>
      </c>
      <c r="B302" s="15">
        <v>35</v>
      </c>
      <c r="C302" s="15">
        <v>10</v>
      </c>
      <c r="D302" s="15">
        <v>20</v>
      </c>
      <c r="E302" s="15">
        <v>27</v>
      </c>
      <c r="F302" s="15">
        <v>35</v>
      </c>
      <c r="G302" s="15">
        <v>47</v>
      </c>
      <c r="H302" s="15">
        <v>57</v>
      </c>
      <c r="I302" s="15">
        <v>53</v>
      </c>
    </row>
    <row r="303" spans="1:9" x14ac:dyDescent="0.35">
      <c r="A303" s="16" t="s">
        <v>336</v>
      </c>
      <c r="B303" s="17">
        <v>0.15929322592186351</v>
      </c>
      <c r="C303" s="17">
        <v>0.2052865045819591</v>
      </c>
      <c r="D303" s="17">
        <v>0.15715451764549551</v>
      </c>
      <c r="E303" s="17">
        <v>0.13940129629855211</v>
      </c>
      <c r="F303" s="17">
        <v>0.1592932259218634</v>
      </c>
      <c r="G303" s="17">
        <v>0.1942729897612642</v>
      </c>
      <c r="H303" s="17">
        <v>0.22901558367440489</v>
      </c>
      <c r="I303" s="17">
        <v>0.20820996775165571</v>
      </c>
    </row>
    <row r="304" spans="1:9" x14ac:dyDescent="0.35">
      <c r="A304" s="16" t="s">
        <v>194</v>
      </c>
      <c r="B304" s="17">
        <v>0.43225024109574117</v>
      </c>
      <c r="C304" s="17">
        <v>0.49134012813778533</v>
      </c>
      <c r="D304" s="17">
        <v>0.52328990594941238</v>
      </c>
      <c r="E304" s="17">
        <v>0.48758431628031018</v>
      </c>
      <c r="F304" s="17">
        <v>0.43225024109574112</v>
      </c>
      <c r="G304" s="17">
        <v>0.46839711991759347</v>
      </c>
      <c r="H304" s="17">
        <v>0.45446227274790429</v>
      </c>
      <c r="I304" s="17">
        <v>0.46935874696540592</v>
      </c>
    </row>
    <row r="305" spans="1:9" x14ac:dyDescent="0.35">
      <c r="A305" s="16" t="s">
        <v>195</v>
      </c>
      <c r="B305" s="17">
        <v>0.40845653298239543</v>
      </c>
      <c r="C305" s="17">
        <v>0.30337336728025582</v>
      </c>
      <c r="D305" s="17">
        <v>0.31955557640509219</v>
      </c>
      <c r="E305" s="17">
        <v>0.37301438742113768</v>
      </c>
      <c r="F305" s="17">
        <v>0.40845653298239532</v>
      </c>
      <c r="G305" s="17">
        <v>0.33732989032114219</v>
      </c>
      <c r="H305" s="17">
        <v>0.31652214357769087</v>
      </c>
      <c r="I305" s="17">
        <v>0.32243128528293852</v>
      </c>
    </row>
    <row r="306" spans="1:9" x14ac:dyDescent="0.35">
      <c r="A306" s="14" t="s">
        <v>210</v>
      </c>
      <c r="B306" s="18">
        <v>1.8792281785369881E-2</v>
      </c>
      <c r="C306" s="18">
        <v>0</v>
      </c>
      <c r="D306" s="18">
        <v>0</v>
      </c>
      <c r="E306" s="18">
        <v>2.4454888437787609E-2</v>
      </c>
      <c r="F306" s="18">
        <v>1.8792281785369881E-2</v>
      </c>
      <c r="G306" s="25">
        <v>3.2932083441297548E-2</v>
      </c>
      <c r="H306" s="18">
        <v>2.7258356800213341E-2</v>
      </c>
      <c r="I306" s="18">
        <v>2.9466912529262319E-2</v>
      </c>
    </row>
    <row r="307" spans="1:9" x14ac:dyDescent="0.35">
      <c r="A307" s="14" t="s">
        <v>197</v>
      </c>
      <c r="B307" s="18">
        <v>0.14050094413649361</v>
      </c>
      <c r="C307" s="18">
        <v>0.2052865045819591</v>
      </c>
      <c r="D307" s="18">
        <v>0.15715451764549551</v>
      </c>
      <c r="E307" s="18">
        <v>0.1149464078607645</v>
      </c>
      <c r="F307" s="18">
        <v>0.1405009441364935</v>
      </c>
      <c r="G307" s="18">
        <v>0.16134090631996659</v>
      </c>
      <c r="H307" s="18">
        <v>0.20175722687419159</v>
      </c>
      <c r="I307" s="18">
        <v>0.17874305522239331</v>
      </c>
    </row>
    <row r="308" spans="1:9" x14ac:dyDescent="0.35">
      <c r="A308" s="14" t="s">
        <v>198</v>
      </c>
      <c r="B308" s="18">
        <v>0.23714627902021901</v>
      </c>
      <c r="C308" s="18">
        <v>0.31522783532301563</v>
      </c>
      <c r="D308" s="18">
        <v>0.32449798431406218</v>
      </c>
      <c r="E308" s="20">
        <v>0.30860466350556898</v>
      </c>
      <c r="F308" s="18">
        <v>0.23714627902021901</v>
      </c>
      <c r="G308" s="18">
        <v>0.25982155783538158</v>
      </c>
      <c r="H308" s="18">
        <v>0.24607696711428881</v>
      </c>
      <c r="I308" s="18">
        <v>0.241571704987983</v>
      </c>
    </row>
    <row r="309" spans="1:9" x14ac:dyDescent="0.35">
      <c r="A309" s="14" t="s">
        <v>199</v>
      </c>
      <c r="B309" s="18">
        <v>0.19510396207552219</v>
      </c>
      <c r="C309" s="18">
        <v>0.17611229281476959</v>
      </c>
      <c r="D309" s="18">
        <v>0.19879192163535009</v>
      </c>
      <c r="E309" s="18">
        <v>0.17897965277474109</v>
      </c>
      <c r="F309" s="18">
        <v>0.19510396207552211</v>
      </c>
      <c r="G309" s="18">
        <v>0.20857556208221201</v>
      </c>
      <c r="H309" s="18">
        <v>0.20838530563361549</v>
      </c>
      <c r="I309" s="18">
        <v>0.22778704197742289</v>
      </c>
    </row>
    <row r="310" spans="1:9" x14ac:dyDescent="0.35">
      <c r="A310" s="14" t="s">
        <v>200</v>
      </c>
      <c r="B310" s="18">
        <v>0.12921917892786891</v>
      </c>
      <c r="C310" s="18">
        <v>0.1149379938366379</v>
      </c>
      <c r="D310" s="18">
        <v>0.1735744713212112</v>
      </c>
      <c r="E310" s="18">
        <v>0.12695633745452431</v>
      </c>
      <c r="F310" s="18">
        <v>0.12921917892786891</v>
      </c>
      <c r="G310" s="18">
        <v>0.12328077836828311</v>
      </c>
      <c r="H310" s="18">
        <v>0.1020412646943749</v>
      </c>
      <c r="I310" s="18">
        <v>0.1079586014285621</v>
      </c>
    </row>
    <row r="311" spans="1:9" x14ac:dyDescent="0.35">
      <c r="A311" s="14" t="s">
        <v>201</v>
      </c>
      <c r="B311" s="18">
        <v>6.2302822114511471E-2</v>
      </c>
      <c r="C311" s="18">
        <v>9.0756646453449871E-2</v>
      </c>
      <c r="D311" s="18">
        <v>4.5138615827587318E-2</v>
      </c>
      <c r="E311" s="18">
        <v>8.1076294064292925E-2</v>
      </c>
      <c r="F311" s="18">
        <v>6.2302822114511457E-2</v>
      </c>
      <c r="G311" s="18">
        <v>4.7758165417811721E-2</v>
      </c>
      <c r="H311" s="18">
        <v>7.68394824202768E-2</v>
      </c>
      <c r="I311" s="18">
        <v>6.5663782835040374E-2</v>
      </c>
    </row>
    <row r="312" spans="1:9" x14ac:dyDescent="0.35">
      <c r="A312" s="14" t="s">
        <v>202</v>
      </c>
      <c r="B312" s="18">
        <v>0</v>
      </c>
      <c r="C312" s="18">
        <v>0</v>
      </c>
      <c r="D312" s="18">
        <v>0</v>
      </c>
      <c r="E312" s="18">
        <v>0</v>
      </c>
      <c r="F312" s="18">
        <v>0</v>
      </c>
      <c r="G312" s="18">
        <v>0</v>
      </c>
      <c r="H312" s="18">
        <v>0</v>
      </c>
      <c r="I312" s="18">
        <v>1.8744070226624238E-2</v>
      </c>
    </row>
    <row r="313" spans="1:9" x14ac:dyDescent="0.35">
      <c r="A313" s="14" t="s">
        <v>211</v>
      </c>
      <c r="B313" s="18">
        <v>2.9820460957298001E-2</v>
      </c>
      <c r="C313" s="18">
        <v>0</v>
      </c>
      <c r="D313" s="18">
        <v>0</v>
      </c>
      <c r="E313" s="23">
        <v>0</v>
      </c>
      <c r="F313" s="18">
        <v>2.9820460957298001E-2</v>
      </c>
      <c r="G313" s="18">
        <v>2.285884425293664E-2</v>
      </c>
      <c r="H313" s="18">
        <v>1.8920592552175999E-2</v>
      </c>
      <c r="I313" s="18">
        <v>2.0453597031660359E-2</v>
      </c>
    </row>
    <row r="314" spans="1:9" x14ac:dyDescent="0.35">
      <c r="A314" s="14" t="s">
        <v>212</v>
      </c>
      <c r="B314" s="18">
        <v>9.2202791619555233E-2</v>
      </c>
      <c r="C314" s="18">
        <v>0</v>
      </c>
      <c r="D314" s="18">
        <v>5.2261115831500483E-2</v>
      </c>
      <c r="E314" s="18">
        <v>8.1387350205838552E-2</v>
      </c>
      <c r="F314" s="18">
        <v>9.2202791619555219E-2</v>
      </c>
      <c r="G314" s="25">
        <v>7.067795686778533E-2</v>
      </c>
      <c r="H314" s="18">
        <v>5.8501156467866453E-2</v>
      </c>
      <c r="I314" s="18">
        <v>6.3241099716099439E-2</v>
      </c>
    </row>
    <row r="315" spans="1:9" x14ac:dyDescent="0.35">
      <c r="A315" s="14" t="s">
        <v>203</v>
      </c>
      <c r="B315" s="18">
        <v>0</v>
      </c>
      <c r="C315" s="18">
        <v>0</v>
      </c>
      <c r="D315" s="18">
        <v>0</v>
      </c>
      <c r="E315" s="18">
        <v>0</v>
      </c>
      <c r="F315" s="18">
        <v>0</v>
      </c>
      <c r="G315" s="18">
        <v>0</v>
      </c>
      <c r="H315" s="18">
        <v>0</v>
      </c>
      <c r="I315" s="18">
        <v>0</v>
      </c>
    </row>
    <row r="316" spans="1:9" x14ac:dyDescent="0.35">
      <c r="A316" s="14" t="s">
        <v>204</v>
      </c>
      <c r="B316" s="18">
        <v>9.4911279363161766E-2</v>
      </c>
      <c r="C316" s="18">
        <v>9.7678726990168038E-2</v>
      </c>
      <c r="D316" s="18">
        <v>4.858137342479317E-2</v>
      </c>
      <c r="E316" s="18">
        <v>8.359440569648191E-2</v>
      </c>
      <c r="F316" s="18">
        <v>9.4911279363161738E-2</v>
      </c>
      <c r="G316" s="18">
        <v>7.2754145414325455E-2</v>
      </c>
      <c r="H316" s="18">
        <v>6.0219647442996731E-2</v>
      </c>
      <c r="I316" s="18">
        <v>4.6370134044952008E-2</v>
      </c>
    </row>
    <row r="317" spans="1:9" x14ac:dyDescent="0.35">
      <c r="A317" s="14" t="s">
        <v>213</v>
      </c>
      <c r="B317" s="1">
        <v>-24.916330706053191</v>
      </c>
      <c r="C317" s="1">
        <v>-9.8086862698296695</v>
      </c>
      <c r="D317" s="1">
        <v>-16.240105875959671</v>
      </c>
      <c r="E317" s="1">
        <v>-23.36130911225856</v>
      </c>
      <c r="F317" s="1">
        <v>-24.916330706053191</v>
      </c>
      <c r="G317" s="1">
        <v>-14.30569005598781</v>
      </c>
      <c r="H317" s="1">
        <v>-8.7506559903285979</v>
      </c>
      <c r="I317" s="1">
        <v>-11.422131753128291</v>
      </c>
    </row>
    <row r="319" spans="1:9" x14ac:dyDescent="0.35">
      <c r="C319" s="187"/>
      <c r="D319" s="187"/>
      <c r="E319" s="187"/>
      <c r="F319" s="187"/>
      <c r="G319" s="170"/>
      <c r="H319" s="170"/>
      <c r="I319" s="170"/>
    </row>
    <row r="320" spans="1:9" ht="29" x14ac:dyDescent="0.35">
      <c r="A320" s="12" t="s">
        <v>507</v>
      </c>
      <c r="B320" s="13" t="s">
        <v>208</v>
      </c>
      <c r="C320" s="13" t="s">
        <v>458</v>
      </c>
      <c r="D320" s="13" t="s">
        <v>466</v>
      </c>
      <c r="E320" s="13" t="s">
        <v>467</v>
      </c>
      <c r="F320" s="13" t="s">
        <v>468</v>
      </c>
      <c r="G320" s="13" t="s">
        <v>636</v>
      </c>
      <c r="H320" s="13" t="s">
        <v>641</v>
      </c>
      <c r="I320" s="13" t="s">
        <v>647</v>
      </c>
    </row>
    <row r="321" spans="1:9" x14ac:dyDescent="0.35">
      <c r="A321" s="14" t="s">
        <v>209</v>
      </c>
      <c r="B321" s="15">
        <v>107</v>
      </c>
      <c r="C321" s="15">
        <v>28</v>
      </c>
      <c r="D321" s="15">
        <v>50</v>
      </c>
      <c r="E321" s="15">
        <v>83</v>
      </c>
      <c r="F321" s="15">
        <v>107</v>
      </c>
      <c r="G321" s="15">
        <v>131</v>
      </c>
      <c r="H321" s="15">
        <v>152</v>
      </c>
      <c r="I321" s="15">
        <v>148</v>
      </c>
    </row>
    <row r="322" spans="1:9" x14ac:dyDescent="0.35">
      <c r="A322" s="16" t="s">
        <v>336</v>
      </c>
      <c r="B322" s="17">
        <v>0.38868013714107741</v>
      </c>
      <c r="C322" s="17">
        <v>0.34528629272912581</v>
      </c>
      <c r="D322" s="17">
        <v>0.36733720914667239</v>
      </c>
      <c r="E322" s="17">
        <v>0.38175724136560202</v>
      </c>
      <c r="F322" s="17">
        <v>0.38868013714107752</v>
      </c>
      <c r="G322" s="17">
        <v>0.37260884653070642</v>
      </c>
      <c r="H322" s="17">
        <v>0.36850997672388169</v>
      </c>
      <c r="I322" s="17">
        <v>0.3946374661082695</v>
      </c>
    </row>
    <row r="323" spans="1:9" x14ac:dyDescent="0.35">
      <c r="A323" s="16" t="s">
        <v>194</v>
      </c>
      <c r="B323" s="17">
        <v>0.44735793964047171</v>
      </c>
      <c r="C323" s="17">
        <v>0.40130946454026117</v>
      </c>
      <c r="D323" s="17">
        <v>0.39274740973721523</v>
      </c>
      <c r="E323" s="17">
        <v>0.44494919300278091</v>
      </c>
      <c r="F323" s="17">
        <v>0.44735793964047171</v>
      </c>
      <c r="G323" s="17">
        <v>0.45304811895648339</v>
      </c>
      <c r="H323" s="17">
        <v>0.46680310269763942</v>
      </c>
      <c r="I323" s="17">
        <v>0.46334158576426249</v>
      </c>
    </row>
    <row r="324" spans="1:9" x14ac:dyDescent="0.35">
      <c r="A324" s="16" t="s">
        <v>195</v>
      </c>
      <c r="B324" s="17">
        <v>0.16396192321845091</v>
      </c>
      <c r="C324" s="17">
        <v>0.25340424273061313</v>
      </c>
      <c r="D324" s="149">
        <v>0.23991538111611219</v>
      </c>
      <c r="E324" s="17">
        <v>0.17329356563161721</v>
      </c>
      <c r="F324" s="17">
        <v>0.16396192321845091</v>
      </c>
      <c r="G324" s="17">
        <v>0.17434303451281011</v>
      </c>
      <c r="H324" s="17">
        <v>0.164686920578479</v>
      </c>
      <c r="I324" s="17">
        <v>0.1420209481274681</v>
      </c>
    </row>
    <row r="325" spans="1:9" x14ac:dyDescent="0.35">
      <c r="A325" s="14" t="s">
        <v>210</v>
      </c>
      <c r="B325" s="18">
        <v>0.181948485672041</v>
      </c>
      <c r="C325" s="18">
        <v>0.1104660325690856</v>
      </c>
      <c r="D325" s="18">
        <v>0.1248026145704771</v>
      </c>
      <c r="E325" s="21">
        <v>0.1382368888527718</v>
      </c>
      <c r="F325" s="25">
        <v>0.181948485672041</v>
      </c>
      <c r="G325" s="18">
        <v>0.18665181794788449</v>
      </c>
      <c r="H325" s="18">
        <v>0.18033441885661311</v>
      </c>
      <c r="I325" s="18">
        <v>0.19817553835919691</v>
      </c>
    </row>
    <row r="326" spans="1:9" x14ac:dyDescent="0.35">
      <c r="A326" s="14" t="s">
        <v>197</v>
      </c>
      <c r="B326" s="18">
        <v>0.20673165146903649</v>
      </c>
      <c r="C326" s="18">
        <v>0.23482026016004021</v>
      </c>
      <c r="D326" s="18">
        <v>0.24253459457619539</v>
      </c>
      <c r="E326" s="20">
        <v>0.24352035251283019</v>
      </c>
      <c r="F326" s="18">
        <v>0.20673165146903641</v>
      </c>
      <c r="G326" s="18">
        <v>0.1859570285828219</v>
      </c>
      <c r="H326" s="18">
        <v>0.18817555786726861</v>
      </c>
      <c r="I326" s="18">
        <v>0.19646192774907259</v>
      </c>
    </row>
    <row r="327" spans="1:9" x14ac:dyDescent="0.35">
      <c r="A327" s="14" t="s">
        <v>198</v>
      </c>
      <c r="B327" s="18">
        <v>0.24285216620742039</v>
      </c>
      <c r="C327" s="18">
        <v>0.17962405975115739</v>
      </c>
      <c r="D327" s="18">
        <v>0.2037728419338915</v>
      </c>
      <c r="E327" s="18">
        <v>0.2216525935511226</v>
      </c>
      <c r="F327" s="18">
        <v>0.24285216620742039</v>
      </c>
      <c r="G327" s="18">
        <v>0.25561033962379759</v>
      </c>
      <c r="H327" s="18">
        <v>0.27572835841713073</v>
      </c>
      <c r="I327" s="18">
        <v>0.28150351916827338</v>
      </c>
    </row>
    <row r="328" spans="1:9" x14ac:dyDescent="0.35">
      <c r="A328" s="14" t="s">
        <v>199</v>
      </c>
      <c r="B328" s="18">
        <v>0.20450577343305129</v>
      </c>
      <c r="C328" s="18">
        <v>0.22168540478910381</v>
      </c>
      <c r="D328" s="18">
        <v>0.1889745678033237</v>
      </c>
      <c r="E328" s="18">
        <v>0.22329659945165831</v>
      </c>
      <c r="F328" s="18">
        <v>0.20450577343305129</v>
      </c>
      <c r="G328" s="18">
        <v>0.19743777933268569</v>
      </c>
      <c r="H328" s="18">
        <v>0.19107474428050869</v>
      </c>
      <c r="I328" s="18">
        <v>0.18183806659598911</v>
      </c>
    </row>
    <row r="329" spans="1:9" x14ac:dyDescent="0.35">
      <c r="A329" s="14" t="s">
        <v>200</v>
      </c>
      <c r="B329" s="18">
        <v>6.275153282032235E-2</v>
      </c>
      <c r="C329" s="18">
        <v>6.4366807359174161E-2</v>
      </c>
      <c r="D329" s="18">
        <v>3.5525413851794287E-2</v>
      </c>
      <c r="E329" s="18">
        <v>5.3802619215465107E-2</v>
      </c>
      <c r="F329" s="18">
        <v>6.275153282032235E-2</v>
      </c>
      <c r="G329" s="18">
        <v>6.6864136524034515E-2</v>
      </c>
      <c r="H329" s="18">
        <v>6.418459100726262E-2</v>
      </c>
      <c r="I329" s="18">
        <v>6.0538998227141601E-2</v>
      </c>
    </row>
    <row r="330" spans="1:9" x14ac:dyDescent="0.35">
      <c r="A330" s="14" t="s">
        <v>201</v>
      </c>
      <c r="B330" s="18">
        <v>4.5656784340875403E-2</v>
      </c>
      <c r="C330" s="18">
        <v>7.5999112834452959E-2</v>
      </c>
      <c r="D330" s="20">
        <v>8.3032906624959629E-2</v>
      </c>
      <c r="E330" s="18">
        <v>4.8542894394956543E-2</v>
      </c>
      <c r="F330" s="18">
        <v>4.565678434087541E-2</v>
      </c>
      <c r="G330" s="18">
        <v>5.2897978267894212E-2</v>
      </c>
      <c r="H330" s="18">
        <v>5.3414025065473193E-2</v>
      </c>
      <c r="I330" s="18">
        <v>5.4016608930156161E-2</v>
      </c>
    </row>
    <row r="331" spans="1:9" x14ac:dyDescent="0.35">
      <c r="A331" s="14" t="s">
        <v>202</v>
      </c>
      <c r="B331" s="18">
        <v>3.1835519041933907E-2</v>
      </c>
      <c r="C331" s="18">
        <v>7.8701439773362636E-2</v>
      </c>
      <c r="D331" s="19">
        <v>6.9544810662259524E-2</v>
      </c>
      <c r="E331" s="18">
        <v>4.0657451809359132E-2</v>
      </c>
      <c r="F331" s="18">
        <v>3.1835519041933921E-2</v>
      </c>
      <c r="G331" s="18">
        <v>2.6293149265855929E-2</v>
      </c>
      <c r="H331" s="18">
        <v>2.2683747825742739E-2</v>
      </c>
      <c r="I331" s="21">
        <v>8.7470759604713587E-3</v>
      </c>
    </row>
    <row r="332" spans="1:9" x14ac:dyDescent="0.35">
      <c r="A332" s="14" t="s">
        <v>211</v>
      </c>
      <c r="B332" s="18">
        <v>0</v>
      </c>
      <c r="C332" s="18">
        <v>0</v>
      </c>
      <c r="D332" s="18">
        <v>0</v>
      </c>
      <c r="E332" s="18">
        <v>0</v>
      </c>
      <c r="F332" s="18">
        <v>0</v>
      </c>
      <c r="G332" s="18">
        <v>0</v>
      </c>
      <c r="H332" s="18">
        <v>0</v>
      </c>
      <c r="I332" s="18">
        <v>0</v>
      </c>
    </row>
    <row r="333" spans="1:9" x14ac:dyDescent="0.35">
      <c r="A333" s="14" t="s">
        <v>212</v>
      </c>
      <c r="B333" s="18">
        <v>7.6167345761209513E-3</v>
      </c>
      <c r="C333" s="18">
        <v>0</v>
      </c>
      <c r="D333" s="18">
        <v>1.6638785228011758E-2</v>
      </c>
      <c r="E333" s="18">
        <v>9.7274060009955796E-3</v>
      </c>
      <c r="F333" s="18">
        <v>7.6167345761209522E-3</v>
      </c>
      <c r="G333" s="18">
        <v>6.2907075227691452E-3</v>
      </c>
      <c r="H333" s="18">
        <v>5.4271484046722034E-3</v>
      </c>
      <c r="I333" s="18">
        <v>5.5746051680155831E-3</v>
      </c>
    </row>
    <row r="334" spans="1:9" x14ac:dyDescent="0.35">
      <c r="A334" s="14" t="s">
        <v>203</v>
      </c>
      <c r="B334" s="18">
        <v>0</v>
      </c>
      <c r="C334" s="18">
        <v>0</v>
      </c>
      <c r="D334" s="18">
        <v>0</v>
      </c>
      <c r="E334" s="18">
        <v>0</v>
      </c>
      <c r="F334" s="18">
        <v>0</v>
      </c>
      <c r="G334" s="18">
        <v>8.6988577888645197E-3</v>
      </c>
      <c r="H334" s="18">
        <v>7.5047189843798039E-3</v>
      </c>
      <c r="I334" s="18">
        <v>7.708623777233004E-3</v>
      </c>
    </row>
    <row r="335" spans="1:9" x14ac:dyDescent="0.35">
      <c r="A335" s="14" t="s">
        <v>204</v>
      </c>
      <c r="B335" s="18">
        <v>1.610135243919824E-2</v>
      </c>
      <c r="C335" s="18">
        <v>3.4336882763623358E-2</v>
      </c>
      <c r="D335" s="18">
        <v>3.5173464749087037E-2</v>
      </c>
      <c r="E335" s="18">
        <v>2.0563194210840859E-2</v>
      </c>
      <c r="F335" s="18">
        <v>1.610135243919824E-2</v>
      </c>
      <c r="G335" s="18">
        <v>1.329820514339178E-2</v>
      </c>
      <c r="H335" s="18">
        <v>1.1472689290948451E-2</v>
      </c>
      <c r="I335" s="18">
        <v>5.4350360644504422E-3</v>
      </c>
    </row>
    <row r="336" spans="1:9" x14ac:dyDescent="0.35">
      <c r="A336" s="14" t="s">
        <v>213</v>
      </c>
      <c r="B336" s="1">
        <v>22.471821392262669</v>
      </c>
      <c r="C336" s="1">
        <v>9.188204999851262</v>
      </c>
      <c r="D336" s="1">
        <v>12.74218280305602</v>
      </c>
      <c r="E336" s="1">
        <v>20.846367573398471</v>
      </c>
      <c r="F336" s="1">
        <v>22.471821392262669</v>
      </c>
      <c r="G336" s="1">
        <v>19.82658120178964</v>
      </c>
      <c r="H336" s="1">
        <v>20.382305614540279</v>
      </c>
      <c r="I336" s="1">
        <v>25.261651798080141</v>
      </c>
    </row>
    <row r="338" spans="1:9" x14ac:dyDescent="0.35">
      <c r="C338" s="187"/>
      <c r="D338" s="187"/>
      <c r="E338" s="187"/>
      <c r="F338" s="187"/>
      <c r="G338" s="170"/>
      <c r="H338" s="170"/>
      <c r="I338" s="170"/>
    </row>
    <row r="339" spans="1:9" ht="29" x14ac:dyDescent="0.35">
      <c r="A339" s="12" t="s">
        <v>508</v>
      </c>
      <c r="B339" s="13" t="s">
        <v>208</v>
      </c>
      <c r="C339" s="13" t="s">
        <v>458</v>
      </c>
      <c r="D339" s="13" t="s">
        <v>466</v>
      </c>
      <c r="E339" s="13" t="s">
        <v>467</v>
      </c>
      <c r="F339" s="13" t="s">
        <v>468</v>
      </c>
      <c r="G339" s="13" t="s">
        <v>636</v>
      </c>
      <c r="H339" s="13" t="s">
        <v>641</v>
      </c>
      <c r="I339" s="13" t="s">
        <v>647</v>
      </c>
    </row>
    <row r="340" spans="1:9" x14ac:dyDescent="0.35">
      <c r="A340" s="14" t="s">
        <v>209</v>
      </c>
      <c r="B340" s="15">
        <v>18</v>
      </c>
      <c r="C340" s="15">
        <v>2</v>
      </c>
      <c r="D340" s="15">
        <v>6</v>
      </c>
      <c r="E340" s="15">
        <v>13</v>
      </c>
      <c r="F340" s="15">
        <v>18</v>
      </c>
      <c r="G340" s="15">
        <v>26</v>
      </c>
      <c r="H340" s="15">
        <v>33</v>
      </c>
      <c r="I340" s="15">
        <v>36</v>
      </c>
    </row>
    <row r="341" spans="1:9" x14ac:dyDescent="0.35">
      <c r="A341" s="16" t="s">
        <v>336</v>
      </c>
      <c r="B341" s="17">
        <v>0.25884510841226638</v>
      </c>
      <c r="C341" s="17">
        <v>0.54141339729059101</v>
      </c>
      <c r="D341" s="17">
        <v>0.35359221943011587</v>
      </c>
      <c r="E341" s="17">
        <v>0.3517553883464814</v>
      </c>
      <c r="F341" s="17">
        <v>0.25884510841226638</v>
      </c>
      <c r="G341" s="17">
        <v>0.25826911273815362</v>
      </c>
      <c r="H341" s="17">
        <v>0.29177910437496057</v>
      </c>
      <c r="I341" s="17">
        <v>0.23455326090239639</v>
      </c>
    </row>
    <row r="342" spans="1:9" x14ac:dyDescent="0.35">
      <c r="A342" s="16" t="s">
        <v>194</v>
      </c>
      <c r="B342" s="17">
        <v>0.60177453769431433</v>
      </c>
      <c r="C342" s="17">
        <v>0.45858660270940899</v>
      </c>
      <c r="D342" s="17">
        <v>0.49706749792446719</v>
      </c>
      <c r="E342" s="17">
        <v>0.58347357168391556</v>
      </c>
      <c r="F342" s="17">
        <v>0.60177453769431433</v>
      </c>
      <c r="G342" s="17">
        <v>0.55326489923143551</v>
      </c>
      <c r="H342" s="17">
        <v>0.48124367144200558</v>
      </c>
      <c r="I342" s="17">
        <v>0.47214016529303748</v>
      </c>
    </row>
    <row r="343" spans="1:9" x14ac:dyDescent="0.35">
      <c r="A343" s="16" t="s">
        <v>195</v>
      </c>
      <c r="B343" s="17">
        <v>0.13938035389341941</v>
      </c>
      <c r="C343" s="17">
        <v>0</v>
      </c>
      <c r="D343" s="17">
        <v>0.14934028264541699</v>
      </c>
      <c r="E343" s="17">
        <v>6.4771039969602914E-2</v>
      </c>
      <c r="F343" s="17">
        <v>0.13938035389341941</v>
      </c>
      <c r="G343" s="17">
        <v>0.1884659880304109</v>
      </c>
      <c r="H343" s="17">
        <v>0.2269772241830337</v>
      </c>
      <c r="I343" s="17">
        <v>0.29330657380456621</v>
      </c>
    </row>
    <row r="344" spans="1:9" x14ac:dyDescent="0.35">
      <c r="A344" s="14" t="s">
        <v>210</v>
      </c>
      <c r="B344" s="18">
        <v>0.1459940063378164</v>
      </c>
      <c r="C344" s="18">
        <v>0</v>
      </c>
      <c r="D344" s="18">
        <v>0</v>
      </c>
      <c r="E344" s="18">
        <v>0.1983973300118336</v>
      </c>
      <c r="F344" s="18">
        <v>0.1459940063378164</v>
      </c>
      <c r="G344" s="18">
        <v>0.14377543429691991</v>
      </c>
      <c r="H344" s="18">
        <v>0.1424446084454194</v>
      </c>
      <c r="I344" s="18">
        <v>0.13153547113618691</v>
      </c>
    </row>
    <row r="345" spans="1:9" x14ac:dyDescent="0.35">
      <c r="A345" s="14" t="s">
        <v>197</v>
      </c>
      <c r="B345" s="18">
        <v>0.11285110207445009</v>
      </c>
      <c r="C345" s="19">
        <v>0.54141339729059101</v>
      </c>
      <c r="D345" s="19">
        <v>0.35359221943011587</v>
      </c>
      <c r="E345" s="18">
        <v>0.1533580583346478</v>
      </c>
      <c r="F345" s="18">
        <v>0.11285110207445009</v>
      </c>
      <c r="G345" s="18">
        <v>0.1144936784412337</v>
      </c>
      <c r="H345" s="18">
        <v>0.14933449592954121</v>
      </c>
      <c r="I345" s="23">
        <v>0.1030177897662095</v>
      </c>
    </row>
    <row r="346" spans="1:9" x14ac:dyDescent="0.35">
      <c r="A346" s="14" t="s">
        <v>198</v>
      </c>
      <c r="B346" s="18">
        <v>0.39223019036332218</v>
      </c>
      <c r="C346" s="18">
        <v>0</v>
      </c>
      <c r="D346" s="21">
        <v>0</v>
      </c>
      <c r="E346" s="18">
        <v>0.29871503897165458</v>
      </c>
      <c r="F346" s="18">
        <v>0.39223019036332218</v>
      </c>
      <c r="G346" s="18">
        <v>0.37712847622128082</v>
      </c>
      <c r="H346" s="18">
        <v>0.33774353927695139</v>
      </c>
      <c r="I346" s="18">
        <v>0.33975406837146588</v>
      </c>
    </row>
    <row r="347" spans="1:9" x14ac:dyDescent="0.35">
      <c r="A347" s="14" t="s">
        <v>199</v>
      </c>
      <c r="B347" s="18">
        <v>0.20954434733099209</v>
      </c>
      <c r="C347" s="18">
        <v>0.45858660270940899</v>
      </c>
      <c r="D347" s="19">
        <v>0.49706749792446719</v>
      </c>
      <c r="E347" s="18">
        <v>0.28475853271226093</v>
      </c>
      <c r="F347" s="18">
        <v>0.20954434733099209</v>
      </c>
      <c r="G347" s="18">
        <v>0.1761364230101547</v>
      </c>
      <c r="H347" s="18">
        <v>0.14350013216505419</v>
      </c>
      <c r="I347" s="18">
        <v>0.13238609692157161</v>
      </c>
    </row>
    <row r="348" spans="1:9" x14ac:dyDescent="0.35">
      <c r="A348" s="14" t="s">
        <v>200</v>
      </c>
      <c r="B348" s="18">
        <v>0.13938035389341941</v>
      </c>
      <c r="C348" s="18">
        <v>0</v>
      </c>
      <c r="D348" s="18">
        <v>0.14934028264541699</v>
      </c>
      <c r="E348" s="18">
        <v>6.4771039969602914E-2</v>
      </c>
      <c r="F348" s="18">
        <v>0.13938035389341941</v>
      </c>
      <c r="G348" s="18">
        <v>9.5801978048801889E-2</v>
      </c>
      <c r="H348" s="18">
        <v>0.1033745635361219</v>
      </c>
      <c r="I348" s="18">
        <v>9.5457610271234727E-2</v>
      </c>
    </row>
    <row r="349" spans="1:9" x14ac:dyDescent="0.35">
      <c r="A349" s="14" t="s">
        <v>201</v>
      </c>
      <c r="B349" s="18">
        <v>0</v>
      </c>
      <c r="C349" s="18">
        <v>0</v>
      </c>
      <c r="D349" s="18">
        <v>0</v>
      </c>
      <c r="E349" s="18">
        <v>0</v>
      </c>
      <c r="F349" s="18">
        <v>0</v>
      </c>
      <c r="G349" s="18">
        <v>4.2855725928276599E-2</v>
      </c>
      <c r="H349" s="18">
        <v>5.7326678329068743E-2</v>
      </c>
      <c r="I349" s="18">
        <v>0.1103275827237802</v>
      </c>
    </row>
    <row r="350" spans="1:9" x14ac:dyDescent="0.35">
      <c r="A350" s="14" t="s">
        <v>202</v>
      </c>
      <c r="B350" s="18">
        <v>0</v>
      </c>
      <c r="C350" s="18">
        <v>0</v>
      </c>
      <c r="D350" s="18">
        <v>0</v>
      </c>
      <c r="E350" s="18">
        <v>0</v>
      </c>
      <c r="F350" s="18">
        <v>0</v>
      </c>
      <c r="G350" s="18">
        <v>0</v>
      </c>
      <c r="H350" s="18">
        <v>0</v>
      </c>
      <c r="I350" s="18">
        <v>0</v>
      </c>
    </row>
    <row r="351" spans="1:9" x14ac:dyDescent="0.35">
      <c r="A351" s="14" t="s">
        <v>211</v>
      </c>
      <c r="B351" s="18">
        <v>0</v>
      </c>
      <c r="C351" s="18">
        <v>0</v>
      </c>
      <c r="D351" s="18">
        <v>0</v>
      </c>
      <c r="E351" s="18">
        <v>0</v>
      </c>
      <c r="F351" s="18">
        <v>0</v>
      </c>
      <c r="G351" s="18">
        <v>0</v>
      </c>
      <c r="H351" s="18">
        <v>2.5696667588851991E-2</v>
      </c>
      <c r="I351" s="18">
        <v>5.0049837733867439E-2</v>
      </c>
    </row>
    <row r="352" spans="1:9" x14ac:dyDescent="0.35">
      <c r="A352" s="14" t="s">
        <v>212</v>
      </c>
      <c r="B352" s="18">
        <v>0</v>
      </c>
      <c r="C352" s="18">
        <v>0</v>
      </c>
      <c r="D352" s="18">
        <v>0</v>
      </c>
      <c r="E352" s="18">
        <v>0</v>
      </c>
      <c r="F352" s="18">
        <v>0</v>
      </c>
      <c r="G352" s="18">
        <v>4.9808284053332437E-2</v>
      </c>
      <c r="H352" s="18">
        <v>4.0579314728991053E-2</v>
      </c>
      <c r="I352" s="18">
        <v>3.7471543075683802E-2</v>
      </c>
    </row>
    <row r="353" spans="1:9" x14ac:dyDescent="0.35">
      <c r="A353" s="14" t="s">
        <v>203</v>
      </c>
      <c r="B353" s="18">
        <v>0</v>
      </c>
      <c r="C353" s="18">
        <v>0</v>
      </c>
      <c r="D353" s="18">
        <v>0</v>
      </c>
      <c r="E353" s="18">
        <v>0</v>
      </c>
      <c r="F353" s="18">
        <v>0</v>
      </c>
      <c r="G353" s="18">
        <v>0</v>
      </c>
      <c r="H353" s="18">
        <v>0</v>
      </c>
      <c r="I353" s="18">
        <v>0</v>
      </c>
    </row>
    <row r="354" spans="1:9" x14ac:dyDescent="0.35">
      <c r="A354" s="14" t="s">
        <v>204</v>
      </c>
      <c r="B354" s="18">
        <v>0</v>
      </c>
      <c r="C354" s="18">
        <v>0</v>
      </c>
      <c r="D354" s="18">
        <v>0</v>
      </c>
      <c r="E354" s="18">
        <v>0</v>
      </c>
      <c r="F354" s="18">
        <v>0</v>
      </c>
      <c r="G354" s="18">
        <v>0</v>
      </c>
      <c r="H354" s="18">
        <v>0</v>
      </c>
      <c r="I354" s="18">
        <v>0</v>
      </c>
    </row>
    <row r="355" spans="1:9" x14ac:dyDescent="0.35">
      <c r="A355" s="14" t="s">
        <v>213</v>
      </c>
      <c r="B355" s="1">
        <v>11.94647545188471</v>
      </c>
      <c r="C355" s="1">
        <v>54.141339729059098</v>
      </c>
      <c r="D355" s="1">
        <v>20.425193678469899</v>
      </c>
      <c r="E355" s="1">
        <v>28.698434837687859</v>
      </c>
      <c r="F355" s="1">
        <v>11.94647545188471</v>
      </c>
      <c r="G355" s="1">
        <v>6.9803124707742628</v>
      </c>
      <c r="H355" s="1">
        <v>6.4801880191926973</v>
      </c>
      <c r="I355" s="1">
        <v>-5.8753312902169732</v>
      </c>
    </row>
    <row r="357" spans="1:9" x14ac:dyDescent="0.35">
      <c r="C357" s="187"/>
      <c r="D357" s="187"/>
      <c r="E357" s="187"/>
      <c r="F357" s="187"/>
      <c r="G357" s="170"/>
      <c r="H357" s="170"/>
      <c r="I357" s="170"/>
    </row>
    <row r="358" spans="1:9" ht="29" x14ac:dyDescent="0.35">
      <c r="A358" s="12" t="s">
        <v>492</v>
      </c>
      <c r="B358" s="13" t="s">
        <v>208</v>
      </c>
      <c r="C358" s="13" t="s">
        <v>458</v>
      </c>
      <c r="D358" s="13" t="s">
        <v>466</v>
      </c>
      <c r="E358" s="13" t="s">
        <v>467</v>
      </c>
      <c r="F358" s="13" t="s">
        <v>468</v>
      </c>
      <c r="G358" s="13" t="s">
        <v>636</v>
      </c>
      <c r="H358" s="13" t="s">
        <v>641</v>
      </c>
      <c r="I358" s="13" t="s">
        <v>647</v>
      </c>
    </row>
    <row r="359" spans="1:9" x14ac:dyDescent="0.35">
      <c r="A359" s="14" t="s">
        <v>209</v>
      </c>
      <c r="B359" s="15">
        <v>68</v>
      </c>
      <c r="C359" s="15">
        <v>10</v>
      </c>
      <c r="D359" s="15">
        <v>39</v>
      </c>
      <c r="E359" s="15">
        <v>55</v>
      </c>
      <c r="F359" s="15">
        <v>68</v>
      </c>
      <c r="G359" s="15">
        <v>84</v>
      </c>
      <c r="H359" s="15">
        <v>108</v>
      </c>
      <c r="I359" s="15">
        <v>115</v>
      </c>
    </row>
    <row r="360" spans="1:9" x14ac:dyDescent="0.35">
      <c r="A360" s="16" t="s">
        <v>336</v>
      </c>
      <c r="B360" s="17">
        <v>0.46555100246099812</v>
      </c>
      <c r="C360" s="17">
        <v>0.52821821597763652</v>
      </c>
      <c r="D360" s="17">
        <v>0.51538153006441689</v>
      </c>
      <c r="E360" s="17">
        <v>0.5033221454840473</v>
      </c>
      <c r="F360" s="17">
        <v>0.46555100246099812</v>
      </c>
      <c r="G360" s="17">
        <v>0.49655795718207812</v>
      </c>
      <c r="H360" s="17">
        <v>0.45178250820053611</v>
      </c>
      <c r="I360" s="17">
        <v>0.45545764665997018</v>
      </c>
    </row>
    <row r="361" spans="1:9" x14ac:dyDescent="0.35">
      <c r="A361" s="16" t="s">
        <v>194</v>
      </c>
      <c r="B361" s="17">
        <v>0.35174808544013392</v>
      </c>
      <c r="C361" s="17">
        <v>0.38090749897529858</v>
      </c>
      <c r="D361" s="17">
        <v>0.31036190830914828</v>
      </c>
      <c r="E361" s="17">
        <v>0.30405609044478799</v>
      </c>
      <c r="F361" s="17">
        <v>0.35174808544013397</v>
      </c>
      <c r="G361" s="17">
        <v>0.33266712358970407</v>
      </c>
      <c r="H361" s="17">
        <v>0.368276136805535</v>
      </c>
      <c r="I361" s="17">
        <v>0.38471171734447362</v>
      </c>
    </row>
    <row r="362" spans="1:9" x14ac:dyDescent="0.35">
      <c r="A362" s="16" t="s">
        <v>195</v>
      </c>
      <c r="B362" s="17">
        <v>0.18270091209886799</v>
      </c>
      <c r="C362" s="17">
        <v>9.0874285047065087E-2</v>
      </c>
      <c r="D362" s="17">
        <v>0.17425656162643491</v>
      </c>
      <c r="E362" s="17">
        <v>0.1926217640711648</v>
      </c>
      <c r="F362" s="17">
        <v>0.18270091209886799</v>
      </c>
      <c r="G362" s="17">
        <v>0.170774919228218</v>
      </c>
      <c r="H362" s="17">
        <v>0.17994135499392899</v>
      </c>
      <c r="I362" s="17">
        <v>0.1598306359955563</v>
      </c>
    </row>
    <row r="363" spans="1:9" x14ac:dyDescent="0.35">
      <c r="A363" s="14" t="s">
        <v>210</v>
      </c>
      <c r="B363" s="18">
        <v>0.23684889352194721</v>
      </c>
      <c r="C363" s="18">
        <v>0.32075743458148942</v>
      </c>
      <c r="D363" s="18">
        <v>0.29062135190461241</v>
      </c>
      <c r="E363" s="18">
        <v>0.23580161682285569</v>
      </c>
      <c r="F363" s="18">
        <v>0.23684889352194721</v>
      </c>
      <c r="G363" s="18">
        <v>0.29032337568504257</v>
      </c>
      <c r="H363" s="18">
        <v>0.26122789488138443</v>
      </c>
      <c r="I363" s="18">
        <v>0.25954354016046421</v>
      </c>
    </row>
    <row r="364" spans="1:9" x14ac:dyDescent="0.35">
      <c r="A364" s="14" t="s">
        <v>197</v>
      </c>
      <c r="B364" s="18">
        <v>0.22870210893905091</v>
      </c>
      <c r="C364" s="18">
        <v>0.2074607813961471</v>
      </c>
      <c r="D364" s="18">
        <v>0.22476017815980451</v>
      </c>
      <c r="E364" s="18">
        <v>0.26752052866119158</v>
      </c>
      <c r="F364" s="18">
        <v>0.22870210893905091</v>
      </c>
      <c r="G364" s="18">
        <v>0.2062345814970355</v>
      </c>
      <c r="H364" s="18">
        <v>0.19055461331915161</v>
      </c>
      <c r="I364" s="18">
        <v>0.195914106499506</v>
      </c>
    </row>
    <row r="365" spans="1:9" x14ac:dyDescent="0.35">
      <c r="A365" s="14" t="s">
        <v>198</v>
      </c>
      <c r="B365" s="18">
        <v>0.17607640454591161</v>
      </c>
      <c r="C365" s="18">
        <v>0.18698822302543519</v>
      </c>
      <c r="D365" s="18">
        <v>0.18552693102158949</v>
      </c>
      <c r="E365" s="18">
        <v>0.14740478349333599</v>
      </c>
      <c r="F365" s="18">
        <v>0.17607640454591161</v>
      </c>
      <c r="G365" s="25">
        <v>0.16539704359913041</v>
      </c>
      <c r="H365" s="18">
        <v>0.1982118391456944</v>
      </c>
      <c r="I365" s="18">
        <v>0.2346477594048364</v>
      </c>
    </row>
    <row r="366" spans="1:9" x14ac:dyDescent="0.35">
      <c r="A366" s="14" t="s">
        <v>199</v>
      </c>
      <c r="B366" s="18">
        <v>0.1756716808942223</v>
      </c>
      <c r="C366" s="18">
        <v>0.1939192759498633</v>
      </c>
      <c r="D366" s="18">
        <v>0.1248349772875588</v>
      </c>
      <c r="E366" s="18">
        <v>0.15665130695145199</v>
      </c>
      <c r="F366" s="18">
        <v>0.1756716808942223</v>
      </c>
      <c r="G366" s="18">
        <v>0.16727007999057369</v>
      </c>
      <c r="H366" s="18">
        <v>0.1700642976598406</v>
      </c>
      <c r="I366" s="18">
        <v>0.15006395793963731</v>
      </c>
    </row>
    <row r="367" spans="1:9" x14ac:dyDescent="0.35">
      <c r="A367" s="14" t="s">
        <v>200</v>
      </c>
      <c r="B367" s="18">
        <v>9.7391746907634386E-2</v>
      </c>
      <c r="C367" s="18">
        <v>0</v>
      </c>
      <c r="D367" s="18">
        <v>6.9016436542764764E-2</v>
      </c>
      <c r="E367" s="18">
        <v>0.1020099408997835</v>
      </c>
      <c r="F367" s="18">
        <v>9.7391746907634386E-2</v>
      </c>
      <c r="G367" s="18">
        <v>9.0061382932370662E-2</v>
      </c>
      <c r="H367" s="18">
        <v>7.8788962161960532E-2</v>
      </c>
      <c r="I367" s="18">
        <v>7.3635636712499758E-2</v>
      </c>
    </row>
    <row r="368" spans="1:9" x14ac:dyDescent="0.35">
      <c r="A368" s="14" t="s">
        <v>201</v>
      </c>
      <c r="B368" s="18">
        <v>6.7707826453500042E-2</v>
      </c>
      <c r="C368" s="18">
        <v>9.0874285047065087E-2</v>
      </c>
      <c r="D368" s="18">
        <v>7.3819809535403152E-2</v>
      </c>
      <c r="E368" s="18">
        <v>6.8246373586924328E-2</v>
      </c>
      <c r="F368" s="18">
        <v>6.7707826453500042E-2</v>
      </c>
      <c r="G368" s="18">
        <v>5.4119540150001158E-2</v>
      </c>
      <c r="H368" s="18">
        <v>8.0754445066776301E-2</v>
      </c>
      <c r="I368" s="18">
        <v>6.7131213822465494E-2</v>
      </c>
    </row>
    <row r="369" spans="1:9" x14ac:dyDescent="0.35">
      <c r="A369" s="14" t="s">
        <v>202</v>
      </c>
      <c r="B369" s="18">
        <v>0</v>
      </c>
      <c r="C369" s="18">
        <v>0</v>
      </c>
      <c r="D369" s="18">
        <v>0</v>
      </c>
      <c r="E369" s="18">
        <v>0</v>
      </c>
      <c r="F369" s="18">
        <v>0</v>
      </c>
      <c r="G369" s="18">
        <v>0</v>
      </c>
      <c r="H369" s="18">
        <v>0</v>
      </c>
      <c r="I369" s="18">
        <v>0</v>
      </c>
    </row>
    <row r="370" spans="1:9" x14ac:dyDescent="0.35">
      <c r="A370" s="14" t="s">
        <v>211</v>
      </c>
      <c r="B370" s="18">
        <v>1.760133873773358E-2</v>
      </c>
      <c r="C370" s="18">
        <v>0</v>
      </c>
      <c r="D370" s="18">
        <v>3.1420315548266929E-2</v>
      </c>
      <c r="E370" s="18">
        <v>2.236544958445693E-2</v>
      </c>
      <c r="F370" s="18">
        <v>1.760133873773358E-2</v>
      </c>
      <c r="G370" s="18">
        <v>1.406892538729991E-2</v>
      </c>
      <c r="H370" s="18">
        <v>1.079105237094481E-2</v>
      </c>
      <c r="I370" s="18">
        <v>1.0085245322803461E-2</v>
      </c>
    </row>
    <row r="371" spans="1:9" x14ac:dyDescent="0.35">
      <c r="A371" s="14" t="s">
        <v>212</v>
      </c>
      <c r="B371" s="18">
        <v>0</v>
      </c>
      <c r="C371" s="18">
        <v>0</v>
      </c>
      <c r="D371" s="18">
        <v>0</v>
      </c>
      <c r="E371" s="18">
        <v>0</v>
      </c>
      <c r="F371" s="18">
        <v>0</v>
      </c>
      <c r="G371" s="18">
        <v>1.2525070758546241E-2</v>
      </c>
      <c r="H371" s="18">
        <v>9.6068953942474028E-3</v>
      </c>
      <c r="I371" s="18">
        <v>8.9785401377875714E-3</v>
      </c>
    </row>
    <row r="372" spans="1:9" x14ac:dyDescent="0.35">
      <c r="A372" s="14" t="s">
        <v>203</v>
      </c>
      <c r="B372" s="18">
        <v>0</v>
      </c>
      <c r="C372" s="18">
        <v>0</v>
      </c>
      <c r="D372" s="18">
        <v>0</v>
      </c>
      <c r="E372" s="18">
        <v>0</v>
      </c>
      <c r="F372" s="18">
        <v>0</v>
      </c>
      <c r="G372" s="18">
        <v>0</v>
      </c>
      <c r="H372" s="18">
        <v>0</v>
      </c>
      <c r="I372" s="18">
        <v>0</v>
      </c>
    </row>
    <row r="373" spans="1:9" x14ac:dyDescent="0.35">
      <c r="A373" s="14" t="s">
        <v>204</v>
      </c>
      <c r="B373" s="18">
        <v>0</v>
      </c>
      <c r="C373" s="18">
        <v>0</v>
      </c>
      <c r="D373" s="18">
        <v>0</v>
      </c>
      <c r="E373" s="18">
        <v>0</v>
      </c>
      <c r="F373" s="18">
        <v>0</v>
      </c>
      <c r="G373" s="18">
        <v>0</v>
      </c>
      <c r="H373" s="18">
        <v>0</v>
      </c>
      <c r="I373" s="18">
        <v>0</v>
      </c>
    </row>
    <row r="374" spans="1:9" x14ac:dyDescent="0.35">
      <c r="A374" s="14" t="s">
        <v>213</v>
      </c>
      <c r="B374" s="1">
        <v>28.285009036213012</v>
      </c>
      <c r="C374" s="1">
        <v>43.734393093057129</v>
      </c>
      <c r="D374" s="1">
        <v>34.112496843798212</v>
      </c>
      <c r="E374" s="1">
        <v>31.070038141288251</v>
      </c>
      <c r="F374" s="1">
        <v>28.285009036213001</v>
      </c>
      <c r="G374" s="1">
        <v>32.578303795386013</v>
      </c>
      <c r="H374" s="1">
        <v>27.184115320660698</v>
      </c>
      <c r="I374" s="1">
        <v>29.562701066441381</v>
      </c>
    </row>
    <row r="376" spans="1:9" x14ac:dyDescent="0.35">
      <c r="C376" s="187"/>
      <c r="D376" s="187"/>
      <c r="E376" s="187"/>
      <c r="F376" s="187"/>
      <c r="G376" s="170"/>
      <c r="H376" s="170"/>
      <c r="I376" s="170"/>
    </row>
    <row r="377" spans="1:9" ht="29" x14ac:dyDescent="0.35">
      <c r="A377" s="12" t="s">
        <v>509</v>
      </c>
      <c r="B377" s="13" t="s">
        <v>208</v>
      </c>
      <c r="C377" s="13" t="s">
        <v>458</v>
      </c>
      <c r="D377" s="13" t="s">
        <v>466</v>
      </c>
      <c r="E377" s="13" t="s">
        <v>467</v>
      </c>
      <c r="F377" s="13" t="s">
        <v>468</v>
      </c>
      <c r="G377" s="13" t="s">
        <v>636</v>
      </c>
      <c r="H377" s="13" t="s">
        <v>641</v>
      </c>
      <c r="I377" s="13" t="s">
        <v>647</v>
      </c>
    </row>
    <row r="378" spans="1:9" x14ac:dyDescent="0.35">
      <c r="A378" s="14" t="s">
        <v>209</v>
      </c>
      <c r="B378" s="15">
        <v>201</v>
      </c>
      <c r="C378" s="15">
        <v>0</v>
      </c>
      <c r="D378" s="15">
        <v>0</v>
      </c>
      <c r="E378" s="15">
        <v>103</v>
      </c>
      <c r="F378" s="15">
        <v>201</v>
      </c>
      <c r="G378" s="15">
        <v>308</v>
      </c>
      <c r="H378" s="15">
        <v>402</v>
      </c>
      <c r="I378" s="15">
        <v>419</v>
      </c>
    </row>
    <row r="379" spans="1:9" x14ac:dyDescent="0.35">
      <c r="A379" s="16" t="s">
        <v>336</v>
      </c>
      <c r="B379" s="17">
        <v>0.29213928326359928</v>
      </c>
      <c r="C379" s="168" t="s">
        <v>214</v>
      </c>
      <c r="D379" s="168" t="s">
        <v>214</v>
      </c>
      <c r="E379" s="17">
        <v>0.2632790078507547</v>
      </c>
      <c r="F379" s="17">
        <v>0.29213928326359928</v>
      </c>
      <c r="G379" s="17">
        <v>0.30093222580511703</v>
      </c>
      <c r="H379" s="17">
        <v>0.29136216363926681</v>
      </c>
      <c r="I379" s="17">
        <v>0.29563400584552968</v>
      </c>
    </row>
    <row r="380" spans="1:9" x14ac:dyDescent="0.35">
      <c r="A380" s="16" t="s">
        <v>194</v>
      </c>
      <c r="B380" s="17">
        <v>0.43135842822840559</v>
      </c>
      <c r="C380" s="168" t="s">
        <v>214</v>
      </c>
      <c r="D380" s="168" t="s">
        <v>214</v>
      </c>
      <c r="E380" s="17">
        <v>0.42071603464117019</v>
      </c>
      <c r="F380" s="17">
        <v>0.43135842822840559</v>
      </c>
      <c r="G380" s="17">
        <v>0.41189329295738958</v>
      </c>
      <c r="H380" s="17">
        <v>0.42711114213443679</v>
      </c>
      <c r="I380" s="17">
        <v>0.42915664893632199</v>
      </c>
    </row>
    <row r="381" spans="1:9" x14ac:dyDescent="0.35">
      <c r="A381" s="16" t="s">
        <v>195</v>
      </c>
      <c r="B381" s="17">
        <v>0.27650228850799508</v>
      </c>
      <c r="C381" s="168" t="s">
        <v>214</v>
      </c>
      <c r="D381" s="168" t="s">
        <v>214</v>
      </c>
      <c r="E381" s="17">
        <v>0.31600495750807489</v>
      </c>
      <c r="F381" s="17">
        <v>0.27650228850799519</v>
      </c>
      <c r="G381" s="17">
        <v>0.28717448123749351</v>
      </c>
      <c r="H381" s="17">
        <v>0.28152669422629628</v>
      </c>
      <c r="I381" s="17">
        <v>0.27520934521814822</v>
      </c>
    </row>
    <row r="382" spans="1:9" x14ac:dyDescent="0.35">
      <c r="A382" s="14" t="s">
        <v>210</v>
      </c>
      <c r="B382" s="18">
        <v>0.163603911143542</v>
      </c>
      <c r="C382" s="18" t="s">
        <v>214</v>
      </c>
      <c r="D382" s="18" t="s">
        <v>214</v>
      </c>
      <c r="E382" s="18">
        <v>0.1356998958078969</v>
      </c>
      <c r="F382" s="18">
        <v>0.163603911143542</v>
      </c>
      <c r="G382" s="25">
        <v>0.179682280909368</v>
      </c>
      <c r="H382" s="18">
        <v>0.164896329343385</v>
      </c>
      <c r="I382" s="18">
        <v>0.16525598844449579</v>
      </c>
    </row>
    <row r="383" spans="1:9" x14ac:dyDescent="0.35">
      <c r="A383" s="14" t="s">
        <v>197</v>
      </c>
      <c r="B383" s="18">
        <v>0.12853537212005731</v>
      </c>
      <c r="C383" s="18" t="s">
        <v>214</v>
      </c>
      <c r="D383" s="18" t="s">
        <v>214</v>
      </c>
      <c r="E383" s="18">
        <v>0.1275791120428578</v>
      </c>
      <c r="F383" s="18">
        <v>0.12853537212005731</v>
      </c>
      <c r="G383" s="18">
        <v>0.121249944895749</v>
      </c>
      <c r="H383" s="18">
        <v>0.12646583429588179</v>
      </c>
      <c r="I383" s="18">
        <v>0.1303780174010338</v>
      </c>
    </row>
    <row r="384" spans="1:9" x14ac:dyDescent="0.35">
      <c r="A384" s="14" t="s">
        <v>198</v>
      </c>
      <c r="B384" s="18">
        <v>0.2654289750773981</v>
      </c>
      <c r="C384" s="18" t="s">
        <v>214</v>
      </c>
      <c r="D384" s="18" t="s">
        <v>214</v>
      </c>
      <c r="E384" s="18">
        <v>0.2437829892408323</v>
      </c>
      <c r="F384" s="18">
        <v>0.26542897507739821</v>
      </c>
      <c r="G384" s="18">
        <v>0.24941876746269359</v>
      </c>
      <c r="H384" s="18">
        <v>0.25073288855941822</v>
      </c>
      <c r="I384" s="18">
        <v>0.2523772137555097</v>
      </c>
    </row>
    <row r="385" spans="1:9" x14ac:dyDescent="0.35">
      <c r="A385" s="14" t="s">
        <v>199</v>
      </c>
      <c r="B385" s="18">
        <v>0.16592945315100749</v>
      </c>
      <c r="C385" s="18" t="s">
        <v>214</v>
      </c>
      <c r="D385" s="18" t="s">
        <v>214</v>
      </c>
      <c r="E385" s="18">
        <v>0.176933045400338</v>
      </c>
      <c r="F385" s="18">
        <v>0.16592945315100749</v>
      </c>
      <c r="G385" s="18">
        <v>0.16247452549469599</v>
      </c>
      <c r="H385" s="18">
        <v>0.17637825357501871</v>
      </c>
      <c r="I385" s="18">
        <v>0.17677943518081229</v>
      </c>
    </row>
    <row r="386" spans="1:9" x14ac:dyDescent="0.35">
      <c r="A386" s="14" t="s">
        <v>200</v>
      </c>
      <c r="B386" s="18">
        <v>0.1449387677868326</v>
      </c>
      <c r="C386" s="18" t="s">
        <v>214</v>
      </c>
      <c r="D386" s="18" t="s">
        <v>214</v>
      </c>
      <c r="E386" s="18">
        <v>0.16473796812628799</v>
      </c>
      <c r="F386" s="18">
        <v>0.1449387677868326</v>
      </c>
      <c r="G386" s="18">
        <v>0.13371790449880791</v>
      </c>
      <c r="H386" s="18">
        <v>0.13076281233895351</v>
      </c>
      <c r="I386" s="18">
        <v>0.12797280196804661</v>
      </c>
    </row>
    <row r="387" spans="1:9" x14ac:dyDescent="0.35">
      <c r="A387" s="14" t="s">
        <v>201</v>
      </c>
      <c r="B387" s="18">
        <v>7.3128644349481339E-2</v>
      </c>
      <c r="C387" s="18" t="s">
        <v>214</v>
      </c>
      <c r="D387" s="18" t="s">
        <v>214</v>
      </c>
      <c r="E387" s="18">
        <v>8.3496885639175247E-2</v>
      </c>
      <c r="F387" s="18">
        <v>7.3128644349481353E-2</v>
      </c>
      <c r="G387" s="25">
        <v>8.3145747802257586E-2</v>
      </c>
      <c r="H387" s="18">
        <v>8.710936075112323E-2</v>
      </c>
      <c r="I387" s="25">
        <v>8.3818211995052627E-2</v>
      </c>
    </row>
    <row r="388" spans="1:9" x14ac:dyDescent="0.35">
      <c r="A388" s="14" t="s">
        <v>202</v>
      </c>
      <c r="B388" s="18">
        <v>1.572859660728999E-2</v>
      </c>
      <c r="C388" s="18" t="s">
        <v>214</v>
      </c>
      <c r="D388" s="18" t="s">
        <v>214</v>
      </c>
      <c r="E388" s="18">
        <v>1.3297485023550319E-2</v>
      </c>
      <c r="F388" s="18">
        <v>1.572859660728999E-2</v>
      </c>
      <c r="G388" s="18">
        <v>1.9426846275058429E-2</v>
      </c>
      <c r="H388" s="18">
        <v>1.7282383046574191E-2</v>
      </c>
      <c r="I388" s="18">
        <v>1.6629423445272851E-2</v>
      </c>
    </row>
    <row r="389" spans="1:9" x14ac:dyDescent="0.35">
      <c r="A389" s="14" t="s">
        <v>211</v>
      </c>
      <c r="B389" s="18">
        <v>3.1782034575118842E-2</v>
      </c>
      <c r="C389" s="18" t="s">
        <v>214</v>
      </c>
      <c r="D389" s="18" t="s">
        <v>214</v>
      </c>
      <c r="E389" s="18">
        <v>4.2536822756377622E-2</v>
      </c>
      <c r="F389" s="18">
        <v>3.1782034575118842E-2</v>
      </c>
      <c r="G389" s="18">
        <v>2.0684228106678752E-2</v>
      </c>
      <c r="H389" s="18">
        <v>1.5973279722568619E-2</v>
      </c>
      <c r="I389" s="18">
        <v>1.536978040589361E-2</v>
      </c>
    </row>
    <row r="390" spans="1:9" x14ac:dyDescent="0.35">
      <c r="A390" s="14" t="s">
        <v>212</v>
      </c>
      <c r="B390" s="18">
        <v>4.5720731861472221E-3</v>
      </c>
      <c r="C390" s="18" t="s">
        <v>214</v>
      </c>
      <c r="D390" s="18" t="s">
        <v>214</v>
      </c>
      <c r="E390" s="18">
        <v>0</v>
      </c>
      <c r="F390" s="18">
        <v>4.5720731861472238E-3</v>
      </c>
      <c r="G390" s="18">
        <v>2.2467838744562769E-2</v>
      </c>
      <c r="H390" s="18">
        <v>2.1752500992637751E-2</v>
      </c>
      <c r="I390" s="18">
        <v>2.3099445005267661E-2</v>
      </c>
    </row>
    <row r="391" spans="1:9" x14ac:dyDescent="0.35">
      <c r="A391" s="14" t="s">
        <v>203</v>
      </c>
      <c r="B391" s="18">
        <v>6.3521720031251448E-3</v>
      </c>
      <c r="C391" s="18" t="s">
        <v>214</v>
      </c>
      <c r="D391" s="18" t="s">
        <v>214</v>
      </c>
      <c r="E391" s="18">
        <v>1.1935795962683789E-2</v>
      </c>
      <c r="F391" s="18">
        <v>6.3521720031251474E-3</v>
      </c>
      <c r="G391" s="18">
        <v>7.7319158101280816E-3</v>
      </c>
      <c r="H391" s="18">
        <v>5.970928834740913E-3</v>
      </c>
      <c r="I391" s="18">
        <v>5.7453363744404823E-3</v>
      </c>
    </row>
    <row r="392" spans="1:9" x14ac:dyDescent="0.35">
      <c r="A392" s="14" t="s">
        <v>204</v>
      </c>
      <c r="B392" s="18">
        <v>0</v>
      </c>
      <c r="C392" s="18" t="s">
        <v>214</v>
      </c>
      <c r="D392" s="18" t="s">
        <v>214</v>
      </c>
      <c r="E392" s="18">
        <v>0</v>
      </c>
      <c r="F392" s="18">
        <v>0</v>
      </c>
      <c r="G392" s="18">
        <v>0</v>
      </c>
      <c r="H392" s="18">
        <v>2.6754285396981209E-3</v>
      </c>
      <c r="I392" s="18">
        <v>2.574346024174441E-3</v>
      </c>
    </row>
    <row r="393" spans="1:9" x14ac:dyDescent="0.35">
      <c r="A393" s="14" t="s">
        <v>213</v>
      </c>
      <c r="B393" s="1">
        <v>1.5636994755604121</v>
      </c>
      <c r="C393" s="1" t="s">
        <v>214</v>
      </c>
      <c r="D393" s="1" t="s">
        <v>214</v>
      </c>
      <c r="E393" s="1">
        <v>-5.2725949657320266</v>
      </c>
      <c r="F393" s="1">
        <v>1.563699475560417</v>
      </c>
      <c r="G393" s="1">
        <v>1.3757744567623531</v>
      </c>
      <c r="H393" s="1">
        <v>0.98354694129705444</v>
      </c>
      <c r="I393" s="1">
        <v>2.0424660627381459</v>
      </c>
    </row>
    <row r="395" spans="1:9" x14ac:dyDescent="0.35">
      <c r="C395" s="187"/>
      <c r="D395" s="187"/>
      <c r="E395" s="187"/>
      <c r="F395" s="187"/>
      <c r="G395" s="170"/>
      <c r="H395" s="170"/>
      <c r="I395" s="170"/>
    </row>
    <row r="396" spans="1:9" ht="29" x14ac:dyDescent="0.35">
      <c r="A396" s="12" t="s">
        <v>510</v>
      </c>
      <c r="B396" s="13" t="s">
        <v>208</v>
      </c>
      <c r="C396" s="13" t="s">
        <v>458</v>
      </c>
      <c r="D396" s="13" t="s">
        <v>466</v>
      </c>
      <c r="E396" s="13" t="s">
        <v>467</v>
      </c>
      <c r="F396" s="13" t="s">
        <v>468</v>
      </c>
      <c r="G396" s="13" t="s">
        <v>636</v>
      </c>
      <c r="H396" s="13" t="s">
        <v>641</v>
      </c>
      <c r="I396" s="13" t="s">
        <v>647</v>
      </c>
    </row>
    <row r="397" spans="1:9" x14ac:dyDescent="0.35">
      <c r="A397" s="14" t="s">
        <v>209</v>
      </c>
      <c r="B397" s="15">
        <v>92</v>
      </c>
      <c r="C397" s="15">
        <v>0</v>
      </c>
      <c r="D397" s="15">
        <v>0</v>
      </c>
      <c r="E397" s="15">
        <v>49</v>
      </c>
      <c r="F397" s="15">
        <v>92</v>
      </c>
      <c r="G397" s="15">
        <v>148</v>
      </c>
      <c r="H397" s="15">
        <v>191</v>
      </c>
      <c r="I397" s="15">
        <v>196</v>
      </c>
    </row>
    <row r="398" spans="1:9" x14ac:dyDescent="0.35">
      <c r="A398" s="16" t="s">
        <v>336</v>
      </c>
      <c r="B398" s="17">
        <v>0.33234123947437227</v>
      </c>
      <c r="C398" s="168" t="s">
        <v>214</v>
      </c>
      <c r="D398" s="168" t="s">
        <v>214</v>
      </c>
      <c r="E398" s="152">
        <v>0.1790483944807372</v>
      </c>
      <c r="F398" s="152">
        <v>0.33234123947437227</v>
      </c>
      <c r="G398" s="17">
        <v>0.33141341344257857</v>
      </c>
      <c r="H398" s="17">
        <v>0.31617580862704242</v>
      </c>
      <c r="I398" s="17">
        <v>0.31293679271811597</v>
      </c>
    </row>
    <row r="399" spans="1:9" x14ac:dyDescent="0.35">
      <c r="A399" s="16" t="s">
        <v>194</v>
      </c>
      <c r="B399" s="17">
        <v>0.3804483045608541</v>
      </c>
      <c r="C399" s="168" t="s">
        <v>214</v>
      </c>
      <c r="D399" s="168" t="s">
        <v>214</v>
      </c>
      <c r="E399" s="149">
        <v>0.48452950956219232</v>
      </c>
      <c r="F399" s="17">
        <v>0.3804483045608541</v>
      </c>
      <c r="G399" s="17">
        <v>0.33726494890419301</v>
      </c>
      <c r="H399" s="17">
        <v>0.3568820921273681</v>
      </c>
      <c r="I399" s="17">
        <v>0.36871778595221227</v>
      </c>
    </row>
    <row r="400" spans="1:9" x14ac:dyDescent="0.35">
      <c r="A400" s="16" t="s">
        <v>195</v>
      </c>
      <c r="B400" s="17">
        <v>0.2872104559647734</v>
      </c>
      <c r="C400" s="168" t="s">
        <v>214</v>
      </c>
      <c r="D400" s="168" t="s">
        <v>214</v>
      </c>
      <c r="E400" s="17">
        <v>0.33642209595707051</v>
      </c>
      <c r="F400" s="17">
        <v>0.2872104559647734</v>
      </c>
      <c r="G400" s="17">
        <v>0.3313216376532287</v>
      </c>
      <c r="H400" s="17">
        <v>0.32694209924558948</v>
      </c>
      <c r="I400" s="17">
        <v>0.31834542132967159</v>
      </c>
    </row>
    <row r="401" spans="1:9" x14ac:dyDescent="0.35">
      <c r="A401" s="14" t="s">
        <v>210</v>
      </c>
      <c r="B401" s="18">
        <v>0.16269168419192109</v>
      </c>
      <c r="C401" s="18" t="s">
        <v>214</v>
      </c>
      <c r="D401" s="18" t="s">
        <v>214</v>
      </c>
      <c r="E401" s="25">
        <v>4.2671865473318943E-2</v>
      </c>
      <c r="F401" s="18">
        <v>0.16269168419192109</v>
      </c>
      <c r="G401" s="18">
        <v>0.1625742586869009</v>
      </c>
      <c r="H401" s="18">
        <v>0.15513141292111329</v>
      </c>
      <c r="I401" s="18">
        <v>0.1561269290692151</v>
      </c>
    </row>
    <row r="402" spans="1:9" x14ac:dyDescent="0.35">
      <c r="A402" s="14" t="s">
        <v>197</v>
      </c>
      <c r="B402" s="18">
        <v>0.16964955528245121</v>
      </c>
      <c r="C402" s="18" t="s">
        <v>214</v>
      </c>
      <c r="D402" s="18" t="s">
        <v>214</v>
      </c>
      <c r="E402" s="18">
        <v>0.13637652900741831</v>
      </c>
      <c r="F402" s="18">
        <v>0.16964955528245121</v>
      </c>
      <c r="G402" s="18">
        <v>0.16883915475567771</v>
      </c>
      <c r="H402" s="18">
        <v>0.1610443957059291</v>
      </c>
      <c r="I402" s="18">
        <v>0.15680986364890101</v>
      </c>
    </row>
    <row r="403" spans="1:9" x14ac:dyDescent="0.35">
      <c r="A403" s="14" t="s">
        <v>198</v>
      </c>
      <c r="B403" s="18">
        <v>0.23491349245440241</v>
      </c>
      <c r="C403" s="18" t="s">
        <v>214</v>
      </c>
      <c r="D403" s="18" t="s">
        <v>214</v>
      </c>
      <c r="E403" s="18">
        <v>0.25243792950709959</v>
      </c>
      <c r="F403" s="18">
        <v>0.23491349245440241</v>
      </c>
      <c r="G403" s="18">
        <v>0.21643086905581349</v>
      </c>
      <c r="H403" s="18">
        <v>0.21225548931337609</v>
      </c>
      <c r="I403" s="18">
        <v>0.21694852458145869</v>
      </c>
    </row>
    <row r="404" spans="1:9" x14ac:dyDescent="0.35">
      <c r="A404" s="14" t="s">
        <v>199</v>
      </c>
      <c r="B404" s="18">
        <v>0.14553481210645181</v>
      </c>
      <c r="C404" s="18" t="s">
        <v>214</v>
      </c>
      <c r="D404" s="18" t="s">
        <v>214</v>
      </c>
      <c r="E404" s="19">
        <v>0.2320915800550927</v>
      </c>
      <c r="F404" s="18">
        <v>0.14553481210645181</v>
      </c>
      <c r="G404" s="18">
        <v>0.1208340798483795</v>
      </c>
      <c r="H404" s="18">
        <v>0.14462660281399201</v>
      </c>
      <c r="I404" s="25">
        <v>0.15176926137075361</v>
      </c>
    </row>
    <row r="405" spans="1:9" x14ac:dyDescent="0.35">
      <c r="A405" s="14" t="s">
        <v>200</v>
      </c>
      <c r="B405" s="18">
        <v>0.13945795737277139</v>
      </c>
      <c r="C405" s="18" t="s">
        <v>214</v>
      </c>
      <c r="D405" s="18" t="s">
        <v>214</v>
      </c>
      <c r="E405" s="18">
        <v>0.15853474070229409</v>
      </c>
      <c r="F405" s="18">
        <v>0.13945795737277139</v>
      </c>
      <c r="G405" s="18">
        <v>0.16841968356844769</v>
      </c>
      <c r="H405" s="18">
        <v>0.1635254104231203</v>
      </c>
      <c r="I405" s="18">
        <v>0.1592256420919092</v>
      </c>
    </row>
    <row r="406" spans="1:9" x14ac:dyDescent="0.35">
      <c r="A406" s="14" t="s">
        <v>201</v>
      </c>
      <c r="B406" s="18">
        <v>6.8989731722103292E-2</v>
      </c>
      <c r="C406" s="18" t="s">
        <v>214</v>
      </c>
      <c r="D406" s="18" t="s">
        <v>214</v>
      </c>
      <c r="E406" s="18">
        <v>7.1017078261603778E-2</v>
      </c>
      <c r="F406" s="18">
        <v>6.8989731722103292E-2</v>
      </c>
      <c r="G406" s="18">
        <v>8.5352493744436847E-2</v>
      </c>
      <c r="H406" s="18">
        <v>7.9172325686723624E-2</v>
      </c>
      <c r="I406" s="18">
        <v>7.7090553454412666E-2</v>
      </c>
    </row>
    <row r="407" spans="1:9" x14ac:dyDescent="0.35">
      <c r="A407" s="14" t="s">
        <v>202</v>
      </c>
      <c r="B407" s="18">
        <v>5.3336778354224249E-2</v>
      </c>
      <c r="C407" s="18" t="s">
        <v>214</v>
      </c>
      <c r="D407" s="18" t="s">
        <v>214</v>
      </c>
      <c r="E407" s="18">
        <v>7.8726576247424879E-2</v>
      </c>
      <c r="F407" s="18">
        <v>5.3336778354224249E-2</v>
      </c>
      <c r="G407" s="18">
        <v>4.6666894154870367E-2</v>
      </c>
      <c r="H407" s="18">
        <v>4.1095663440803391E-2</v>
      </c>
      <c r="I407" s="18">
        <v>4.0015086228028567E-2</v>
      </c>
    </row>
    <row r="408" spans="1:9" x14ac:dyDescent="0.35">
      <c r="A408" s="14" t="s">
        <v>211</v>
      </c>
      <c r="B408" s="18">
        <v>1.4784568599728289E-2</v>
      </c>
      <c r="C408" s="18" t="s">
        <v>214</v>
      </c>
      <c r="D408" s="18" t="s">
        <v>214</v>
      </c>
      <c r="E408" s="18">
        <v>2.8143700745747759E-2</v>
      </c>
      <c r="F408" s="18">
        <v>1.4784568599728289E-2</v>
      </c>
      <c r="G408" s="18">
        <v>1.5467145527374691E-2</v>
      </c>
      <c r="H408" s="18">
        <v>2.6655592299714249E-2</v>
      </c>
      <c r="I408" s="18">
        <v>2.595470507170837E-2</v>
      </c>
    </row>
    <row r="409" spans="1:9" x14ac:dyDescent="0.35">
      <c r="A409" s="14" t="s">
        <v>212</v>
      </c>
      <c r="B409" s="18">
        <v>0</v>
      </c>
      <c r="C409" s="18" t="s">
        <v>214</v>
      </c>
      <c r="D409" s="18" t="s">
        <v>214</v>
      </c>
      <c r="E409" s="18">
        <v>0</v>
      </c>
      <c r="F409" s="18">
        <v>0</v>
      </c>
      <c r="G409" s="18">
        <v>8.9567300372011237E-3</v>
      </c>
      <c r="H409" s="18">
        <v>1.144152495544723E-2</v>
      </c>
      <c r="I409" s="18">
        <v>1.1140679316002581E-2</v>
      </c>
    </row>
    <row r="410" spans="1:9" x14ac:dyDescent="0.35">
      <c r="A410" s="14" t="s">
        <v>203</v>
      </c>
      <c r="B410" s="18">
        <v>1.0641419915946221E-2</v>
      </c>
      <c r="C410" s="18" t="s">
        <v>214</v>
      </c>
      <c r="D410" s="18" t="s">
        <v>214</v>
      </c>
      <c r="E410" s="18">
        <v>0</v>
      </c>
      <c r="F410" s="18">
        <v>1.0641419915946221E-2</v>
      </c>
      <c r="G410" s="18">
        <v>6.4586906208979984E-3</v>
      </c>
      <c r="H410" s="25">
        <v>5.0515824397807689E-3</v>
      </c>
      <c r="I410" s="18">
        <v>4.9187551676102273E-3</v>
      </c>
    </row>
    <row r="411" spans="1:9" x14ac:dyDescent="0.35">
      <c r="A411" s="14" t="s">
        <v>204</v>
      </c>
      <c r="B411" s="18">
        <v>0</v>
      </c>
      <c r="C411" s="18" t="s">
        <v>214</v>
      </c>
      <c r="D411" s="18" t="s">
        <v>214</v>
      </c>
      <c r="E411" s="18">
        <v>0</v>
      </c>
      <c r="F411" s="18">
        <v>0</v>
      </c>
      <c r="G411" s="18">
        <v>0</v>
      </c>
      <c r="H411" s="18">
        <v>0</v>
      </c>
      <c r="I411" s="18">
        <v>0</v>
      </c>
    </row>
    <row r="412" spans="1:9" x14ac:dyDescent="0.35">
      <c r="A412" s="14" t="s">
        <v>213</v>
      </c>
      <c r="B412" s="1">
        <v>4.5130783509598844</v>
      </c>
      <c r="C412" s="1" t="s">
        <v>214</v>
      </c>
      <c r="D412" s="1" t="s">
        <v>214</v>
      </c>
      <c r="E412" s="1">
        <v>-15.73737014763333</v>
      </c>
      <c r="F412" s="1">
        <v>4.5130783509598853</v>
      </c>
      <c r="G412" s="1">
        <v>9.1775789349896036E-3</v>
      </c>
      <c r="H412" s="1">
        <v>-1.0766290618547101</v>
      </c>
      <c r="I412" s="1">
        <v>-0.54086286115555648</v>
      </c>
    </row>
    <row r="414" spans="1:9" x14ac:dyDescent="0.35">
      <c r="C414" s="187"/>
      <c r="D414" s="187"/>
      <c r="E414" s="187"/>
      <c r="F414" s="187"/>
      <c r="G414" s="170"/>
      <c r="H414" s="170"/>
      <c r="I414" s="170"/>
    </row>
    <row r="415" spans="1:9" ht="29" x14ac:dyDescent="0.35">
      <c r="A415" s="12" t="s">
        <v>523</v>
      </c>
      <c r="B415" s="13" t="s">
        <v>208</v>
      </c>
      <c r="C415" s="13" t="s">
        <v>458</v>
      </c>
      <c r="D415" s="13" t="s">
        <v>466</v>
      </c>
      <c r="E415" s="13" t="s">
        <v>467</v>
      </c>
      <c r="F415" s="13" t="s">
        <v>468</v>
      </c>
      <c r="G415" s="13" t="s">
        <v>636</v>
      </c>
      <c r="H415" s="13" t="s">
        <v>641</v>
      </c>
      <c r="I415" s="13" t="s">
        <v>647</v>
      </c>
    </row>
    <row r="416" spans="1:9" x14ac:dyDescent="0.35">
      <c r="A416" s="14" t="s">
        <v>209</v>
      </c>
      <c r="B416" s="15">
        <v>105</v>
      </c>
      <c r="C416" s="15">
        <v>0</v>
      </c>
      <c r="D416" s="15">
        <v>0</v>
      </c>
      <c r="E416" s="15">
        <v>46</v>
      </c>
      <c r="F416" s="15">
        <v>105</v>
      </c>
      <c r="G416" s="15">
        <v>153</v>
      </c>
      <c r="H416" s="15">
        <v>196</v>
      </c>
      <c r="I416" s="15">
        <v>206</v>
      </c>
    </row>
    <row r="417" spans="1:9" x14ac:dyDescent="0.35">
      <c r="A417" s="16" t="s">
        <v>336</v>
      </c>
      <c r="B417" s="17">
        <v>0.31636423191153151</v>
      </c>
      <c r="C417" s="168" t="s">
        <v>214</v>
      </c>
      <c r="D417" s="168" t="s">
        <v>214</v>
      </c>
      <c r="E417" s="17">
        <v>0.3704755476156249</v>
      </c>
      <c r="F417" s="17">
        <v>0.31636423191153151</v>
      </c>
      <c r="G417" s="17">
        <v>0.30147867509617998</v>
      </c>
      <c r="H417" s="17">
        <v>0.32536777586504051</v>
      </c>
      <c r="I417" s="17">
        <v>0.32768707526936419</v>
      </c>
    </row>
    <row r="418" spans="1:9" x14ac:dyDescent="0.35">
      <c r="A418" s="16" t="s">
        <v>194</v>
      </c>
      <c r="B418" s="17">
        <v>0.39315744673224629</v>
      </c>
      <c r="C418" s="168" t="s">
        <v>214</v>
      </c>
      <c r="D418" s="168" t="s">
        <v>214</v>
      </c>
      <c r="E418" s="17">
        <v>0.33103929451576558</v>
      </c>
      <c r="F418" s="17">
        <v>0.39315744673224629</v>
      </c>
      <c r="G418" s="17">
        <v>0.42159194136646361</v>
      </c>
      <c r="H418" s="17">
        <v>0.41341485051304999</v>
      </c>
      <c r="I418" s="17">
        <v>0.42370617415915862</v>
      </c>
    </row>
    <row r="419" spans="1:9" x14ac:dyDescent="0.35">
      <c r="A419" s="16" t="s">
        <v>195</v>
      </c>
      <c r="B419" s="17">
        <v>0.29047832135622231</v>
      </c>
      <c r="C419" s="168" t="s">
        <v>214</v>
      </c>
      <c r="D419" s="168" t="s">
        <v>214</v>
      </c>
      <c r="E419" s="17">
        <v>0.29848515786860952</v>
      </c>
      <c r="F419" s="17">
        <v>0.29047832135622231</v>
      </c>
      <c r="G419" s="17">
        <v>0.27692938353735641</v>
      </c>
      <c r="H419" s="17">
        <v>0.26121737362190928</v>
      </c>
      <c r="I419" s="17">
        <v>0.2486067505714771</v>
      </c>
    </row>
    <row r="420" spans="1:9" x14ac:dyDescent="0.35">
      <c r="A420" s="14" t="s">
        <v>210</v>
      </c>
      <c r="B420" s="18">
        <v>0.2130387512885375</v>
      </c>
      <c r="C420" s="18" t="s">
        <v>214</v>
      </c>
      <c r="D420" s="18" t="s">
        <v>214</v>
      </c>
      <c r="E420" s="18">
        <v>0.27242514821778002</v>
      </c>
      <c r="F420" s="18">
        <v>0.2130387512885375</v>
      </c>
      <c r="G420" s="18">
        <v>0.1940112667134983</v>
      </c>
      <c r="H420" s="18">
        <v>0.18617305452232741</v>
      </c>
      <c r="I420" s="18">
        <v>0.18610463553781839</v>
      </c>
    </row>
    <row r="421" spans="1:9" x14ac:dyDescent="0.35">
      <c r="A421" s="14" t="s">
        <v>197</v>
      </c>
      <c r="B421" s="18">
        <v>0.103325480622994</v>
      </c>
      <c r="C421" s="18" t="s">
        <v>214</v>
      </c>
      <c r="D421" s="18" t="s">
        <v>214</v>
      </c>
      <c r="E421" s="18">
        <v>9.8050399397844906E-2</v>
      </c>
      <c r="F421" s="18">
        <v>0.103325480622994</v>
      </c>
      <c r="G421" s="18">
        <v>0.10746740838268171</v>
      </c>
      <c r="H421" s="25">
        <v>0.13919472134271321</v>
      </c>
      <c r="I421" s="18">
        <v>0.14158243973154591</v>
      </c>
    </row>
    <row r="422" spans="1:9" x14ac:dyDescent="0.35">
      <c r="A422" s="14" t="s">
        <v>198</v>
      </c>
      <c r="B422" s="18">
        <v>0.23227791069935841</v>
      </c>
      <c r="C422" s="18" t="s">
        <v>214</v>
      </c>
      <c r="D422" s="18" t="s">
        <v>214</v>
      </c>
      <c r="E422" s="18">
        <v>0.1778770748439604</v>
      </c>
      <c r="F422" s="18">
        <v>0.23227791069935841</v>
      </c>
      <c r="G422" s="18">
        <v>0.24799418795514111</v>
      </c>
      <c r="H422" s="18">
        <v>0.25042574095377568</v>
      </c>
      <c r="I422" s="18">
        <v>0.26858558495700502</v>
      </c>
    </row>
    <row r="423" spans="1:9" x14ac:dyDescent="0.35">
      <c r="A423" s="14" t="s">
        <v>199</v>
      </c>
      <c r="B423" s="18">
        <v>0.1608795360328879</v>
      </c>
      <c r="C423" s="18" t="s">
        <v>214</v>
      </c>
      <c r="D423" s="18" t="s">
        <v>214</v>
      </c>
      <c r="E423" s="18">
        <v>0.15316221967180521</v>
      </c>
      <c r="F423" s="18">
        <v>0.16087953603288779</v>
      </c>
      <c r="G423" s="18">
        <v>0.17359775341132239</v>
      </c>
      <c r="H423" s="18">
        <v>0.16298910955927429</v>
      </c>
      <c r="I423" s="18">
        <v>0.1551205892021536</v>
      </c>
    </row>
    <row r="424" spans="1:9" x14ac:dyDescent="0.35">
      <c r="A424" s="14" t="s">
        <v>200</v>
      </c>
      <c r="B424" s="18">
        <v>0.1109537327567746</v>
      </c>
      <c r="C424" s="18" t="s">
        <v>214</v>
      </c>
      <c r="D424" s="18" t="s">
        <v>214</v>
      </c>
      <c r="E424" s="18">
        <v>7.0876314942371857E-2</v>
      </c>
      <c r="F424" s="18">
        <v>0.1109537327567746</v>
      </c>
      <c r="G424" s="18">
        <v>9.6851902507877757E-2</v>
      </c>
      <c r="H424" s="18">
        <v>9.5812585418582744E-2</v>
      </c>
      <c r="I424" s="18">
        <v>9.1187102888657556E-2</v>
      </c>
    </row>
    <row r="425" spans="1:9" x14ac:dyDescent="0.35">
      <c r="A425" s="14" t="s">
        <v>201</v>
      </c>
      <c r="B425" s="18">
        <v>9.0717131198634601E-2</v>
      </c>
      <c r="C425" s="18" t="s">
        <v>214</v>
      </c>
      <c r="D425" s="18" t="s">
        <v>214</v>
      </c>
      <c r="E425" s="20">
        <v>0.14702592929366329</v>
      </c>
      <c r="F425" s="18">
        <v>9.0717131198634587E-2</v>
      </c>
      <c r="G425" s="18">
        <v>8.1906017302915621E-2</v>
      </c>
      <c r="H425" s="18">
        <v>8.4300327870552624E-2</v>
      </c>
      <c r="I425" s="18">
        <v>8.0230615190024321E-2</v>
      </c>
    </row>
    <row r="426" spans="1:9" x14ac:dyDescent="0.35">
      <c r="A426" s="14" t="s">
        <v>202</v>
      </c>
      <c r="B426" s="18">
        <v>3.5778719742067949E-2</v>
      </c>
      <c r="C426" s="18" t="s">
        <v>214</v>
      </c>
      <c r="D426" s="18" t="s">
        <v>214</v>
      </c>
      <c r="E426" s="18">
        <v>1.5969805562572749E-2</v>
      </c>
      <c r="F426" s="18">
        <v>3.5778719742067949E-2</v>
      </c>
      <c r="G426" s="18">
        <v>3.900952614798707E-2</v>
      </c>
      <c r="H426" s="18">
        <v>3.061771906517944E-2</v>
      </c>
      <c r="I426" s="18">
        <v>2.9139607144668869E-2</v>
      </c>
    </row>
    <row r="427" spans="1:9" x14ac:dyDescent="0.35">
      <c r="A427" s="14" t="s">
        <v>211</v>
      </c>
      <c r="B427" s="18">
        <v>3.1661522332904292E-2</v>
      </c>
      <c r="C427" s="18" t="s">
        <v>214</v>
      </c>
      <c r="D427" s="18" t="s">
        <v>214</v>
      </c>
      <c r="E427" s="18">
        <v>3.4494342006111192E-2</v>
      </c>
      <c r="F427" s="25">
        <v>3.1661522332904292E-2</v>
      </c>
      <c r="G427" s="18">
        <v>2.121828409311894E-2</v>
      </c>
      <c r="H427" s="18">
        <v>2.0705602211533759E-2</v>
      </c>
      <c r="I427" s="18">
        <v>1.9706011177823331E-2</v>
      </c>
    </row>
    <row r="428" spans="1:9" x14ac:dyDescent="0.35">
      <c r="A428" s="14" t="s">
        <v>212</v>
      </c>
      <c r="B428" s="18">
        <v>1.273145300162425E-2</v>
      </c>
      <c r="C428" s="18" t="s">
        <v>214</v>
      </c>
      <c r="D428" s="18" t="s">
        <v>214</v>
      </c>
      <c r="E428" s="18">
        <v>3.0118766063890409E-2</v>
      </c>
      <c r="F428" s="18">
        <v>1.273145300162425E-2</v>
      </c>
      <c r="G428" s="18">
        <v>8.5321098545508723E-3</v>
      </c>
      <c r="H428" s="18">
        <v>6.6966653624262887E-3</v>
      </c>
      <c r="I428" s="18">
        <v>6.3733747580935274E-3</v>
      </c>
    </row>
    <row r="429" spans="1:9" x14ac:dyDescent="0.35">
      <c r="A429" s="14" t="s">
        <v>203</v>
      </c>
      <c r="B429" s="18">
        <v>8.6357623242166153E-3</v>
      </c>
      <c r="C429" s="18" t="s">
        <v>214</v>
      </c>
      <c r="D429" s="18" t="s">
        <v>214</v>
      </c>
      <c r="E429" s="18">
        <v>0</v>
      </c>
      <c r="F429" s="18">
        <v>8.6357623242166153E-3</v>
      </c>
      <c r="G429" s="18">
        <v>5.7873420118353842E-3</v>
      </c>
      <c r="H429" s="18">
        <v>4.5423574534147384E-3</v>
      </c>
      <c r="I429" s="18">
        <v>4.3230689856872976E-3</v>
      </c>
    </row>
    <row r="430" spans="1:9" x14ac:dyDescent="0.35">
      <c r="A430" s="14" t="s">
        <v>204</v>
      </c>
      <c r="B430" s="18">
        <v>0</v>
      </c>
      <c r="C430" s="18" t="s">
        <v>214</v>
      </c>
      <c r="D430" s="18" t="s">
        <v>214</v>
      </c>
      <c r="E430" s="18">
        <v>0</v>
      </c>
      <c r="F430" s="18">
        <v>0</v>
      </c>
      <c r="G430" s="18">
        <v>2.3624201619070782E-2</v>
      </c>
      <c r="H430" s="18">
        <v>1.854211624021971E-2</v>
      </c>
      <c r="I430" s="18">
        <v>1.7646970426522211E-2</v>
      </c>
    </row>
    <row r="431" spans="1:9" x14ac:dyDescent="0.35">
      <c r="A431" s="14" t="s">
        <v>213</v>
      </c>
      <c r="B431" s="1">
        <v>2.5885910555309182</v>
      </c>
      <c r="C431" s="1" t="s">
        <v>214</v>
      </c>
      <c r="D431" s="1" t="s">
        <v>214</v>
      </c>
      <c r="E431" s="1">
        <v>7.1990389747015398</v>
      </c>
      <c r="F431" s="1">
        <v>2.5885910555309231</v>
      </c>
      <c r="G431" s="1">
        <v>2.454929155882362</v>
      </c>
      <c r="H431" s="1">
        <v>6.4150402243131239</v>
      </c>
      <c r="I431" s="1">
        <v>7.9080324697887141</v>
      </c>
    </row>
    <row r="432" spans="1:9" x14ac:dyDescent="0.35">
      <c r="H432" s="170"/>
      <c r="I432" s="170"/>
    </row>
    <row r="433" spans="1:9" ht="29" x14ac:dyDescent="0.35">
      <c r="A433" s="12" t="s">
        <v>524</v>
      </c>
      <c r="B433" s="13" t="s">
        <v>208</v>
      </c>
      <c r="C433" s="13" t="s">
        <v>458</v>
      </c>
      <c r="D433" s="13" t="s">
        <v>466</v>
      </c>
      <c r="E433" s="13" t="s">
        <v>467</v>
      </c>
      <c r="F433" s="13" t="s">
        <v>468</v>
      </c>
      <c r="G433" s="13" t="s">
        <v>636</v>
      </c>
      <c r="H433" s="13" t="s">
        <v>641</v>
      </c>
      <c r="I433" s="13" t="s">
        <v>647</v>
      </c>
    </row>
    <row r="434" spans="1:9" x14ac:dyDescent="0.35">
      <c r="A434" s="14" t="s">
        <v>209</v>
      </c>
      <c r="B434" s="15">
        <v>109</v>
      </c>
      <c r="C434" s="15">
        <v>0</v>
      </c>
      <c r="D434" s="15">
        <v>0</v>
      </c>
      <c r="E434" s="15">
        <v>59</v>
      </c>
      <c r="F434" s="15">
        <v>109</v>
      </c>
      <c r="G434" s="15">
        <v>162</v>
      </c>
      <c r="H434" s="15">
        <v>221</v>
      </c>
      <c r="I434" s="15">
        <v>233</v>
      </c>
    </row>
    <row r="435" spans="1:9" x14ac:dyDescent="0.35">
      <c r="A435" s="16" t="s">
        <v>336</v>
      </c>
      <c r="B435" s="17">
        <v>0.37603270473429828</v>
      </c>
      <c r="C435" s="168" t="s">
        <v>214</v>
      </c>
      <c r="D435" s="168" t="s">
        <v>214</v>
      </c>
      <c r="E435" s="17">
        <v>0.36450216022366871</v>
      </c>
      <c r="F435" s="17">
        <v>0.37603270473429828</v>
      </c>
      <c r="G435" s="17">
        <v>0.33288292681235049</v>
      </c>
      <c r="H435" s="17">
        <v>0.29815880621833379</v>
      </c>
      <c r="I435" s="17">
        <v>0.31337908023422723</v>
      </c>
    </row>
    <row r="436" spans="1:9" x14ac:dyDescent="0.35">
      <c r="A436" s="16" t="s">
        <v>194</v>
      </c>
      <c r="B436" s="17">
        <v>0.30878052321090099</v>
      </c>
      <c r="C436" s="168" t="s">
        <v>214</v>
      </c>
      <c r="D436" s="168" t="s">
        <v>214</v>
      </c>
      <c r="E436" s="17">
        <v>0.35668614623327599</v>
      </c>
      <c r="F436" s="17">
        <v>0.30878052321090099</v>
      </c>
      <c r="G436" s="152">
        <v>0.34100946108264218</v>
      </c>
      <c r="H436" s="17">
        <v>0.38123057693875823</v>
      </c>
      <c r="I436" s="17">
        <v>0.37872272901048759</v>
      </c>
    </row>
    <row r="437" spans="1:9" x14ac:dyDescent="0.35">
      <c r="A437" s="16" t="s">
        <v>195</v>
      </c>
      <c r="B437" s="17">
        <v>0.31518677205480061</v>
      </c>
      <c r="C437" s="168" t="s">
        <v>214</v>
      </c>
      <c r="D437" s="168" t="s">
        <v>214</v>
      </c>
      <c r="E437" s="17">
        <v>0.27881169354305518</v>
      </c>
      <c r="F437" s="17">
        <v>0.31518677205480061</v>
      </c>
      <c r="G437" s="17">
        <v>0.32610761210500711</v>
      </c>
      <c r="H437" s="17">
        <v>0.32061061684290793</v>
      </c>
      <c r="I437" s="17">
        <v>0.30789819075528507</v>
      </c>
    </row>
    <row r="438" spans="1:9" x14ac:dyDescent="0.35">
      <c r="A438" s="14" t="s">
        <v>210</v>
      </c>
      <c r="B438" s="18">
        <v>0.26932744247327728</v>
      </c>
      <c r="C438" s="18" t="s">
        <v>214</v>
      </c>
      <c r="D438" s="18" t="s">
        <v>214</v>
      </c>
      <c r="E438" s="18">
        <v>0.25689074360578601</v>
      </c>
      <c r="F438" s="18">
        <v>0.26932744247327722</v>
      </c>
      <c r="G438" s="18">
        <v>0.21910076284362279</v>
      </c>
      <c r="H438" s="18">
        <v>0.18801157846881769</v>
      </c>
      <c r="I438" s="18">
        <v>0.19596381605034049</v>
      </c>
    </row>
    <row r="439" spans="1:9" x14ac:dyDescent="0.35">
      <c r="A439" s="14" t="s">
        <v>197</v>
      </c>
      <c r="B439" s="18">
        <v>0.1067052622610211</v>
      </c>
      <c r="C439" s="18" t="s">
        <v>214</v>
      </c>
      <c r="D439" s="18" t="s">
        <v>214</v>
      </c>
      <c r="E439" s="18">
        <v>0.1076114166178827</v>
      </c>
      <c r="F439" s="18">
        <v>0.1067052622610211</v>
      </c>
      <c r="G439" s="18">
        <v>0.1137821639687277</v>
      </c>
      <c r="H439" s="18">
        <v>0.1101472277495161</v>
      </c>
      <c r="I439" s="18">
        <v>0.11741526418388661</v>
      </c>
    </row>
    <row r="440" spans="1:9" x14ac:dyDescent="0.35">
      <c r="A440" s="14" t="s">
        <v>198</v>
      </c>
      <c r="B440" s="18">
        <v>0.18327196137154461</v>
      </c>
      <c r="C440" s="18" t="s">
        <v>214</v>
      </c>
      <c r="D440" s="18" t="s">
        <v>214</v>
      </c>
      <c r="E440" s="18">
        <v>0.1881560176344424</v>
      </c>
      <c r="F440" s="18">
        <v>0.18327196137154461</v>
      </c>
      <c r="G440" s="18">
        <v>0.1757121046786296</v>
      </c>
      <c r="H440" s="18">
        <v>0.20196225101741849</v>
      </c>
      <c r="I440" s="18">
        <v>0.2001488802048578</v>
      </c>
    </row>
    <row r="441" spans="1:9" x14ac:dyDescent="0.35">
      <c r="A441" s="14" t="s">
        <v>199</v>
      </c>
      <c r="B441" s="18">
        <v>0.12550856183935641</v>
      </c>
      <c r="C441" s="18" t="s">
        <v>214</v>
      </c>
      <c r="D441" s="18" t="s">
        <v>214</v>
      </c>
      <c r="E441" s="18">
        <v>0.1685301285988336</v>
      </c>
      <c r="F441" s="18">
        <v>0.12550856183935641</v>
      </c>
      <c r="G441" s="18">
        <v>0.16529735640401261</v>
      </c>
      <c r="H441" s="18">
        <v>0.17926832592133971</v>
      </c>
      <c r="I441" s="18">
        <v>0.17857384880562979</v>
      </c>
    </row>
    <row r="442" spans="1:9" x14ac:dyDescent="0.35">
      <c r="A442" s="14" t="s">
        <v>200</v>
      </c>
      <c r="B442" s="18">
        <v>0.1149850067462279</v>
      </c>
      <c r="C442" s="18" t="s">
        <v>214</v>
      </c>
      <c r="D442" s="18" t="s">
        <v>214</v>
      </c>
      <c r="E442" s="18">
        <v>9.3655069844886751E-2</v>
      </c>
      <c r="F442" s="18">
        <v>0.1149850067462279</v>
      </c>
      <c r="G442" s="18">
        <v>7.9854167646694438E-2</v>
      </c>
      <c r="H442" s="18">
        <v>9.4958037156830447E-2</v>
      </c>
      <c r="I442" s="18">
        <v>8.9720996349436838E-2</v>
      </c>
    </row>
    <row r="443" spans="1:9" x14ac:dyDescent="0.35">
      <c r="A443" s="14" t="s">
        <v>201</v>
      </c>
      <c r="B443" s="18">
        <v>9.1561974846689265E-2</v>
      </c>
      <c r="C443" s="18" t="s">
        <v>214</v>
      </c>
      <c r="D443" s="18" t="s">
        <v>214</v>
      </c>
      <c r="E443" s="18">
        <v>8.5764683644421136E-2</v>
      </c>
      <c r="F443" s="18">
        <v>9.1561974846689265E-2</v>
      </c>
      <c r="G443" s="18">
        <v>0.1053148853226831</v>
      </c>
      <c r="H443" s="18">
        <v>0.10167880527338451</v>
      </c>
      <c r="I443" s="18">
        <v>0.10104071081218929</v>
      </c>
    </row>
    <row r="444" spans="1:9" x14ac:dyDescent="0.35">
      <c r="A444" s="14" t="s">
        <v>202</v>
      </c>
      <c r="B444" s="18">
        <v>4.0508957479377383E-2</v>
      </c>
      <c r="C444" s="18" t="s">
        <v>214</v>
      </c>
      <c r="D444" s="18" t="s">
        <v>214</v>
      </c>
      <c r="E444" s="18">
        <v>4.0756527309335128E-2</v>
      </c>
      <c r="F444" s="18">
        <v>4.0508957479377383E-2</v>
      </c>
      <c r="G444" s="18">
        <v>3.1474825684177407E-2</v>
      </c>
      <c r="H444" s="18">
        <v>2.7026597203766971E-2</v>
      </c>
      <c r="I444" s="18">
        <v>2.5536050466713481E-2</v>
      </c>
    </row>
    <row r="445" spans="1:9" x14ac:dyDescent="0.35">
      <c r="A445" s="14" t="s">
        <v>211</v>
      </c>
      <c r="B445" s="18">
        <v>2.5820829755928441E-2</v>
      </c>
      <c r="C445" s="18" t="s">
        <v>214</v>
      </c>
      <c r="D445" s="18" t="s">
        <v>214</v>
      </c>
      <c r="E445" s="18">
        <v>1.3698186038149729E-2</v>
      </c>
      <c r="F445" s="25">
        <v>2.5820829755928441E-2</v>
      </c>
      <c r="G445" s="18">
        <v>4.5556321167701523E-2</v>
      </c>
      <c r="H445" s="18">
        <v>4.1548897009763643E-2</v>
      </c>
      <c r="I445" s="18">
        <v>3.9257429371453517E-2</v>
      </c>
    </row>
    <row r="446" spans="1:9" x14ac:dyDescent="0.35">
      <c r="A446" s="14" t="s">
        <v>212</v>
      </c>
      <c r="B446" s="18">
        <v>2.4570582860531931E-2</v>
      </c>
      <c r="C446" s="18" t="s">
        <v>214</v>
      </c>
      <c r="D446" s="18" t="s">
        <v>214</v>
      </c>
      <c r="E446" s="18">
        <v>2.9597286720063641E-2</v>
      </c>
      <c r="F446" s="18">
        <v>2.4570582860531931E-2</v>
      </c>
      <c r="G446" s="18">
        <v>2.140444875697093E-2</v>
      </c>
      <c r="H446" s="18">
        <v>2.0242651542420539E-2</v>
      </c>
      <c r="I446" s="18">
        <v>1.9126246914106471E-2</v>
      </c>
    </row>
    <row r="447" spans="1:9" x14ac:dyDescent="0.35">
      <c r="A447" s="14" t="s">
        <v>203</v>
      </c>
      <c r="B447" s="18">
        <v>7.8537978225407847E-3</v>
      </c>
      <c r="C447" s="18" t="s">
        <v>214</v>
      </c>
      <c r="D447" s="18" t="s">
        <v>214</v>
      </c>
      <c r="E447" s="18">
        <v>1.5339939986198901E-2</v>
      </c>
      <c r="F447" s="18">
        <v>7.8537978225407847E-3</v>
      </c>
      <c r="G447" s="18">
        <v>1.2635336095002531E-2</v>
      </c>
      <c r="H447" s="18">
        <v>1.3298980540640659E-2</v>
      </c>
      <c r="I447" s="25">
        <v>1.2565527050305329E-2</v>
      </c>
    </row>
    <row r="448" spans="1:9" x14ac:dyDescent="0.35">
      <c r="A448" s="14" t="s">
        <v>204</v>
      </c>
      <c r="B448" s="18">
        <v>9.8856225435049478E-3</v>
      </c>
      <c r="C448" s="18" t="s">
        <v>214</v>
      </c>
      <c r="D448" s="18" t="s">
        <v>214</v>
      </c>
      <c r="E448" s="18">
        <v>0</v>
      </c>
      <c r="F448" s="18">
        <v>9.8856225435049478E-3</v>
      </c>
      <c r="G448" s="18">
        <v>2.9867627431777229E-2</v>
      </c>
      <c r="H448" s="18">
        <v>2.1856648116101121E-2</v>
      </c>
      <c r="I448" s="18">
        <v>2.065122979108017E-2</v>
      </c>
    </row>
    <row r="449" spans="1:9" x14ac:dyDescent="0.35">
      <c r="A449" s="14" t="s">
        <v>213</v>
      </c>
      <c r="B449" s="1">
        <v>6.0845932679497716</v>
      </c>
      <c r="C449" s="1" t="s">
        <v>214</v>
      </c>
      <c r="D449" s="1" t="s">
        <v>214</v>
      </c>
      <c r="E449" s="1">
        <v>8.5690466680613397</v>
      </c>
      <c r="F449" s="1">
        <v>6.0845932679497636</v>
      </c>
      <c r="G449" s="1">
        <v>0.67753147073433617</v>
      </c>
      <c r="H449" s="1">
        <v>-2.245181062457402</v>
      </c>
      <c r="I449" s="1">
        <v>0.54808894789421425</v>
      </c>
    </row>
    <row r="451" spans="1:9" x14ac:dyDescent="0.35">
      <c r="A451" s="1" t="s">
        <v>215</v>
      </c>
    </row>
    <row r="453" spans="1:9" x14ac:dyDescent="0.35">
      <c r="B453" s="3" t="s">
        <v>216</v>
      </c>
    </row>
    <row r="454" spans="1:9" x14ac:dyDescent="0.35">
      <c r="B454" s="1" t="s">
        <v>217</v>
      </c>
    </row>
  </sheetData>
  <mergeCells count="23">
    <mergeCell ref="C414:F414"/>
    <mergeCell ref="C208:F208"/>
    <mergeCell ref="C4:F4"/>
    <mergeCell ref="C23:F23"/>
    <mergeCell ref="C42:F42"/>
    <mergeCell ref="C61:F61"/>
    <mergeCell ref="C80:F80"/>
    <mergeCell ref="C99:F99"/>
    <mergeCell ref="C117:F117"/>
    <mergeCell ref="C135:F135"/>
    <mergeCell ref="C154:F154"/>
    <mergeCell ref="C172:F172"/>
    <mergeCell ref="C190:F190"/>
    <mergeCell ref="C319:F319"/>
    <mergeCell ref="C338:F338"/>
    <mergeCell ref="C357:F357"/>
    <mergeCell ref="C376:F376"/>
    <mergeCell ref="C395:F395"/>
    <mergeCell ref="C227:F227"/>
    <mergeCell ref="C245:F245"/>
    <mergeCell ref="C264:F264"/>
    <mergeCell ref="C282:F282"/>
    <mergeCell ref="C300:F30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45C6-41B9-46B3-91F6-E97A864A057F}">
  <sheetPr codeName="Sheet10">
    <tabColor theme="5" tint="0.59999389629810485"/>
  </sheetPr>
  <dimension ref="B1:S440"/>
  <sheetViews>
    <sheetView zoomScale="80" zoomScaleNormal="80" workbookViewId="0">
      <selection activeCell="C6" sqref="C6"/>
    </sheetView>
  </sheetViews>
  <sheetFormatPr defaultColWidth="9.453125" defaultRowHeight="14.5" x14ac:dyDescent="0.35"/>
  <cols>
    <col min="1" max="1" width="1.54296875" style="31" customWidth="1"/>
    <col min="2" max="2" width="76.81640625" style="8" customWidth="1"/>
    <col min="3" max="3" width="16.453125" style="31" customWidth="1"/>
    <col min="4" max="19" width="9.453125" style="31" customWidth="1"/>
    <col min="20" max="20" width="9.54296875" style="31" customWidth="1"/>
    <col min="21" max="16384" width="9.453125" style="31"/>
  </cols>
  <sheetData>
    <row r="1" spans="2:19" ht="6.75" customHeight="1" thickBot="1" x14ac:dyDescent="0.4">
      <c r="B1" s="30"/>
    </row>
    <row r="2" spans="2:19" ht="41.25" customHeight="1" thickBot="1" x14ac:dyDescent="0.4">
      <c r="B2" s="55" t="s">
        <v>556</v>
      </c>
      <c r="C2" s="54" t="s">
        <v>469</v>
      </c>
      <c r="D2" s="2"/>
      <c r="E2" s="2"/>
      <c r="F2" s="2"/>
      <c r="G2" s="2"/>
      <c r="H2" s="2"/>
      <c r="I2" s="2"/>
      <c r="J2" s="2"/>
      <c r="K2" s="2"/>
      <c r="L2" s="2"/>
      <c r="M2" s="2"/>
      <c r="N2" s="2"/>
      <c r="O2" s="2"/>
      <c r="P2" s="2"/>
      <c r="Q2" s="2"/>
      <c r="R2" s="2"/>
      <c r="S2" s="2"/>
    </row>
    <row r="3" spans="2:19" s="2" customFormat="1" ht="15" thickBot="1" x14ac:dyDescent="0.4"/>
    <row r="4" spans="2:19" x14ac:dyDescent="0.35">
      <c r="B4" s="96" t="s">
        <v>139</v>
      </c>
      <c r="C4" s="97"/>
      <c r="D4" s="2"/>
      <c r="E4" s="2"/>
      <c r="F4" s="2"/>
      <c r="G4" s="2"/>
      <c r="H4" s="2"/>
      <c r="I4" s="2"/>
      <c r="J4" s="2"/>
      <c r="K4" s="2"/>
      <c r="L4" s="2"/>
      <c r="M4" s="2"/>
      <c r="N4" s="2"/>
      <c r="O4" s="2"/>
      <c r="P4" s="2"/>
      <c r="Q4" s="2"/>
      <c r="R4" s="2"/>
      <c r="S4" s="2"/>
    </row>
    <row r="5" spans="2:19" x14ac:dyDescent="0.35">
      <c r="B5" s="156" t="s">
        <v>31</v>
      </c>
      <c r="C5" s="89"/>
      <c r="D5" s="2"/>
      <c r="E5" s="2"/>
      <c r="F5" s="2"/>
      <c r="G5" s="2"/>
      <c r="H5" s="2"/>
      <c r="I5" s="2"/>
      <c r="J5" s="2"/>
      <c r="K5" s="2"/>
      <c r="L5" s="2"/>
      <c r="M5" s="2"/>
      <c r="N5" s="2"/>
      <c r="O5" s="2"/>
      <c r="P5" s="2"/>
      <c r="Q5" s="2"/>
      <c r="R5" s="2"/>
      <c r="S5" s="2"/>
    </row>
    <row r="6" spans="2:19" s="48" customFormat="1" x14ac:dyDescent="0.35">
      <c r="B6" s="49" t="s">
        <v>140</v>
      </c>
      <c r="C6" s="51" t="e">
        <f>'Germany (Month)'!#REF!</f>
        <v>#REF!</v>
      </c>
      <c r="D6" s="2"/>
      <c r="E6" s="2"/>
      <c r="F6" s="2"/>
      <c r="G6" s="2"/>
      <c r="H6" s="2"/>
      <c r="I6" s="2"/>
      <c r="J6" s="2"/>
      <c r="K6" s="2"/>
      <c r="L6" s="2"/>
      <c r="M6" s="2"/>
      <c r="N6" s="2"/>
      <c r="O6" s="2"/>
      <c r="P6" s="2"/>
      <c r="Q6" s="2"/>
      <c r="R6" s="2"/>
      <c r="S6" s="2"/>
    </row>
    <row r="7" spans="2:19" s="48" customFormat="1" x14ac:dyDescent="0.35">
      <c r="B7" s="49" t="s">
        <v>141</v>
      </c>
      <c r="C7" s="51" t="e">
        <f t="shared" ref="C7" si="0">C57</f>
        <v>#REF!</v>
      </c>
      <c r="D7" s="2"/>
      <c r="E7" s="2"/>
      <c r="F7" s="2"/>
      <c r="G7" s="2"/>
      <c r="H7" s="2"/>
      <c r="I7" s="2"/>
      <c r="J7" s="2"/>
      <c r="K7" s="2"/>
      <c r="L7" s="2"/>
      <c r="M7" s="2"/>
      <c r="N7" s="2"/>
      <c r="O7" s="2"/>
      <c r="P7" s="2"/>
      <c r="Q7" s="2"/>
      <c r="R7" s="2"/>
      <c r="S7" s="2"/>
    </row>
    <row r="8" spans="2:19" x14ac:dyDescent="0.35">
      <c r="B8" s="28" t="s">
        <v>142</v>
      </c>
      <c r="C8" s="43" t="e">
        <f>'Germany (Month)'!#REF!</f>
        <v>#REF!</v>
      </c>
      <c r="D8" s="2"/>
      <c r="E8" s="2"/>
      <c r="F8" s="2"/>
      <c r="G8" s="2"/>
      <c r="H8" s="2"/>
      <c r="I8" s="2"/>
      <c r="J8" s="2"/>
      <c r="K8" s="2"/>
      <c r="L8" s="2"/>
      <c r="M8" s="2"/>
      <c r="N8" s="2"/>
      <c r="O8" s="2"/>
      <c r="P8" s="2"/>
      <c r="Q8" s="2"/>
      <c r="R8" s="2"/>
      <c r="S8" s="2"/>
    </row>
    <row r="9" spans="2:19" x14ac:dyDescent="0.35">
      <c r="B9" s="28" t="s">
        <v>143</v>
      </c>
      <c r="C9" s="43" t="e">
        <f>'Germany (Month)'!#REF!</f>
        <v>#REF!</v>
      </c>
      <c r="D9" s="2"/>
      <c r="E9" s="2"/>
      <c r="F9" s="2"/>
      <c r="G9" s="2"/>
      <c r="H9" s="2"/>
      <c r="I9" s="2"/>
      <c r="J9" s="2"/>
      <c r="K9" s="2"/>
      <c r="L9" s="2"/>
      <c r="M9" s="2"/>
      <c r="N9" s="2"/>
      <c r="O9" s="2"/>
      <c r="P9" s="2"/>
      <c r="Q9" s="2"/>
      <c r="R9" s="2"/>
      <c r="S9" s="2"/>
    </row>
    <row r="10" spans="2:19" x14ac:dyDescent="0.35">
      <c r="B10" s="28" t="s">
        <v>144</v>
      </c>
      <c r="C10" s="43" t="e">
        <f>'Germany (Month)'!#REF!</f>
        <v>#REF!</v>
      </c>
      <c r="D10" s="2"/>
      <c r="E10" s="2"/>
      <c r="F10" s="2"/>
      <c r="G10" s="2"/>
      <c r="H10" s="2"/>
      <c r="I10" s="2"/>
      <c r="J10" s="2"/>
      <c r="K10" s="2"/>
      <c r="L10" s="2"/>
      <c r="M10" s="2"/>
      <c r="N10" s="2"/>
      <c r="O10" s="2"/>
      <c r="P10" s="2"/>
      <c r="Q10" s="2"/>
      <c r="R10" s="2"/>
      <c r="S10" s="2"/>
    </row>
    <row r="11" spans="2:19" x14ac:dyDescent="0.35">
      <c r="B11" s="29"/>
      <c r="C11" s="2"/>
      <c r="D11" s="2"/>
      <c r="E11" s="2"/>
      <c r="F11" s="2"/>
      <c r="G11" s="2"/>
      <c r="H11" s="2"/>
      <c r="I11" s="2"/>
      <c r="J11" s="2"/>
      <c r="K11" s="2"/>
      <c r="L11" s="2"/>
      <c r="M11" s="2"/>
      <c r="N11" s="2"/>
      <c r="O11" s="2"/>
      <c r="P11" s="2"/>
      <c r="Q11" s="2"/>
      <c r="R11" s="2"/>
      <c r="S11" s="2"/>
    </row>
    <row r="12" spans="2:19" x14ac:dyDescent="0.35">
      <c r="B12" s="90" t="s">
        <v>145</v>
      </c>
      <c r="C12" s="91"/>
      <c r="D12" s="2"/>
      <c r="E12" s="2"/>
      <c r="F12" s="2"/>
      <c r="G12" s="2"/>
      <c r="H12" s="2"/>
      <c r="I12" s="2"/>
      <c r="J12" s="2"/>
      <c r="K12" s="2"/>
      <c r="L12" s="2"/>
      <c r="M12" s="2"/>
      <c r="N12" s="2"/>
      <c r="O12" s="2"/>
      <c r="P12" s="2"/>
      <c r="Q12" s="2"/>
      <c r="R12" s="2"/>
      <c r="S12" s="2"/>
    </row>
    <row r="13" spans="2:19" x14ac:dyDescent="0.35">
      <c r="B13" s="86" t="s">
        <v>36</v>
      </c>
      <c r="C13" s="87"/>
      <c r="D13" s="2"/>
      <c r="E13" s="2"/>
      <c r="F13" s="2"/>
      <c r="G13" s="2"/>
      <c r="H13" s="2"/>
      <c r="I13" s="2"/>
      <c r="J13" s="2"/>
      <c r="K13" s="2"/>
      <c r="L13" s="2"/>
      <c r="M13" s="2"/>
      <c r="N13" s="2"/>
      <c r="O13" s="2"/>
      <c r="P13" s="2"/>
      <c r="Q13" s="2"/>
      <c r="R13" s="2"/>
      <c r="S13" s="2"/>
    </row>
    <row r="14" spans="2:19" x14ac:dyDescent="0.35">
      <c r="B14" s="28" t="s">
        <v>235</v>
      </c>
      <c r="C14" s="51" t="e">
        <f>'Germany (Month)'!#REF!</f>
        <v>#REF!</v>
      </c>
      <c r="D14" s="2"/>
      <c r="E14" s="2"/>
      <c r="F14" s="2"/>
      <c r="G14" s="2"/>
      <c r="H14" s="2"/>
      <c r="I14" s="2"/>
      <c r="J14" s="2"/>
      <c r="K14" s="2"/>
      <c r="L14" s="2"/>
      <c r="M14" s="2"/>
      <c r="N14" s="2"/>
      <c r="O14" s="2"/>
      <c r="P14" s="2"/>
      <c r="Q14" s="2"/>
      <c r="R14" s="2"/>
      <c r="S14" s="2"/>
    </row>
    <row r="15" spans="2:19" x14ac:dyDescent="0.35">
      <c r="B15" s="28" t="s">
        <v>236</v>
      </c>
      <c r="C15" s="51" t="e">
        <f t="shared" ref="C15" si="1">C58</f>
        <v>#REF!</v>
      </c>
      <c r="D15" s="2"/>
      <c r="E15" s="2"/>
      <c r="F15" s="2"/>
      <c r="G15" s="2"/>
      <c r="H15" s="2"/>
      <c r="I15" s="2"/>
      <c r="J15" s="2"/>
      <c r="K15" s="2"/>
      <c r="L15" s="2"/>
      <c r="M15" s="2"/>
      <c r="N15" s="2"/>
      <c r="O15" s="2"/>
      <c r="P15" s="2"/>
      <c r="Q15" s="2"/>
      <c r="R15" s="2"/>
      <c r="S15" s="2"/>
    </row>
    <row r="16" spans="2:19" x14ac:dyDescent="0.35">
      <c r="B16" s="28" t="s">
        <v>237</v>
      </c>
      <c r="C16" s="43" t="e">
        <f>'Germany (Month)'!#REF!</f>
        <v>#REF!</v>
      </c>
      <c r="D16" s="2"/>
      <c r="E16" s="2"/>
      <c r="F16" s="2"/>
      <c r="G16" s="2"/>
      <c r="H16" s="2"/>
      <c r="I16" s="2"/>
      <c r="J16" s="2"/>
      <c r="K16" s="2"/>
      <c r="L16" s="2"/>
      <c r="M16" s="2"/>
      <c r="N16" s="2"/>
      <c r="O16" s="2"/>
      <c r="P16" s="2"/>
      <c r="Q16" s="2"/>
      <c r="R16" s="2"/>
      <c r="S16" s="2"/>
    </row>
    <row r="17" spans="2:19" x14ac:dyDescent="0.35">
      <c r="B17" s="28" t="s">
        <v>238</v>
      </c>
      <c r="C17" s="43" t="e">
        <f>'Germany (Month)'!#REF!</f>
        <v>#REF!</v>
      </c>
      <c r="D17" s="2"/>
      <c r="E17" s="2"/>
      <c r="F17" s="2"/>
      <c r="G17" s="2"/>
      <c r="H17" s="2"/>
      <c r="I17" s="2"/>
      <c r="J17" s="2"/>
      <c r="K17" s="2"/>
      <c r="L17" s="2"/>
      <c r="M17" s="2"/>
      <c r="N17" s="2"/>
      <c r="O17" s="2"/>
      <c r="P17" s="2"/>
      <c r="Q17" s="2"/>
      <c r="R17" s="2"/>
      <c r="S17" s="2"/>
    </row>
    <row r="18" spans="2:19" x14ac:dyDescent="0.35">
      <c r="B18" s="28" t="s">
        <v>239</v>
      </c>
      <c r="C18" s="43" t="e">
        <f>'Germany (Month)'!#REF!</f>
        <v>#REF!</v>
      </c>
      <c r="D18" s="2"/>
      <c r="E18" s="2"/>
      <c r="F18" s="2"/>
      <c r="G18" s="2"/>
      <c r="H18" s="2"/>
      <c r="I18" s="2"/>
      <c r="J18" s="2"/>
      <c r="K18" s="2"/>
      <c r="L18" s="2"/>
      <c r="M18" s="2"/>
      <c r="N18" s="2"/>
      <c r="O18" s="2"/>
      <c r="P18" s="2"/>
      <c r="Q18" s="2"/>
      <c r="R18" s="2"/>
      <c r="S18" s="2"/>
    </row>
    <row r="19" spans="2:19" x14ac:dyDescent="0.35">
      <c r="B19" s="27"/>
      <c r="D19" s="2"/>
      <c r="E19" s="2"/>
      <c r="F19" s="2"/>
      <c r="G19" s="2"/>
      <c r="H19" s="2"/>
      <c r="I19" s="2"/>
      <c r="J19" s="2"/>
      <c r="K19" s="2"/>
      <c r="L19" s="2"/>
      <c r="M19" s="2"/>
      <c r="N19" s="2"/>
      <c r="O19" s="2"/>
      <c r="P19" s="2"/>
      <c r="Q19" s="2"/>
      <c r="R19" s="2"/>
      <c r="S19" s="2"/>
    </row>
    <row r="20" spans="2:19" x14ac:dyDescent="0.35">
      <c r="B20" s="86" t="s">
        <v>37</v>
      </c>
      <c r="C20" s="87"/>
      <c r="D20" s="2"/>
      <c r="E20" s="2"/>
      <c r="F20" s="2"/>
      <c r="G20" s="2"/>
      <c r="H20" s="2"/>
      <c r="I20" s="2"/>
      <c r="J20" s="2"/>
      <c r="K20" s="2"/>
      <c r="L20" s="2"/>
      <c r="M20" s="2"/>
      <c r="N20" s="2"/>
      <c r="O20" s="2"/>
      <c r="P20" s="2"/>
      <c r="Q20" s="2"/>
      <c r="R20" s="2"/>
      <c r="S20" s="2"/>
    </row>
    <row r="21" spans="2:19" x14ac:dyDescent="0.35">
      <c r="B21" s="28" t="s">
        <v>240</v>
      </c>
      <c r="C21" s="51" t="e">
        <f>'Germany (Month)'!#REF!</f>
        <v>#REF!</v>
      </c>
      <c r="D21" s="2"/>
      <c r="E21" s="2"/>
      <c r="F21" s="2"/>
      <c r="G21" s="2"/>
      <c r="H21" s="2"/>
      <c r="I21" s="2"/>
      <c r="J21" s="2"/>
      <c r="K21" s="2"/>
      <c r="L21" s="2"/>
      <c r="M21" s="2"/>
      <c r="N21" s="2"/>
      <c r="O21" s="2"/>
      <c r="P21" s="2"/>
      <c r="Q21" s="2"/>
      <c r="R21" s="2"/>
      <c r="S21" s="2"/>
    </row>
    <row r="22" spans="2:19" x14ac:dyDescent="0.35">
      <c r="B22" s="28" t="s">
        <v>241</v>
      </c>
      <c r="C22" s="51" t="e">
        <f t="shared" ref="C22" si="2">C59</f>
        <v>#REF!</v>
      </c>
      <c r="D22" s="2"/>
      <c r="E22" s="2"/>
      <c r="F22" s="2"/>
      <c r="G22" s="2"/>
      <c r="H22" s="2"/>
      <c r="I22" s="2"/>
      <c r="J22" s="2"/>
      <c r="K22" s="2"/>
      <c r="L22" s="2"/>
      <c r="M22" s="2"/>
      <c r="N22" s="2"/>
      <c r="O22" s="2"/>
      <c r="P22" s="2"/>
      <c r="Q22" s="2"/>
      <c r="R22" s="2"/>
      <c r="S22" s="2"/>
    </row>
    <row r="23" spans="2:19" x14ac:dyDescent="0.35">
      <c r="B23" s="28" t="s">
        <v>242</v>
      </c>
      <c r="C23" s="43" t="e">
        <f>'Germany (Month)'!#REF!</f>
        <v>#REF!</v>
      </c>
      <c r="D23" s="2"/>
      <c r="E23" s="2"/>
      <c r="F23" s="2"/>
      <c r="G23" s="2"/>
      <c r="H23" s="2"/>
      <c r="I23" s="2"/>
      <c r="J23" s="2"/>
      <c r="K23" s="2"/>
      <c r="L23" s="2"/>
      <c r="M23" s="2"/>
      <c r="N23" s="2"/>
      <c r="O23" s="2"/>
      <c r="P23" s="2"/>
      <c r="Q23" s="2"/>
      <c r="R23" s="2"/>
      <c r="S23" s="2"/>
    </row>
    <row r="24" spans="2:19" x14ac:dyDescent="0.35">
      <c r="B24" s="28" t="s">
        <v>243</v>
      </c>
      <c r="C24" s="43" t="e">
        <f>'Germany (Month)'!#REF!</f>
        <v>#REF!</v>
      </c>
      <c r="D24" s="2"/>
      <c r="E24" s="2"/>
      <c r="F24" s="2"/>
      <c r="G24" s="2"/>
      <c r="H24" s="2"/>
      <c r="I24" s="2"/>
      <c r="J24" s="2"/>
      <c r="K24" s="2"/>
      <c r="L24" s="2"/>
      <c r="M24" s="2"/>
      <c r="N24" s="2"/>
      <c r="O24" s="2"/>
      <c r="P24" s="2"/>
      <c r="Q24" s="2"/>
      <c r="R24" s="2"/>
      <c r="S24" s="2"/>
    </row>
    <row r="25" spans="2:19" x14ac:dyDescent="0.35">
      <c r="B25" s="28" t="s">
        <v>244</v>
      </c>
      <c r="C25" s="43" t="e">
        <f>'Germany (Month)'!#REF!</f>
        <v>#REF!</v>
      </c>
      <c r="D25" s="2"/>
      <c r="E25" s="2"/>
      <c r="F25" s="2"/>
      <c r="G25" s="2"/>
      <c r="H25" s="2"/>
      <c r="I25" s="2"/>
      <c r="J25" s="2"/>
      <c r="K25" s="2"/>
      <c r="L25" s="2"/>
      <c r="M25" s="2"/>
      <c r="N25" s="2"/>
      <c r="O25" s="2"/>
      <c r="P25" s="2"/>
      <c r="Q25" s="2"/>
      <c r="R25" s="2"/>
      <c r="S25" s="2"/>
    </row>
    <row r="26" spans="2:19" x14ac:dyDescent="0.35">
      <c r="B26" s="27"/>
      <c r="C26" s="105"/>
      <c r="D26" s="2"/>
      <c r="E26" s="2"/>
      <c r="F26" s="2"/>
      <c r="G26" s="2"/>
      <c r="H26" s="2"/>
      <c r="I26" s="2"/>
      <c r="J26" s="2"/>
      <c r="K26" s="2"/>
      <c r="L26" s="2"/>
      <c r="M26" s="2"/>
      <c r="N26" s="2"/>
      <c r="O26" s="2"/>
      <c r="P26" s="2"/>
      <c r="Q26" s="2"/>
      <c r="R26" s="2"/>
      <c r="S26" s="2"/>
    </row>
    <row r="27" spans="2:19" x14ac:dyDescent="0.35">
      <c r="B27" s="86" t="s">
        <v>38</v>
      </c>
      <c r="C27" s="87"/>
      <c r="D27" s="2"/>
      <c r="E27" s="2"/>
      <c r="F27" s="2"/>
      <c r="G27" s="2"/>
      <c r="H27" s="2"/>
      <c r="I27" s="2"/>
      <c r="J27" s="2"/>
      <c r="K27" s="2"/>
      <c r="L27" s="2"/>
      <c r="M27" s="2"/>
      <c r="N27" s="2"/>
      <c r="O27" s="2"/>
      <c r="P27" s="2"/>
      <c r="Q27" s="2"/>
      <c r="R27" s="2"/>
      <c r="S27" s="2"/>
    </row>
    <row r="28" spans="2:19" x14ac:dyDescent="0.35">
      <c r="B28" s="28" t="s">
        <v>245</v>
      </c>
      <c r="C28" s="51" t="e">
        <f>'Germany (Month)'!#REF!</f>
        <v>#REF!</v>
      </c>
      <c r="D28" s="2"/>
      <c r="E28" s="2"/>
      <c r="F28" s="2"/>
      <c r="G28" s="2"/>
      <c r="H28" s="2"/>
      <c r="I28" s="2"/>
      <c r="J28" s="2"/>
      <c r="K28" s="2"/>
      <c r="L28" s="2"/>
      <c r="M28" s="2"/>
      <c r="N28" s="2"/>
      <c r="O28" s="2"/>
      <c r="P28" s="2"/>
      <c r="Q28" s="2"/>
      <c r="R28" s="2"/>
      <c r="S28" s="2"/>
    </row>
    <row r="29" spans="2:19" x14ac:dyDescent="0.35">
      <c r="B29" s="28" t="s">
        <v>246</v>
      </c>
      <c r="C29" s="51" t="e">
        <f t="shared" ref="C29" si="3">C60</f>
        <v>#REF!</v>
      </c>
      <c r="D29" s="2"/>
      <c r="E29" s="2"/>
      <c r="F29" s="2"/>
      <c r="G29" s="2"/>
      <c r="H29" s="2"/>
      <c r="I29" s="2"/>
      <c r="J29" s="2"/>
      <c r="K29" s="2"/>
      <c r="L29" s="2"/>
      <c r="M29" s="2"/>
      <c r="N29" s="2"/>
      <c r="O29" s="2"/>
      <c r="P29" s="2"/>
      <c r="Q29" s="2"/>
      <c r="R29" s="2"/>
      <c r="S29" s="2"/>
    </row>
    <row r="30" spans="2:19" x14ac:dyDescent="0.35">
      <c r="B30" s="28" t="s">
        <v>247</v>
      </c>
      <c r="C30" s="43" t="e">
        <f>'Germany (Month)'!#REF!</f>
        <v>#REF!</v>
      </c>
      <c r="D30" s="2"/>
      <c r="E30" s="2"/>
      <c r="F30" s="2"/>
      <c r="G30" s="2"/>
      <c r="H30" s="2"/>
      <c r="I30" s="2"/>
      <c r="J30" s="2"/>
      <c r="K30" s="2"/>
      <c r="L30" s="2"/>
      <c r="M30" s="2"/>
      <c r="N30" s="2"/>
      <c r="O30" s="2"/>
      <c r="P30" s="2"/>
      <c r="Q30" s="2"/>
      <c r="R30" s="2"/>
      <c r="S30" s="2"/>
    </row>
    <row r="31" spans="2:19" x14ac:dyDescent="0.35">
      <c r="B31" s="28" t="s">
        <v>248</v>
      </c>
      <c r="C31" s="43" t="e">
        <f>'Germany (Month)'!#REF!</f>
        <v>#REF!</v>
      </c>
      <c r="D31" s="2"/>
      <c r="E31" s="2"/>
      <c r="F31" s="2"/>
      <c r="G31" s="2"/>
      <c r="H31" s="2"/>
      <c r="I31" s="2"/>
      <c r="J31" s="2"/>
      <c r="K31" s="2"/>
      <c r="L31" s="2"/>
      <c r="M31" s="2"/>
      <c r="N31" s="2"/>
      <c r="O31" s="2"/>
      <c r="P31" s="2"/>
      <c r="Q31" s="2"/>
      <c r="R31" s="2"/>
      <c r="S31" s="2"/>
    </row>
    <row r="32" spans="2:19" x14ac:dyDescent="0.35">
      <c r="B32" s="28" t="s">
        <v>249</v>
      </c>
      <c r="C32" s="43" t="e">
        <f>'Germany (Month)'!#REF!</f>
        <v>#REF!</v>
      </c>
      <c r="D32" s="2"/>
      <c r="E32" s="2"/>
      <c r="F32" s="2"/>
      <c r="G32" s="2"/>
      <c r="H32" s="2"/>
      <c r="I32" s="2"/>
      <c r="J32" s="2"/>
      <c r="K32" s="2"/>
      <c r="L32" s="2"/>
      <c r="M32" s="2"/>
      <c r="N32" s="2"/>
      <c r="O32" s="2"/>
      <c r="P32" s="2"/>
      <c r="Q32" s="2"/>
      <c r="R32" s="2"/>
      <c r="S32" s="2"/>
    </row>
    <row r="33" spans="2:19" x14ac:dyDescent="0.35">
      <c r="B33" s="27"/>
      <c r="C33" s="105"/>
      <c r="D33" s="2"/>
      <c r="E33" s="2"/>
      <c r="F33" s="2"/>
      <c r="G33" s="2"/>
      <c r="H33" s="2"/>
      <c r="I33" s="2"/>
      <c r="J33" s="2"/>
      <c r="K33" s="2"/>
      <c r="L33" s="2"/>
      <c r="M33" s="2"/>
      <c r="N33" s="2"/>
      <c r="O33" s="2"/>
      <c r="P33" s="2"/>
      <c r="Q33" s="2"/>
      <c r="R33" s="2"/>
      <c r="S33" s="2"/>
    </row>
    <row r="34" spans="2:19" x14ac:dyDescent="0.35">
      <c r="B34" s="86" t="s">
        <v>39</v>
      </c>
      <c r="C34" s="87"/>
      <c r="D34" s="2"/>
      <c r="E34" s="2"/>
      <c r="F34" s="2"/>
      <c r="G34" s="2"/>
      <c r="H34" s="2"/>
      <c r="I34" s="2"/>
      <c r="J34" s="2"/>
      <c r="K34" s="2"/>
      <c r="L34" s="2"/>
      <c r="M34" s="2"/>
      <c r="N34" s="2"/>
      <c r="O34" s="2"/>
      <c r="P34" s="2"/>
      <c r="Q34" s="2"/>
      <c r="R34" s="2"/>
      <c r="S34" s="2"/>
    </row>
    <row r="35" spans="2:19" x14ac:dyDescent="0.35">
      <c r="B35" s="28" t="s">
        <v>250</v>
      </c>
      <c r="C35" s="51" t="e">
        <f>'Germany (Month)'!#REF!</f>
        <v>#REF!</v>
      </c>
      <c r="D35" s="2"/>
      <c r="E35" s="2"/>
      <c r="F35" s="2"/>
      <c r="G35" s="2"/>
      <c r="H35" s="2"/>
      <c r="I35" s="2"/>
      <c r="J35" s="2"/>
      <c r="K35" s="2"/>
      <c r="L35" s="2"/>
      <c r="M35" s="2"/>
      <c r="N35" s="2"/>
      <c r="O35" s="2"/>
      <c r="P35" s="2"/>
      <c r="Q35" s="2"/>
      <c r="R35" s="2"/>
      <c r="S35" s="2"/>
    </row>
    <row r="36" spans="2:19" x14ac:dyDescent="0.35">
      <c r="B36" s="28" t="s">
        <v>251</v>
      </c>
      <c r="C36" s="51" t="e">
        <f t="shared" ref="C36" si="4">C61</f>
        <v>#REF!</v>
      </c>
      <c r="D36" s="2"/>
      <c r="E36" s="2"/>
      <c r="F36" s="2"/>
      <c r="G36" s="2"/>
      <c r="H36" s="2"/>
      <c r="I36" s="2"/>
      <c r="J36" s="2"/>
      <c r="K36" s="2"/>
      <c r="L36" s="2"/>
      <c r="M36" s="2"/>
      <c r="N36" s="2"/>
      <c r="O36" s="2"/>
      <c r="P36" s="2"/>
      <c r="Q36" s="2"/>
      <c r="R36" s="2"/>
      <c r="S36" s="2"/>
    </row>
    <row r="37" spans="2:19" x14ac:dyDescent="0.35">
      <c r="B37" s="28" t="s">
        <v>252</v>
      </c>
      <c r="C37" s="43" t="e">
        <f>'Germany (Month)'!#REF!</f>
        <v>#REF!</v>
      </c>
      <c r="D37" s="2"/>
      <c r="E37" s="2"/>
      <c r="F37" s="2"/>
      <c r="G37" s="2"/>
      <c r="H37" s="2"/>
      <c r="I37" s="2"/>
      <c r="J37" s="2"/>
      <c r="K37" s="2"/>
      <c r="L37" s="2"/>
      <c r="M37" s="2"/>
      <c r="N37" s="2"/>
      <c r="O37" s="2"/>
      <c r="P37" s="2"/>
      <c r="Q37" s="2"/>
      <c r="R37" s="2"/>
      <c r="S37" s="2"/>
    </row>
    <row r="38" spans="2:19" x14ac:dyDescent="0.35">
      <c r="B38" s="28" t="s">
        <v>253</v>
      </c>
      <c r="C38" s="43" t="e">
        <f>'Germany (Month)'!#REF!</f>
        <v>#REF!</v>
      </c>
      <c r="D38" s="2"/>
      <c r="E38" s="2"/>
      <c r="F38" s="2"/>
      <c r="G38" s="2"/>
      <c r="H38" s="2"/>
      <c r="I38" s="2"/>
      <c r="J38" s="2"/>
      <c r="K38" s="2"/>
      <c r="L38" s="2"/>
      <c r="M38" s="2"/>
      <c r="N38" s="2"/>
      <c r="O38" s="2"/>
      <c r="P38" s="2"/>
      <c r="Q38" s="2"/>
      <c r="R38" s="2"/>
      <c r="S38" s="2"/>
    </row>
    <row r="39" spans="2:19" x14ac:dyDescent="0.35">
      <c r="B39" s="28" t="s">
        <v>254</v>
      </c>
      <c r="C39" s="43" t="e">
        <f>'Germany (Month)'!#REF!</f>
        <v>#REF!</v>
      </c>
    </row>
    <row r="40" spans="2:19" x14ac:dyDescent="0.35">
      <c r="B40" s="27"/>
    </row>
    <row r="41" spans="2:19" x14ac:dyDescent="0.35">
      <c r="B41" s="86" t="s">
        <v>255</v>
      </c>
      <c r="C41" s="87"/>
    </row>
    <row r="42" spans="2:19" x14ac:dyDescent="0.35">
      <c r="B42" s="28" t="s">
        <v>256</v>
      </c>
      <c r="C42" s="51" t="e">
        <f>'Germany (Month)'!#REF!</f>
        <v>#REF!</v>
      </c>
    </row>
    <row r="43" spans="2:19" x14ac:dyDescent="0.35">
      <c r="B43" s="28" t="s">
        <v>257</v>
      </c>
      <c r="C43" s="51" t="e">
        <f t="shared" ref="C43" si="5">C62</f>
        <v>#REF!</v>
      </c>
    </row>
    <row r="44" spans="2:19" x14ac:dyDescent="0.35">
      <c r="B44" s="28" t="s">
        <v>258</v>
      </c>
      <c r="C44" s="43" t="e">
        <f>'Germany (Month)'!#REF!</f>
        <v>#REF!</v>
      </c>
    </row>
    <row r="45" spans="2:19" x14ac:dyDescent="0.35">
      <c r="B45" s="28" t="s">
        <v>259</v>
      </c>
      <c r="C45" s="43" t="e">
        <f>'Germany (Month)'!#REF!</f>
        <v>#REF!</v>
      </c>
    </row>
    <row r="46" spans="2:19" x14ac:dyDescent="0.35">
      <c r="B46" s="28" t="s">
        <v>260</v>
      </c>
      <c r="C46" s="43" t="e">
        <f>'Germany (Month)'!#REF!</f>
        <v>#REF!</v>
      </c>
    </row>
    <row r="47" spans="2:19" x14ac:dyDescent="0.35">
      <c r="B47" s="27"/>
    </row>
    <row r="48" spans="2:19" x14ac:dyDescent="0.35">
      <c r="B48" s="93" t="s">
        <v>167</v>
      </c>
      <c r="C48" s="94"/>
    </row>
    <row r="49" spans="2:3" x14ac:dyDescent="0.35">
      <c r="B49" s="28" t="s">
        <v>25</v>
      </c>
      <c r="C49" s="51" t="e">
        <f t="shared" ref="C49" si="6">C6</f>
        <v>#REF!</v>
      </c>
    </row>
    <row r="50" spans="2:3" x14ac:dyDescent="0.35">
      <c r="B50" s="28" t="s">
        <v>36</v>
      </c>
      <c r="C50" s="51" t="e">
        <f t="shared" ref="C50" si="7">C14</f>
        <v>#REF!</v>
      </c>
    </row>
    <row r="51" spans="2:3" x14ac:dyDescent="0.35">
      <c r="B51" s="28" t="s">
        <v>37</v>
      </c>
      <c r="C51" s="51" t="e">
        <f t="shared" ref="C51" si="8">C21</f>
        <v>#REF!</v>
      </c>
    </row>
    <row r="52" spans="2:3" x14ac:dyDescent="0.35">
      <c r="B52" s="28" t="s">
        <v>38</v>
      </c>
      <c r="C52" s="51" t="e">
        <f t="shared" ref="C52" si="9">C28</f>
        <v>#REF!</v>
      </c>
    </row>
    <row r="53" spans="2:3" x14ac:dyDescent="0.35">
      <c r="B53" s="28" t="s">
        <v>39</v>
      </c>
      <c r="C53" s="51" t="e">
        <f t="shared" ref="C53" si="10">C35</f>
        <v>#REF!</v>
      </c>
    </row>
    <row r="54" spans="2:3" x14ac:dyDescent="0.35">
      <c r="B54" s="28" t="s">
        <v>40</v>
      </c>
      <c r="C54" s="51" t="e">
        <f t="shared" ref="C54" si="11">C42</f>
        <v>#REF!</v>
      </c>
    </row>
    <row r="55" spans="2:3" x14ac:dyDescent="0.35">
      <c r="B55" s="58"/>
    </row>
    <row r="56" spans="2:3" x14ac:dyDescent="0.35">
      <c r="B56" s="93" t="s">
        <v>168</v>
      </c>
      <c r="C56" s="94"/>
    </row>
    <row r="57" spans="2:3" x14ac:dyDescent="0.35">
      <c r="B57" s="28" t="s">
        <v>25</v>
      </c>
      <c r="C57" s="51" t="e">
        <f>RANK(C49,C$49:C$54,0)</f>
        <v>#REF!</v>
      </c>
    </row>
    <row r="58" spans="2:3" x14ac:dyDescent="0.35">
      <c r="B58" s="28" t="s">
        <v>36</v>
      </c>
      <c r="C58" s="51" t="e">
        <f t="shared" ref="C58" si="12">RANK(C50,C$49:C$54,0)</f>
        <v>#REF!</v>
      </c>
    </row>
    <row r="59" spans="2:3" x14ac:dyDescent="0.35">
      <c r="B59" s="28" t="s">
        <v>37</v>
      </c>
      <c r="C59" s="51" t="e">
        <f t="shared" ref="C59" si="13">RANK(C51,C$49:C$54,0)</f>
        <v>#REF!</v>
      </c>
    </row>
    <row r="60" spans="2:3" x14ac:dyDescent="0.35">
      <c r="B60" s="28" t="s">
        <v>38</v>
      </c>
      <c r="C60" s="51" t="e">
        <f t="shared" ref="C60" si="14">RANK(C52,C$49:C$54,0)</f>
        <v>#REF!</v>
      </c>
    </row>
    <row r="61" spans="2:3" x14ac:dyDescent="0.35">
      <c r="B61" s="28" t="s">
        <v>39</v>
      </c>
      <c r="C61" s="51" t="e">
        <f t="shared" ref="C61" si="15">RANK(C53,C$49:C$54,0)</f>
        <v>#REF!</v>
      </c>
    </row>
    <row r="62" spans="2:3" x14ac:dyDescent="0.35">
      <c r="B62" s="28" t="s">
        <v>40</v>
      </c>
      <c r="C62" s="51" t="e">
        <f t="shared" ref="C62" si="16">RANK(C54,C$49:C$54,0)</f>
        <v>#REF!</v>
      </c>
    </row>
    <row r="63" spans="2:3" x14ac:dyDescent="0.35">
      <c r="B63" s="58"/>
    </row>
    <row r="64" spans="2:3" x14ac:dyDescent="0.35">
      <c r="B64" s="93" t="s">
        <v>169</v>
      </c>
      <c r="C64" s="94"/>
    </row>
    <row r="65" spans="2:3" x14ac:dyDescent="0.35">
      <c r="B65" s="28" t="s">
        <v>25</v>
      </c>
      <c r="C65" s="51" t="e">
        <f>'Germany (Month)'!#REF!</f>
        <v>#REF!</v>
      </c>
    </row>
    <row r="66" spans="2:3" x14ac:dyDescent="0.35">
      <c r="B66" s="28" t="s">
        <v>36</v>
      </c>
      <c r="C66" s="51" t="e">
        <f>'Germany (Month)'!#REF!</f>
        <v>#REF!</v>
      </c>
    </row>
    <row r="67" spans="2:3" x14ac:dyDescent="0.35">
      <c r="B67" s="28" t="s">
        <v>37</v>
      </c>
      <c r="C67" s="51" t="e">
        <f>'Germany (Month)'!#REF!</f>
        <v>#REF!</v>
      </c>
    </row>
    <row r="68" spans="2:3" x14ac:dyDescent="0.35">
      <c r="B68" s="28" t="s">
        <v>38</v>
      </c>
      <c r="C68" s="51" t="e">
        <f>'Germany (Month)'!#REF!</f>
        <v>#REF!</v>
      </c>
    </row>
    <row r="69" spans="2:3" x14ac:dyDescent="0.35">
      <c r="B69" s="28" t="s">
        <v>39</v>
      </c>
      <c r="C69" s="51" t="e">
        <f>'Germany (Month)'!#REF!</f>
        <v>#REF!</v>
      </c>
    </row>
    <row r="70" spans="2:3" x14ac:dyDescent="0.35">
      <c r="B70" s="28" t="s">
        <v>40</v>
      </c>
      <c r="C70" s="51" t="e">
        <f>'Germany (Month)'!#REF!</f>
        <v>#REF!</v>
      </c>
    </row>
    <row r="71" spans="2:3" ht="15" hidden="1" thickBot="1" x14ac:dyDescent="0.4">
      <c r="B71" s="27"/>
    </row>
    <row r="72" spans="2:3" hidden="1" x14ac:dyDescent="0.35">
      <c r="B72" s="96" t="s">
        <v>170</v>
      </c>
      <c r="C72" s="97"/>
    </row>
    <row r="73" spans="2:3" hidden="1" x14ac:dyDescent="0.35">
      <c r="B73" s="156" t="s">
        <v>171</v>
      </c>
      <c r="C73" s="89"/>
    </row>
    <row r="74" spans="2:3" hidden="1" x14ac:dyDescent="0.35">
      <c r="B74" s="49" t="s">
        <v>140</v>
      </c>
      <c r="C74" s="51" t="e">
        <f>#REF!</f>
        <v>#REF!</v>
      </c>
    </row>
    <row r="75" spans="2:3" hidden="1" x14ac:dyDescent="0.35">
      <c r="B75" s="28" t="s">
        <v>142</v>
      </c>
      <c r="C75" s="43" t="e">
        <f>#REF!</f>
        <v>#REF!</v>
      </c>
    </row>
    <row r="76" spans="2:3" hidden="1" x14ac:dyDescent="0.35">
      <c r="B76" s="28" t="s">
        <v>143</v>
      </c>
      <c r="C76" s="43" t="e">
        <f>#REF!</f>
        <v>#REF!</v>
      </c>
    </row>
    <row r="77" spans="2:3" hidden="1" x14ac:dyDescent="0.35">
      <c r="B77" s="28" t="s">
        <v>144</v>
      </c>
      <c r="C77" s="43" t="e">
        <f>#REF!</f>
        <v>#REF!</v>
      </c>
    </row>
    <row r="78" spans="2:3" hidden="1" x14ac:dyDescent="0.35">
      <c r="B78" s="84"/>
      <c r="C78" s="85"/>
    </row>
    <row r="79" spans="2:3" hidden="1" x14ac:dyDescent="0.35">
      <c r="B79" s="86" t="s">
        <v>261</v>
      </c>
      <c r="C79" s="87"/>
    </row>
    <row r="80" spans="2:3" hidden="1" x14ac:dyDescent="0.35">
      <c r="B80" s="49" t="s">
        <v>235</v>
      </c>
      <c r="C80" s="51" t="e">
        <f>#REF!</f>
        <v>#REF!</v>
      </c>
    </row>
    <row r="81" spans="2:3" hidden="1" x14ac:dyDescent="0.35">
      <c r="B81" s="28" t="s">
        <v>262</v>
      </c>
      <c r="C81" s="43" t="e">
        <f>#REF!</f>
        <v>#REF!</v>
      </c>
    </row>
    <row r="82" spans="2:3" hidden="1" x14ac:dyDescent="0.35">
      <c r="B82" s="28" t="s">
        <v>263</v>
      </c>
      <c r="C82" s="43" t="e">
        <f>#REF!</f>
        <v>#REF!</v>
      </c>
    </row>
    <row r="83" spans="2:3" hidden="1" x14ac:dyDescent="0.35">
      <c r="B83" s="28" t="s">
        <v>264</v>
      </c>
      <c r="C83" s="43" t="e">
        <f>#REF!</f>
        <v>#REF!</v>
      </c>
    </row>
    <row r="84" spans="2:3" hidden="1" x14ac:dyDescent="0.35">
      <c r="B84" s="84"/>
      <c r="C84" s="85"/>
    </row>
    <row r="85" spans="2:3" hidden="1" x14ac:dyDescent="0.35">
      <c r="B85" s="86" t="s">
        <v>265</v>
      </c>
      <c r="C85" s="87"/>
    </row>
    <row r="86" spans="2:3" hidden="1" x14ac:dyDescent="0.35">
      <c r="B86" s="49" t="s">
        <v>240</v>
      </c>
      <c r="C86" s="51" t="e">
        <f>#REF!</f>
        <v>#REF!</v>
      </c>
    </row>
    <row r="87" spans="2:3" hidden="1" x14ac:dyDescent="0.35">
      <c r="B87" s="28" t="s">
        <v>266</v>
      </c>
      <c r="C87" s="43" t="e">
        <f>#REF!</f>
        <v>#REF!</v>
      </c>
    </row>
    <row r="88" spans="2:3" hidden="1" x14ac:dyDescent="0.35">
      <c r="B88" s="28" t="s">
        <v>267</v>
      </c>
      <c r="C88" s="43" t="e">
        <f>#REF!</f>
        <v>#REF!</v>
      </c>
    </row>
    <row r="89" spans="2:3" hidden="1" x14ac:dyDescent="0.35">
      <c r="B89" s="28" t="s">
        <v>268</v>
      </c>
      <c r="C89" s="43" t="e">
        <f>#REF!</f>
        <v>#REF!</v>
      </c>
    </row>
    <row r="90" spans="2:3" hidden="1" x14ac:dyDescent="0.35">
      <c r="B90" s="84"/>
      <c r="C90" s="85"/>
    </row>
    <row r="91" spans="2:3" hidden="1" x14ac:dyDescent="0.35">
      <c r="B91" s="86" t="s">
        <v>269</v>
      </c>
      <c r="C91" s="87"/>
    </row>
    <row r="92" spans="2:3" hidden="1" x14ac:dyDescent="0.35">
      <c r="B92" s="49" t="s">
        <v>245</v>
      </c>
      <c r="C92" s="51" t="e">
        <f>#REF!</f>
        <v>#REF!</v>
      </c>
    </row>
    <row r="93" spans="2:3" hidden="1" x14ac:dyDescent="0.35">
      <c r="B93" s="28" t="s">
        <v>270</v>
      </c>
      <c r="C93" s="43" t="e">
        <f>#REF!</f>
        <v>#REF!</v>
      </c>
    </row>
    <row r="94" spans="2:3" hidden="1" x14ac:dyDescent="0.35">
      <c r="B94" s="28" t="s">
        <v>271</v>
      </c>
      <c r="C94" s="43" t="e">
        <f>#REF!</f>
        <v>#REF!</v>
      </c>
    </row>
    <row r="95" spans="2:3" hidden="1" x14ac:dyDescent="0.35">
      <c r="B95" s="28" t="s">
        <v>272</v>
      </c>
      <c r="C95" s="43" t="e">
        <f>#REF!</f>
        <v>#REF!</v>
      </c>
    </row>
    <row r="96" spans="2:3" hidden="1" x14ac:dyDescent="0.35">
      <c r="B96" s="84"/>
      <c r="C96" s="85"/>
    </row>
    <row r="97" spans="2:3" hidden="1" x14ac:dyDescent="0.35">
      <c r="B97" s="86" t="s">
        <v>273</v>
      </c>
      <c r="C97" s="87"/>
    </row>
    <row r="98" spans="2:3" hidden="1" x14ac:dyDescent="0.35">
      <c r="B98" s="49" t="s">
        <v>250</v>
      </c>
      <c r="C98" s="51" t="e">
        <f>#REF!</f>
        <v>#REF!</v>
      </c>
    </row>
    <row r="99" spans="2:3" hidden="1" x14ac:dyDescent="0.35">
      <c r="B99" s="28" t="s">
        <v>274</v>
      </c>
      <c r="C99" s="43" t="e">
        <f>#REF!</f>
        <v>#REF!</v>
      </c>
    </row>
    <row r="100" spans="2:3" hidden="1" x14ac:dyDescent="0.35">
      <c r="B100" s="28" t="s">
        <v>275</v>
      </c>
      <c r="C100" s="43" t="e">
        <f>#REF!</f>
        <v>#REF!</v>
      </c>
    </row>
    <row r="101" spans="2:3" hidden="1" x14ac:dyDescent="0.35">
      <c r="B101" s="28" t="s">
        <v>276</v>
      </c>
      <c r="C101" s="43" t="e">
        <f>#REF!</f>
        <v>#REF!</v>
      </c>
    </row>
    <row r="102" spans="2:3" hidden="1" x14ac:dyDescent="0.35">
      <c r="B102" s="84"/>
      <c r="C102" s="85"/>
    </row>
    <row r="103" spans="2:3" hidden="1" x14ac:dyDescent="0.35">
      <c r="B103" s="86" t="s">
        <v>277</v>
      </c>
      <c r="C103" s="87"/>
    </row>
    <row r="104" spans="2:3" hidden="1" x14ac:dyDescent="0.35">
      <c r="B104" s="49" t="s">
        <v>256</v>
      </c>
      <c r="C104" s="51" t="e">
        <f>#REF!</f>
        <v>#REF!</v>
      </c>
    </row>
    <row r="105" spans="2:3" hidden="1" x14ac:dyDescent="0.35">
      <c r="B105" s="28" t="s">
        <v>278</v>
      </c>
      <c r="C105" s="43" t="e">
        <f>#REF!</f>
        <v>#REF!</v>
      </c>
    </row>
    <row r="106" spans="2:3" hidden="1" x14ac:dyDescent="0.35">
      <c r="B106" s="28" t="s">
        <v>279</v>
      </c>
      <c r="C106" s="43" t="e">
        <f>#REF!</f>
        <v>#REF!</v>
      </c>
    </row>
    <row r="107" spans="2:3" hidden="1" x14ac:dyDescent="0.35">
      <c r="B107" s="28" t="s">
        <v>280</v>
      </c>
      <c r="C107" s="43" t="e">
        <f>#REF!</f>
        <v>#REF!</v>
      </c>
    </row>
    <row r="108" spans="2:3" hidden="1" x14ac:dyDescent="0.35">
      <c r="B108" s="84"/>
      <c r="C108" s="85"/>
    </row>
    <row r="109" spans="2:3" hidden="1" x14ac:dyDescent="0.35">
      <c r="B109" s="93" t="s">
        <v>281</v>
      </c>
      <c r="C109" s="94"/>
    </row>
    <row r="110" spans="2:3" hidden="1" x14ac:dyDescent="0.35">
      <c r="B110" s="158" t="s">
        <v>172</v>
      </c>
      <c r="C110" s="43" t="e">
        <f>#REF!</f>
        <v>#REF!</v>
      </c>
    </row>
    <row r="111" spans="2:3" hidden="1" x14ac:dyDescent="0.35">
      <c r="B111" s="28" t="s">
        <v>282</v>
      </c>
      <c r="C111" s="43" t="e">
        <f>#REF!</f>
        <v>#REF!</v>
      </c>
    </row>
    <row r="112" spans="2:3" hidden="1" x14ac:dyDescent="0.35">
      <c r="B112" s="28" t="s">
        <v>283</v>
      </c>
      <c r="C112" s="43" t="e">
        <f>#REF!</f>
        <v>#REF!</v>
      </c>
    </row>
    <row r="113" spans="2:3" hidden="1" x14ac:dyDescent="0.35">
      <c r="B113" s="28" t="s">
        <v>284</v>
      </c>
      <c r="C113" s="43" t="e">
        <f>#REF!</f>
        <v>#REF!</v>
      </c>
    </row>
    <row r="114" spans="2:3" hidden="1" x14ac:dyDescent="0.35">
      <c r="B114" s="28" t="s">
        <v>285</v>
      </c>
      <c r="C114" s="43" t="e">
        <f>#REF!</f>
        <v>#REF!</v>
      </c>
    </row>
    <row r="115" spans="2:3" ht="15" hidden="1" thickBot="1" x14ac:dyDescent="0.4">
      <c r="B115" s="28" t="s">
        <v>286</v>
      </c>
      <c r="C115" s="74" t="e">
        <f>#REF!</f>
        <v>#REF!</v>
      </c>
    </row>
    <row r="116" spans="2:3" hidden="1" x14ac:dyDescent="0.35">
      <c r="B116" s="58"/>
      <c r="C116" s="73"/>
    </row>
    <row r="117" spans="2:3" hidden="1" x14ac:dyDescent="0.35">
      <c r="B117" s="93" t="s">
        <v>173</v>
      </c>
      <c r="C117" s="94"/>
    </row>
    <row r="118" spans="2:3" hidden="1" x14ac:dyDescent="0.35">
      <c r="B118" s="158" t="s">
        <v>174</v>
      </c>
      <c r="C118" s="51" t="e">
        <f>#REF!</f>
        <v>#REF!</v>
      </c>
    </row>
    <row r="119" spans="2:3" hidden="1" x14ac:dyDescent="0.35">
      <c r="B119" s="28" t="s">
        <v>287</v>
      </c>
      <c r="C119" s="51" t="e">
        <f>#REF!</f>
        <v>#REF!</v>
      </c>
    </row>
    <row r="120" spans="2:3" hidden="1" x14ac:dyDescent="0.35">
      <c r="B120" s="28" t="s">
        <v>288</v>
      </c>
      <c r="C120" s="51" t="e">
        <f>#REF!</f>
        <v>#REF!</v>
      </c>
    </row>
    <row r="121" spans="2:3" hidden="1" x14ac:dyDescent="0.35">
      <c r="B121" s="28" t="s">
        <v>289</v>
      </c>
      <c r="C121" s="51" t="e">
        <f>#REF!</f>
        <v>#REF!</v>
      </c>
    </row>
    <row r="122" spans="2:3" hidden="1" x14ac:dyDescent="0.35">
      <c r="B122" s="28" t="s">
        <v>290</v>
      </c>
      <c r="C122" s="51" t="e">
        <f>#REF!</f>
        <v>#REF!</v>
      </c>
    </row>
    <row r="123" spans="2:3" ht="15" hidden="1" thickBot="1" x14ac:dyDescent="0.4">
      <c r="B123" s="52" t="s">
        <v>291</v>
      </c>
      <c r="C123" s="51" t="e">
        <f>#REF!</f>
        <v>#REF!</v>
      </c>
    </row>
    <row r="124" spans="2:3" hidden="1" x14ac:dyDescent="0.35">
      <c r="B124" s="37"/>
      <c r="C124" s="76"/>
    </row>
    <row r="125" spans="2:3" ht="15" hidden="1" thickBot="1" x14ac:dyDescent="0.4">
      <c r="B125" s="27"/>
    </row>
    <row r="126" spans="2:3" hidden="1" x14ac:dyDescent="0.35">
      <c r="B126" s="96" t="s">
        <v>175</v>
      </c>
      <c r="C126" s="97"/>
    </row>
    <row r="127" spans="2:3" hidden="1" x14ac:dyDescent="0.35">
      <c r="B127" s="156" t="s">
        <v>176</v>
      </c>
      <c r="C127" s="89"/>
    </row>
    <row r="128" spans="2:3" hidden="1" x14ac:dyDescent="0.35">
      <c r="B128" s="49" t="s">
        <v>140</v>
      </c>
      <c r="C128" s="51" t="e">
        <f>#REF!</f>
        <v>#REF!</v>
      </c>
    </row>
    <row r="129" spans="2:3" hidden="1" x14ac:dyDescent="0.35">
      <c r="B129" s="28" t="s">
        <v>142</v>
      </c>
      <c r="C129" s="43" t="e">
        <f>#REF!</f>
        <v>#REF!</v>
      </c>
    </row>
    <row r="130" spans="2:3" hidden="1" x14ac:dyDescent="0.35">
      <c r="B130" s="28" t="s">
        <v>143</v>
      </c>
      <c r="C130" s="43" t="e">
        <f>#REF!</f>
        <v>#REF!</v>
      </c>
    </row>
    <row r="131" spans="2:3" hidden="1" x14ac:dyDescent="0.35">
      <c r="B131" s="28" t="s">
        <v>144</v>
      </c>
      <c r="C131" s="43" t="e">
        <f>#REF!</f>
        <v>#REF!</v>
      </c>
    </row>
    <row r="132" spans="2:3" hidden="1" x14ac:dyDescent="0.35">
      <c r="B132" s="84"/>
      <c r="C132" s="85"/>
    </row>
    <row r="133" spans="2:3" hidden="1" x14ac:dyDescent="0.35">
      <c r="B133" s="86" t="s">
        <v>292</v>
      </c>
      <c r="C133" s="87"/>
    </row>
    <row r="134" spans="2:3" hidden="1" x14ac:dyDescent="0.35">
      <c r="B134" s="49" t="s">
        <v>235</v>
      </c>
      <c r="C134" s="51" t="e">
        <f>#REF!</f>
        <v>#REF!</v>
      </c>
    </row>
    <row r="135" spans="2:3" hidden="1" x14ac:dyDescent="0.35">
      <c r="B135" s="28" t="s">
        <v>262</v>
      </c>
      <c r="C135" s="43" t="e">
        <f>#REF!</f>
        <v>#REF!</v>
      </c>
    </row>
    <row r="136" spans="2:3" hidden="1" x14ac:dyDescent="0.35">
      <c r="B136" s="28" t="s">
        <v>263</v>
      </c>
      <c r="C136" s="43" t="e">
        <f>#REF!</f>
        <v>#REF!</v>
      </c>
    </row>
    <row r="137" spans="2:3" hidden="1" x14ac:dyDescent="0.35">
      <c r="B137" s="28" t="s">
        <v>264</v>
      </c>
      <c r="C137" s="43" t="e">
        <f>#REF!</f>
        <v>#REF!</v>
      </c>
    </row>
    <row r="138" spans="2:3" hidden="1" x14ac:dyDescent="0.35">
      <c r="B138" s="84"/>
      <c r="C138" s="85"/>
    </row>
    <row r="139" spans="2:3" hidden="1" x14ac:dyDescent="0.35">
      <c r="B139" s="86" t="s">
        <v>293</v>
      </c>
      <c r="C139" s="87"/>
    </row>
    <row r="140" spans="2:3" hidden="1" x14ac:dyDescent="0.35">
      <c r="B140" s="49" t="s">
        <v>240</v>
      </c>
      <c r="C140" s="51" t="e">
        <f>#REF!</f>
        <v>#REF!</v>
      </c>
    </row>
    <row r="141" spans="2:3" hidden="1" x14ac:dyDescent="0.35">
      <c r="B141" s="28" t="s">
        <v>266</v>
      </c>
      <c r="C141" s="43" t="e">
        <f>#REF!</f>
        <v>#REF!</v>
      </c>
    </row>
    <row r="142" spans="2:3" hidden="1" x14ac:dyDescent="0.35">
      <c r="B142" s="28" t="s">
        <v>267</v>
      </c>
      <c r="C142" s="43" t="e">
        <f>#REF!</f>
        <v>#REF!</v>
      </c>
    </row>
    <row r="143" spans="2:3" hidden="1" x14ac:dyDescent="0.35">
      <c r="B143" s="28" t="s">
        <v>268</v>
      </c>
      <c r="C143" s="43" t="e">
        <f>#REF!</f>
        <v>#REF!</v>
      </c>
    </row>
    <row r="144" spans="2:3" hidden="1" x14ac:dyDescent="0.35">
      <c r="B144" s="84"/>
      <c r="C144" s="85"/>
    </row>
    <row r="145" spans="2:3" hidden="1" x14ac:dyDescent="0.35">
      <c r="B145" s="86" t="s">
        <v>294</v>
      </c>
      <c r="C145" s="87"/>
    </row>
    <row r="146" spans="2:3" hidden="1" x14ac:dyDescent="0.35">
      <c r="B146" s="49" t="s">
        <v>245</v>
      </c>
      <c r="C146" s="51" t="e">
        <f>#REF!</f>
        <v>#REF!</v>
      </c>
    </row>
    <row r="147" spans="2:3" hidden="1" x14ac:dyDescent="0.35">
      <c r="B147" s="28" t="s">
        <v>270</v>
      </c>
      <c r="C147" s="43" t="e">
        <f>#REF!</f>
        <v>#REF!</v>
      </c>
    </row>
    <row r="148" spans="2:3" hidden="1" x14ac:dyDescent="0.35">
      <c r="B148" s="28" t="s">
        <v>271</v>
      </c>
      <c r="C148" s="43" t="e">
        <f>#REF!</f>
        <v>#REF!</v>
      </c>
    </row>
    <row r="149" spans="2:3" hidden="1" x14ac:dyDescent="0.35">
      <c r="B149" s="28" t="s">
        <v>272</v>
      </c>
      <c r="C149" s="43" t="e">
        <f>#REF!</f>
        <v>#REF!</v>
      </c>
    </row>
    <row r="150" spans="2:3" hidden="1" x14ac:dyDescent="0.35">
      <c r="B150" s="84"/>
      <c r="C150" s="85"/>
    </row>
    <row r="151" spans="2:3" hidden="1" x14ac:dyDescent="0.35">
      <c r="B151" s="86" t="s">
        <v>295</v>
      </c>
      <c r="C151" s="87"/>
    </row>
    <row r="152" spans="2:3" hidden="1" x14ac:dyDescent="0.35">
      <c r="B152" s="49" t="s">
        <v>250</v>
      </c>
      <c r="C152" s="51" t="e">
        <f>#REF!</f>
        <v>#REF!</v>
      </c>
    </row>
    <row r="153" spans="2:3" hidden="1" x14ac:dyDescent="0.35">
      <c r="B153" s="28" t="s">
        <v>274</v>
      </c>
      <c r="C153" s="43" t="e">
        <f>#REF!</f>
        <v>#REF!</v>
      </c>
    </row>
    <row r="154" spans="2:3" hidden="1" x14ac:dyDescent="0.35">
      <c r="B154" s="28" t="s">
        <v>275</v>
      </c>
      <c r="C154" s="43" t="e">
        <f>#REF!</f>
        <v>#REF!</v>
      </c>
    </row>
    <row r="155" spans="2:3" hidden="1" x14ac:dyDescent="0.35">
      <c r="B155" s="28" t="s">
        <v>276</v>
      </c>
      <c r="C155" s="43" t="e">
        <f>#REF!</f>
        <v>#REF!</v>
      </c>
    </row>
    <row r="156" spans="2:3" hidden="1" x14ac:dyDescent="0.35">
      <c r="B156" s="84"/>
      <c r="C156" s="85"/>
    </row>
    <row r="157" spans="2:3" hidden="1" x14ac:dyDescent="0.35">
      <c r="B157" s="86" t="s">
        <v>296</v>
      </c>
      <c r="C157" s="87"/>
    </row>
    <row r="158" spans="2:3" hidden="1" x14ac:dyDescent="0.35">
      <c r="B158" s="49" t="s">
        <v>256</v>
      </c>
      <c r="C158" s="51" t="e">
        <f>#REF!</f>
        <v>#REF!</v>
      </c>
    </row>
    <row r="159" spans="2:3" hidden="1" x14ac:dyDescent="0.35">
      <c r="B159" s="28" t="s">
        <v>278</v>
      </c>
      <c r="C159" s="43" t="e">
        <f>#REF!</f>
        <v>#REF!</v>
      </c>
    </row>
    <row r="160" spans="2:3" hidden="1" x14ac:dyDescent="0.35">
      <c r="B160" s="28" t="s">
        <v>279</v>
      </c>
      <c r="C160" s="43" t="e">
        <f>#REF!</f>
        <v>#REF!</v>
      </c>
    </row>
    <row r="161" spans="2:3" hidden="1" x14ac:dyDescent="0.35">
      <c r="B161" s="28" t="s">
        <v>280</v>
      </c>
      <c r="C161" s="43" t="e">
        <f>#REF!</f>
        <v>#REF!</v>
      </c>
    </row>
    <row r="162" spans="2:3" hidden="1" x14ac:dyDescent="0.35">
      <c r="B162" s="84"/>
      <c r="C162" s="85"/>
    </row>
    <row r="163" spans="2:3" hidden="1" x14ac:dyDescent="0.35">
      <c r="B163" s="93" t="s">
        <v>177</v>
      </c>
      <c r="C163" s="94"/>
    </row>
    <row r="164" spans="2:3" hidden="1" x14ac:dyDescent="0.35">
      <c r="B164" s="158" t="s">
        <v>178</v>
      </c>
      <c r="C164" s="51" t="e">
        <f t="shared" ref="C164" si="17">C65-C118</f>
        <v>#REF!</v>
      </c>
    </row>
    <row r="165" spans="2:3" hidden="1" x14ac:dyDescent="0.35">
      <c r="B165" s="28" t="s">
        <v>297</v>
      </c>
      <c r="C165" s="51" t="e">
        <f t="shared" ref="C165" si="18">C66-C119</f>
        <v>#REF!</v>
      </c>
    </row>
    <row r="166" spans="2:3" hidden="1" x14ac:dyDescent="0.35">
      <c r="B166" s="28" t="s">
        <v>298</v>
      </c>
      <c r="C166" s="51" t="e">
        <f t="shared" ref="C166" si="19">C67-C120</f>
        <v>#REF!</v>
      </c>
    </row>
    <row r="167" spans="2:3" hidden="1" x14ac:dyDescent="0.35">
      <c r="B167" s="28" t="s">
        <v>299</v>
      </c>
      <c r="C167" s="51" t="e">
        <f t="shared" ref="C167" si="20">C68-C121</f>
        <v>#REF!</v>
      </c>
    </row>
    <row r="168" spans="2:3" hidden="1" x14ac:dyDescent="0.35">
      <c r="B168" s="28" t="s">
        <v>300</v>
      </c>
      <c r="C168" s="51" t="e">
        <f t="shared" ref="C168" si="21">C69-C122</f>
        <v>#REF!</v>
      </c>
    </row>
    <row r="169" spans="2:3" hidden="1" x14ac:dyDescent="0.35">
      <c r="B169" s="28" t="s">
        <v>301</v>
      </c>
      <c r="C169" s="51" t="e">
        <f t="shared" ref="C169" si="22">C70-C123</f>
        <v>#REF!</v>
      </c>
    </row>
    <row r="170" spans="2:3" ht="15" hidden="1" thickBot="1" x14ac:dyDescent="0.4">
      <c r="B170" s="37"/>
      <c r="C170" s="76"/>
    </row>
    <row r="171" spans="2:3" ht="25" hidden="1" x14ac:dyDescent="0.35">
      <c r="B171" s="126" t="s">
        <v>179</v>
      </c>
      <c r="C171" s="125" t="s">
        <v>302</v>
      </c>
    </row>
    <row r="172" spans="2:3" hidden="1" x14ac:dyDescent="0.35">
      <c r="B172" s="159" t="s">
        <v>31</v>
      </c>
      <c r="C172" s="104" t="s">
        <v>180</v>
      </c>
    </row>
    <row r="173" spans="2:3" hidden="1" x14ac:dyDescent="0.35">
      <c r="B173" s="108" t="s">
        <v>24</v>
      </c>
      <c r="C173" s="77"/>
    </row>
    <row r="174" spans="2:3" hidden="1" x14ac:dyDescent="0.35">
      <c r="B174" s="46" t="s">
        <v>181</v>
      </c>
      <c r="C174" s="146" t="e">
        <f>#REF!</f>
        <v>#REF!</v>
      </c>
    </row>
    <row r="175" spans="2:3" hidden="1" x14ac:dyDescent="0.35">
      <c r="B175" s="46" t="s">
        <v>182</v>
      </c>
      <c r="C175" s="146" t="e">
        <f>#REF!</f>
        <v>#REF!</v>
      </c>
    </row>
    <row r="176" spans="2:3" hidden="1" x14ac:dyDescent="0.35">
      <c r="B176" s="46" t="s">
        <v>183</v>
      </c>
      <c r="C176" s="146" t="e">
        <f>#REF!</f>
        <v>#REF!</v>
      </c>
    </row>
    <row r="177" spans="2:3" hidden="1" x14ac:dyDescent="0.35">
      <c r="B177" s="46" t="s">
        <v>184</v>
      </c>
      <c r="C177" s="146" t="e">
        <f>#REF!</f>
        <v>#REF!</v>
      </c>
    </row>
    <row r="178" spans="2:3" hidden="1" x14ac:dyDescent="0.35">
      <c r="B178" s="46" t="s">
        <v>185</v>
      </c>
      <c r="C178" s="146" t="e">
        <f>#REF!</f>
        <v>#REF!</v>
      </c>
    </row>
    <row r="179" spans="2:3" hidden="1" x14ac:dyDescent="0.35">
      <c r="B179" s="46" t="s">
        <v>186</v>
      </c>
      <c r="C179" s="146" t="e">
        <f>#REF!</f>
        <v>#REF!</v>
      </c>
    </row>
    <row r="180" spans="2:3" hidden="1" x14ac:dyDescent="0.35">
      <c r="B180" s="46" t="s">
        <v>187</v>
      </c>
      <c r="C180" s="146" t="e">
        <f>#REF!</f>
        <v>#REF!</v>
      </c>
    </row>
    <row r="181" spans="2:3" hidden="1" x14ac:dyDescent="0.35">
      <c r="B181" s="46" t="s">
        <v>188</v>
      </c>
      <c r="C181" s="146" t="e">
        <f>#REF!</f>
        <v>#REF!</v>
      </c>
    </row>
    <row r="182" spans="2:3" hidden="1" x14ac:dyDescent="0.35">
      <c r="B182" s="27"/>
    </row>
    <row r="183" spans="2:3" hidden="1" x14ac:dyDescent="0.35">
      <c r="B183" s="90" t="s">
        <v>145</v>
      </c>
      <c r="C183" s="91"/>
    </row>
    <row r="184" spans="2:3" hidden="1" x14ac:dyDescent="0.35">
      <c r="B184" s="86" t="s">
        <v>36</v>
      </c>
      <c r="C184" s="87"/>
    </row>
    <row r="185" spans="2:3" hidden="1" x14ac:dyDescent="0.35">
      <c r="B185" s="108" t="s">
        <v>24</v>
      </c>
      <c r="C185" s="147" t="e">
        <f>#REF!</f>
        <v>#REF!</v>
      </c>
    </row>
    <row r="186" spans="2:3" hidden="1" x14ac:dyDescent="0.35">
      <c r="B186" s="46" t="s">
        <v>181</v>
      </c>
      <c r="C186" s="146" t="e">
        <f>#REF!</f>
        <v>#REF!</v>
      </c>
    </row>
    <row r="187" spans="2:3" hidden="1" x14ac:dyDescent="0.35">
      <c r="B187" s="46" t="s">
        <v>182</v>
      </c>
      <c r="C187" s="146" t="e">
        <f>#REF!</f>
        <v>#REF!</v>
      </c>
    </row>
    <row r="188" spans="2:3" hidden="1" x14ac:dyDescent="0.35">
      <c r="B188" s="46" t="s">
        <v>183</v>
      </c>
      <c r="C188" s="146" t="e">
        <f>#REF!</f>
        <v>#REF!</v>
      </c>
    </row>
    <row r="189" spans="2:3" hidden="1" x14ac:dyDescent="0.35">
      <c r="B189" s="46" t="s">
        <v>184</v>
      </c>
      <c r="C189" s="146" t="e">
        <f>#REF!</f>
        <v>#REF!</v>
      </c>
    </row>
    <row r="190" spans="2:3" hidden="1" x14ac:dyDescent="0.35">
      <c r="B190" s="46" t="s">
        <v>185</v>
      </c>
      <c r="C190" s="146" t="e">
        <f>#REF!</f>
        <v>#REF!</v>
      </c>
    </row>
    <row r="191" spans="2:3" hidden="1" x14ac:dyDescent="0.35">
      <c r="B191" s="46" t="s">
        <v>186</v>
      </c>
      <c r="C191" s="146" t="e">
        <f>#REF!</f>
        <v>#REF!</v>
      </c>
    </row>
    <row r="192" spans="2:3" hidden="1" x14ac:dyDescent="0.35">
      <c r="B192" s="46" t="s">
        <v>187</v>
      </c>
      <c r="C192" s="146" t="e">
        <f>#REF!</f>
        <v>#REF!</v>
      </c>
    </row>
    <row r="193" spans="2:3" hidden="1" x14ac:dyDescent="0.35">
      <c r="B193" s="46" t="s">
        <v>188</v>
      </c>
      <c r="C193" s="146" t="e">
        <f>#REF!</f>
        <v>#REF!</v>
      </c>
    </row>
    <row r="194" spans="2:3" hidden="1" x14ac:dyDescent="0.35">
      <c r="B194" s="27"/>
    </row>
    <row r="195" spans="2:3" hidden="1" x14ac:dyDescent="0.35">
      <c r="B195" s="86" t="s">
        <v>37</v>
      </c>
      <c r="C195" s="87"/>
    </row>
    <row r="196" spans="2:3" hidden="1" x14ac:dyDescent="0.35">
      <c r="B196" s="108" t="s">
        <v>24</v>
      </c>
      <c r="C196" s="147" t="e">
        <f>#REF!</f>
        <v>#REF!</v>
      </c>
    </row>
    <row r="197" spans="2:3" hidden="1" x14ac:dyDescent="0.35">
      <c r="B197" s="46" t="s">
        <v>181</v>
      </c>
      <c r="C197" s="146" t="e">
        <f>#REF!</f>
        <v>#REF!</v>
      </c>
    </row>
    <row r="198" spans="2:3" hidden="1" x14ac:dyDescent="0.35">
      <c r="B198" s="46" t="s">
        <v>182</v>
      </c>
      <c r="C198" s="146" t="e">
        <f>#REF!</f>
        <v>#REF!</v>
      </c>
    </row>
    <row r="199" spans="2:3" hidden="1" x14ac:dyDescent="0.35">
      <c r="B199" s="46" t="s">
        <v>183</v>
      </c>
      <c r="C199" s="146" t="e">
        <f>#REF!</f>
        <v>#REF!</v>
      </c>
    </row>
    <row r="200" spans="2:3" hidden="1" x14ac:dyDescent="0.35">
      <c r="B200" s="46" t="s">
        <v>184</v>
      </c>
      <c r="C200" s="146" t="e">
        <f>#REF!</f>
        <v>#REF!</v>
      </c>
    </row>
    <row r="201" spans="2:3" hidden="1" x14ac:dyDescent="0.35">
      <c r="B201" s="46" t="s">
        <v>185</v>
      </c>
      <c r="C201" s="146" t="e">
        <f>#REF!</f>
        <v>#REF!</v>
      </c>
    </row>
    <row r="202" spans="2:3" hidden="1" x14ac:dyDescent="0.35">
      <c r="B202" s="46" t="s">
        <v>186</v>
      </c>
      <c r="C202" s="146" t="e">
        <f>#REF!</f>
        <v>#REF!</v>
      </c>
    </row>
    <row r="203" spans="2:3" hidden="1" x14ac:dyDescent="0.35">
      <c r="B203" s="46" t="s">
        <v>187</v>
      </c>
      <c r="C203" s="146" t="e">
        <f>#REF!</f>
        <v>#REF!</v>
      </c>
    </row>
    <row r="204" spans="2:3" hidden="1" x14ac:dyDescent="0.35">
      <c r="B204" s="46" t="s">
        <v>188</v>
      </c>
      <c r="C204" s="146" t="e">
        <f>#REF!</f>
        <v>#REF!</v>
      </c>
    </row>
    <row r="205" spans="2:3" hidden="1" x14ac:dyDescent="0.35">
      <c r="B205" s="27"/>
    </row>
    <row r="206" spans="2:3" hidden="1" x14ac:dyDescent="0.35">
      <c r="B206" s="86" t="s">
        <v>38</v>
      </c>
      <c r="C206" s="87"/>
    </row>
    <row r="207" spans="2:3" hidden="1" x14ac:dyDescent="0.35">
      <c r="B207" s="108" t="s">
        <v>24</v>
      </c>
      <c r="C207" s="147" t="e">
        <f>#REF!</f>
        <v>#REF!</v>
      </c>
    </row>
    <row r="208" spans="2:3" hidden="1" x14ac:dyDescent="0.35">
      <c r="B208" s="46" t="s">
        <v>181</v>
      </c>
      <c r="C208" s="146" t="e">
        <f>#REF!</f>
        <v>#REF!</v>
      </c>
    </row>
    <row r="209" spans="2:3" hidden="1" x14ac:dyDescent="0.35">
      <c r="B209" s="46" t="s">
        <v>182</v>
      </c>
      <c r="C209" s="146" t="e">
        <f>#REF!</f>
        <v>#REF!</v>
      </c>
    </row>
    <row r="210" spans="2:3" hidden="1" x14ac:dyDescent="0.35">
      <c r="B210" s="46" t="s">
        <v>183</v>
      </c>
      <c r="C210" s="146" t="e">
        <f>#REF!</f>
        <v>#REF!</v>
      </c>
    </row>
    <row r="211" spans="2:3" hidden="1" x14ac:dyDescent="0.35">
      <c r="B211" s="46" t="s">
        <v>184</v>
      </c>
      <c r="C211" s="146" t="e">
        <f>#REF!</f>
        <v>#REF!</v>
      </c>
    </row>
    <row r="212" spans="2:3" hidden="1" x14ac:dyDescent="0.35">
      <c r="B212" s="46" t="s">
        <v>185</v>
      </c>
      <c r="C212" s="146" t="e">
        <f>#REF!</f>
        <v>#REF!</v>
      </c>
    </row>
    <row r="213" spans="2:3" hidden="1" x14ac:dyDescent="0.35">
      <c r="B213" s="46" t="s">
        <v>186</v>
      </c>
      <c r="C213" s="146" t="e">
        <f>#REF!</f>
        <v>#REF!</v>
      </c>
    </row>
    <row r="214" spans="2:3" hidden="1" x14ac:dyDescent="0.35">
      <c r="B214" s="46" t="s">
        <v>187</v>
      </c>
      <c r="C214" s="146" t="e">
        <f>#REF!</f>
        <v>#REF!</v>
      </c>
    </row>
    <row r="215" spans="2:3" hidden="1" x14ac:dyDescent="0.35">
      <c r="B215" s="46" t="s">
        <v>188</v>
      </c>
      <c r="C215" s="146" t="e">
        <f>#REF!</f>
        <v>#REF!</v>
      </c>
    </row>
    <row r="216" spans="2:3" hidden="1" x14ac:dyDescent="0.35">
      <c r="B216" s="27"/>
    </row>
    <row r="217" spans="2:3" hidden="1" x14ac:dyDescent="0.35">
      <c r="B217" s="86" t="s">
        <v>39</v>
      </c>
      <c r="C217" s="87"/>
    </row>
    <row r="218" spans="2:3" hidden="1" x14ac:dyDescent="0.35">
      <c r="B218" s="108" t="s">
        <v>24</v>
      </c>
      <c r="C218" s="147" t="e">
        <f>#REF!</f>
        <v>#REF!</v>
      </c>
    </row>
    <row r="219" spans="2:3" hidden="1" x14ac:dyDescent="0.35">
      <c r="B219" s="46" t="s">
        <v>181</v>
      </c>
      <c r="C219" s="146" t="e">
        <f>#REF!</f>
        <v>#REF!</v>
      </c>
    </row>
    <row r="220" spans="2:3" hidden="1" x14ac:dyDescent="0.35">
      <c r="B220" s="46" t="s">
        <v>182</v>
      </c>
      <c r="C220" s="146" t="e">
        <f>#REF!</f>
        <v>#REF!</v>
      </c>
    </row>
    <row r="221" spans="2:3" hidden="1" x14ac:dyDescent="0.35">
      <c r="B221" s="46" t="s">
        <v>183</v>
      </c>
      <c r="C221" s="146" t="e">
        <f>#REF!</f>
        <v>#REF!</v>
      </c>
    </row>
    <row r="222" spans="2:3" hidden="1" x14ac:dyDescent="0.35">
      <c r="B222" s="46" t="s">
        <v>184</v>
      </c>
      <c r="C222" s="146" t="e">
        <f>#REF!</f>
        <v>#REF!</v>
      </c>
    </row>
    <row r="223" spans="2:3" hidden="1" x14ac:dyDescent="0.35">
      <c r="B223" s="46" t="s">
        <v>185</v>
      </c>
      <c r="C223" s="146" t="e">
        <f>#REF!</f>
        <v>#REF!</v>
      </c>
    </row>
    <row r="224" spans="2:3" hidden="1" x14ac:dyDescent="0.35">
      <c r="B224" s="46" t="s">
        <v>186</v>
      </c>
      <c r="C224" s="146" t="e">
        <f>#REF!</f>
        <v>#REF!</v>
      </c>
    </row>
    <row r="225" spans="2:3" hidden="1" x14ac:dyDescent="0.35">
      <c r="B225" s="46" t="s">
        <v>187</v>
      </c>
      <c r="C225" s="146" t="e">
        <f>#REF!</f>
        <v>#REF!</v>
      </c>
    </row>
    <row r="226" spans="2:3" hidden="1" x14ac:dyDescent="0.35">
      <c r="B226" s="46" t="s">
        <v>188</v>
      </c>
      <c r="C226" s="146" t="e">
        <f>#REF!</f>
        <v>#REF!</v>
      </c>
    </row>
    <row r="227" spans="2:3" hidden="1" x14ac:dyDescent="0.35">
      <c r="B227" s="27"/>
    </row>
    <row r="228" spans="2:3" hidden="1" x14ac:dyDescent="0.35">
      <c r="B228" s="86" t="s">
        <v>255</v>
      </c>
      <c r="C228" s="87"/>
    </row>
    <row r="229" spans="2:3" hidden="1" x14ac:dyDescent="0.35">
      <c r="B229" s="108" t="s">
        <v>24</v>
      </c>
      <c r="C229" s="147" t="e">
        <f>#REF!</f>
        <v>#REF!</v>
      </c>
    </row>
    <row r="230" spans="2:3" hidden="1" x14ac:dyDescent="0.35">
      <c r="B230" s="46" t="s">
        <v>181</v>
      </c>
      <c r="C230" s="146" t="e">
        <f>#REF!</f>
        <v>#REF!</v>
      </c>
    </row>
    <row r="231" spans="2:3" hidden="1" x14ac:dyDescent="0.35">
      <c r="B231" s="46" t="s">
        <v>182</v>
      </c>
      <c r="C231" s="146" t="e">
        <f>#REF!</f>
        <v>#REF!</v>
      </c>
    </row>
    <row r="232" spans="2:3" hidden="1" x14ac:dyDescent="0.35">
      <c r="B232" s="46" t="s">
        <v>183</v>
      </c>
      <c r="C232" s="146" t="e">
        <f>#REF!</f>
        <v>#REF!</v>
      </c>
    </row>
    <row r="233" spans="2:3" hidden="1" x14ac:dyDescent="0.35">
      <c r="B233" s="46" t="s">
        <v>184</v>
      </c>
      <c r="C233" s="146" t="e">
        <f>#REF!</f>
        <v>#REF!</v>
      </c>
    </row>
    <row r="234" spans="2:3" hidden="1" x14ac:dyDescent="0.35">
      <c r="B234" s="46" t="s">
        <v>185</v>
      </c>
      <c r="C234" s="146" t="e">
        <f>#REF!</f>
        <v>#REF!</v>
      </c>
    </row>
    <row r="235" spans="2:3" hidden="1" x14ac:dyDescent="0.35">
      <c r="B235" s="46" t="s">
        <v>186</v>
      </c>
      <c r="C235" s="146" t="e">
        <f>#REF!</f>
        <v>#REF!</v>
      </c>
    </row>
    <row r="236" spans="2:3" hidden="1" x14ac:dyDescent="0.35">
      <c r="B236" s="46" t="s">
        <v>187</v>
      </c>
      <c r="C236" s="146" t="e">
        <f>#REF!</f>
        <v>#REF!</v>
      </c>
    </row>
    <row r="237" spans="2:3" hidden="1" x14ac:dyDescent="0.35">
      <c r="B237" s="46" t="s">
        <v>188</v>
      </c>
      <c r="C237" s="146" t="e">
        <f>#REF!</f>
        <v>#REF!</v>
      </c>
    </row>
    <row r="238" spans="2:3" hidden="1" x14ac:dyDescent="0.35">
      <c r="B238" s="27"/>
    </row>
    <row r="239" spans="2:3" hidden="1" x14ac:dyDescent="0.35">
      <c r="B239" s="90" t="s">
        <v>189</v>
      </c>
      <c r="C239" s="91"/>
    </row>
    <row r="240" spans="2:3" hidden="1" x14ac:dyDescent="0.35">
      <c r="B240" s="86" t="s">
        <v>95</v>
      </c>
      <c r="C240" s="87"/>
    </row>
    <row r="241" spans="2:3" hidden="1" x14ac:dyDescent="0.35">
      <c r="B241" s="108" t="s">
        <v>24</v>
      </c>
      <c r="C241" s="147" t="e">
        <f>#REF!</f>
        <v>#REF!</v>
      </c>
    </row>
    <row r="242" spans="2:3" hidden="1" x14ac:dyDescent="0.35">
      <c r="B242" s="46" t="s">
        <v>181</v>
      </c>
      <c r="C242" s="146" t="e">
        <f>#REF!</f>
        <v>#REF!</v>
      </c>
    </row>
    <row r="243" spans="2:3" hidden="1" x14ac:dyDescent="0.35">
      <c r="B243" s="46" t="s">
        <v>182</v>
      </c>
      <c r="C243" s="146" t="e">
        <f>#REF!</f>
        <v>#REF!</v>
      </c>
    </row>
    <row r="244" spans="2:3" hidden="1" x14ac:dyDescent="0.35">
      <c r="B244" s="46" t="s">
        <v>183</v>
      </c>
      <c r="C244" s="146" t="e">
        <f>#REF!</f>
        <v>#REF!</v>
      </c>
    </row>
    <row r="245" spans="2:3" hidden="1" x14ac:dyDescent="0.35">
      <c r="B245" s="46" t="s">
        <v>184</v>
      </c>
      <c r="C245" s="146" t="e">
        <f>#REF!</f>
        <v>#REF!</v>
      </c>
    </row>
    <row r="246" spans="2:3" hidden="1" x14ac:dyDescent="0.35">
      <c r="B246" s="46" t="s">
        <v>185</v>
      </c>
      <c r="C246" s="146" t="e">
        <f>#REF!</f>
        <v>#REF!</v>
      </c>
    </row>
    <row r="247" spans="2:3" hidden="1" x14ac:dyDescent="0.35">
      <c r="B247" s="46" t="s">
        <v>186</v>
      </c>
      <c r="C247" s="146" t="e">
        <f>#REF!</f>
        <v>#REF!</v>
      </c>
    </row>
    <row r="248" spans="2:3" hidden="1" x14ac:dyDescent="0.35">
      <c r="B248" s="46" t="s">
        <v>187</v>
      </c>
      <c r="C248" s="146" t="e">
        <f>#REF!</f>
        <v>#REF!</v>
      </c>
    </row>
    <row r="249" spans="2:3" hidden="1" x14ac:dyDescent="0.35">
      <c r="B249" s="46" t="s">
        <v>188</v>
      </c>
      <c r="C249" s="146" t="e">
        <f>#REF!</f>
        <v>#REF!</v>
      </c>
    </row>
    <row r="250" spans="2:3" hidden="1" x14ac:dyDescent="0.35">
      <c r="B250" s="27"/>
      <c r="C250" s="62"/>
    </row>
    <row r="251" spans="2:3" hidden="1" x14ac:dyDescent="0.35">
      <c r="B251" s="86" t="s">
        <v>96</v>
      </c>
      <c r="C251" s="87"/>
    </row>
    <row r="252" spans="2:3" hidden="1" x14ac:dyDescent="0.35">
      <c r="B252" s="108" t="s">
        <v>24</v>
      </c>
      <c r="C252" s="147" t="e">
        <f>#REF!</f>
        <v>#REF!</v>
      </c>
    </row>
    <row r="253" spans="2:3" hidden="1" x14ac:dyDescent="0.35">
      <c r="B253" s="46" t="s">
        <v>181</v>
      </c>
      <c r="C253" s="146" t="s">
        <v>43</v>
      </c>
    </row>
    <row r="254" spans="2:3" hidden="1" x14ac:dyDescent="0.35">
      <c r="B254" s="46" t="s">
        <v>182</v>
      </c>
      <c r="C254" s="146" t="s">
        <v>43</v>
      </c>
    </row>
    <row r="255" spans="2:3" hidden="1" x14ac:dyDescent="0.35">
      <c r="B255" s="46" t="s">
        <v>183</v>
      </c>
      <c r="C255" s="146" t="s">
        <v>43</v>
      </c>
    </row>
    <row r="256" spans="2:3" hidden="1" x14ac:dyDescent="0.35">
      <c r="B256" s="46" t="s">
        <v>184</v>
      </c>
      <c r="C256" s="146" t="s">
        <v>43</v>
      </c>
    </row>
    <row r="257" spans="2:3" hidden="1" x14ac:dyDescent="0.35">
      <c r="B257" s="46" t="s">
        <v>185</v>
      </c>
      <c r="C257" s="146" t="s">
        <v>43</v>
      </c>
    </row>
    <row r="258" spans="2:3" hidden="1" x14ac:dyDescent="0.35">
      <c r="B258" s="46" t="s">
        <v>186</v>
      </c>
      <c r="C258" s="146" t="s">
        <v>43</v>
      </c>
    </row>
    <row r="259" spans="2:3" hidden="1" x14ac:dyDescent="0.35">
      <c r="B259" s="46" t="s">
        <v>187</v>
      </c>
      <c r="C259" s="146" t="s">
        <v>43</v>
      </c>
    </row>
    <row r="260" spans="2:3" hidden="1" x14ac:dyDescent="0.35">
      <c r="B260" s="46" t="s">
        <v>188</v>
      </c>
      <c r="C260" s="146" t="s">
        <v>43</v>
      </c>
    </row>
    <row r="261" spans="2:3" hidden="1" x14ac:dyDescent="0.35">
      <c r="B261" s="27"/>
      <c r="C261" s="105"/>
    </row>
    <row r="262" spans="2:3" hidden="1" x14ac:dyDescent="0.35">
      <c r="B262" s="86" t="s">
        <v>91</v>
      </c>
      <c r="C262" s="87"/>
    </row>
    <row r="263" spans="2:3" hidden="1" x14ac:dyDescent="0.35">
      <c r="B263" s="108" t="s">
        <v>24</v>
      </c>
      <c r="C263" s="147" t="e">
        <f>#REF!</f>
        <v>#REF!</v>
      </c>
    </row>
    <row r="264" spans="2:3" hidden="1" x14ac:dyDescent="0.35">
      <c r="B264" s="46" t="s">
        <v>181</v>
      </c>
      <c r="C264" s="146" t="e">
        <f>#REF!</f>
        <v>#REF!</v>
      </c>
    </row>
    <row r="265" spans="2:3" hidden="1" x14ac:dyDescent="0.35">
      <c r="B265" s="46" t="s">
        <v>182</v>
      </c>
      <c r="C265" s="146" t="e">
        <f>#REF!</f>
        <v>#REF!</v>
      </c>
    </row>
    <row r="266" spans="2:3" hidden="1" x14ac:dyDescent="0.35">
      <c r="B266" s="46" t="s">
        <v>183</v>
      </c>
      <c r="C266" s="146" t="e">
        <f>#REF!</f>
        <v>#REF!</v>
      </c>
    </row>
    <row r="267" spans="2:3" hidden="1" x14ac:dyDescent="0.35">
      <c r="B267" s="46" t="s">
        <v>184</v>
      </c>
      <c r="C267" s="146" t="e">
        <f>#REF!</f>
        <v>#REF!</v>
      </c>
    </row>
    <row r="268" spans="2:3" hidden="1" x14ac:dyDescent="0.35">
      <c r="B268" s="46" t="s">
        <v>185</v>
      </c>
      <c r="C268" s="146" t="e">
        <f>#REF!</f>
        <v>#REF!</v>
      </c>
    </row>
    <row r="269" spans="2:3" hidden="1" x14ac:dyDescent="0.35">
      <c r="B269" s="46" t="s">
        <v>186</v>
      </c>
      <c r="C269" s="146" t="e">
        <f>#REF!</f>
        <v>#REF!</v>
      </c>
    </row>
    <row r="270" spans="2:3" hidden="1" x14ac:dyDescent="0.35">
      <c r="B270" s="46" t="s">
        <v>187</v>
      </c>
      <c r="C270" s="146" t="e">
        <f>#REF!</f>
        <v>#REF!</v>
      </c>
    </row>
    <row r="271" spans="2:3" hidden="1" x14ac:dyDescent="0.35">
      <c r="B271" s="46" t="s">
        <v>188</v>
      </c>
      <c r="C271" s="146" t="e">
        <f>#REF!</f>
        <v>#REF!</v>
      </c>
    </row>
    <row r="272" spans="2:3" hidden="1" x14ac:dyDescent="0.35">
      <c r="B272" s="27"/>
      <c r="C272" s="105"/>
    </row>
    <row r="273" spans="2:3" hidden="1" x14ac:dyDescent="0.35">
      <c r="B273" s="86" t="s">
        <v>104</v>
      </c>
      <c r="C273" s="87"/>
    </row>
    <row r="274" spans="2:3" hidden="1" x14ac:dyDescent="0.35">
      <c r="B274" s="108" t="s">
        <v>24</v>
      </c>
      <c r="C274" s="147" t="e">
        <f>#REF!</f>
        <v>#REF!</v>
      </c>
    </row>
    <row r="275" spans="2:3" hidden="1" x14ac:dyDescent="0.35">
      <c r="B275" s="46" t="s">
        <v>181</v>
      </c>
      <c r="C275" s="146" t="s">
        <v>43</v>
      </c>
    </row>
    <row r="276" spans="2:3" hidden="1" x14ac:dyDescent="0.35">
      <c r="B276" s="46" t="s">
        <v>182</v>
      </c>
      <c r="C276" s="146" t="s">
        <v>43</v>
      </c>
    </row>
    <row r="277" spans="2:3" hidden="1" x14ac:dyDescent="0.35">
      <c r="B277" s="46" t="s">
        <v>183</v>
      </c>
      <c r="C277" s="146" t="s">
        <v>43</v>
      </c>
    </row>
    <row r="278" spans="2:3" hidden="1" x14ac:dyDescent="0.35">
      <c r="B278" s="46" t="s">
        <v>184</v>
      </c>
      <c r="C278" s="146" t="s">
        <v>43</v>
      </c>
    </row>
    <row r="279" spans="2:3" hidden="1" x14ac:dyDescent="0.35">
      <c r="B279" s="46" t="s">
        <v>185</v>
      </c>
      <c r="C279" s="146" t="s">
        <v>43</v>
      </c>
    </row>
    <row r="280" spans="2:3" hidden="1" x14ac:dyDescent="0.35">
      <c r="B280" s="46" t="s">
        <v>186</v>
      </c>
      <c r="C280" s="146" t="s">
        <v>43</v>
      </c>
    </row>
    <row r="281" spans="2:3" hidden="1" x14ac:dyDescent="0.35">
      <c r="B281" s="46" t="s">
        <v>187</v>
      </c>
      <c r="C281" s="146" t="s">
        <v>43</v>
      </c>
    </row>
    <row r="282" spans="2:3" ht="15" hidden="1" thickBot="1" x14ac:dyDescent="0.4">
      <c r="B282" s="50" t="s">
        <v>188</v>
      </c>
      <c r="C282" s="146" t="s">
        <v>43</v>
      </c>
    </row>
    <row r="283" spans="2:3" hidden="1" x14ac:dyDescent="0.35">
      <c r="B283" s="27"/>
    </row>
    <row r="284" spans="2:3" hidden="1" x14ac:dyDescent="0.35">
      <c r="B284" s="86" t="s">
        <v>98</v>
      </c>
      <c r="C284" s="87"/>
    </row>
    <row r="285" spans="2:3" hidden="1" x14ac:dyDescent="0.35">
      <c r="B285" s="108" t="s">
        <v>24</v>
      </c>
      <c r="C285" s="147" t="e">
        <f>#REF!</f>
        <v>#REF!</v>
      </c>
    </row>
    <row r="286" spans="2:3" hidden="1" x14ac:dyDescent="0.35">
      <c r="B286" s="46" t="s">
        <v>181</v>
      </c>
      <c r="C286" s="146" t="e">
        <f>#REF!</f>
        <v>#REF!</v>
      </c>
    </row>
    <row r="287" spans="2:3" hidden="1" x14ac:dyDescent="0.35">
      <c r="B287" s="46" t="s">
        <v>182</v>
      </c>
      <c r="C287" s="146" t="e">
        <f>#REF!</f>
        <v>#REF!</v>
      </c>
    </row>
    <row r="288" spans="2:3" hidden="1" x14ac:dyDescent="0.35">
      <c r="B288" s="46" t="s">
        <v>183</v>
      </c>
      <c r="C288" s="146" t="e">
        <f>#REF!</f>
        <v>#REF!</v>
      </c>
    </row>
    <row r="289" spans="2:3" hidden="1" x14ac:dyDescent="0.35">
      <c r="B289" s="46" t="s">
        <v>184</v>
      </c>
      <c r="C289" s="146" t="e">
        <f>#REF!</f>
        <v>#REF!</v>
      </c>
    </row>
    <row r="290" spans="2:3" hidden="1" x14ac:dyDescent="0.35">
      <c r="B290" s="46" t="s">
        <v>185</v>
      </c>
      <c r="C290" s="146" t="e">
        <f>#REF!</f>
        <v>#REF!</v>
      </c>
    </row>
    <row r="291" spans="2:3" hidden="1" x14ac:dyDescent="0.35">
      <c r="B291" s="46" t="s">
        <v>186</v>
      </c>
      <c r="C291" s="146" t="e">
        <f>#REF!</f>
        <v>#REF!</v>
      </c>
    </row>
    <row r="292" spans="2:3" hidden="1" x14ac:dyDescent="0.35">
      <c r="B292" s="46" t="s">
        <v>187</v>
      </c>
      <c r="C292" s="146" t="e">
        <f>#REF!</f>
        <v>#REF!</v>
      </c>
    </row>
    <row r="293" spans="2:3" ht="15" hidden="1" thickBot="1" x14ac:dyDescent="0.4">
      <c r="B293" s="50" t="s">
        <v>188</v>
      </c>
      <c r="C293" s="146" t="e">
        <f>#REF!</f>
        <v>#REF!</v>
      </c>
    </row>
    <row r="294" spans="2:3" hidden="1" x14ac:dyDescent="0.35">
      <c r="B294" s="27"/>
    </row>
    <row r="295" spans="2:3" hidden="1" x14ac:dyDescent="0.35">
      <c r="B295" s="86" t="s">
        <v>99</v>
      </c>
      <c r="C295" s="87"/>
    </row>
    <row r="296" spans="2:3" hidden="1" x14ac:dyDescent="0.35">
      <c r="B296" s="108" t="s">
        <v>24</v>
      </c>
      <c r="C296" s="147" t="e">
        <f>#REF!</f>
        <v>#REF!</v>
      </c>
    </row>
    <row r="297" spans="2:3" hidden="1" x14ac:dyDescent="0.35">
      <c r="B297" s="46" t="s">
        <v>181</v>
      </c>
      <c r="C297" s="146" t="e">
        <f>#REF!</f>
        <v>#REF!</v>
      </c>
    </row>
    <row r="298" spans="2:3" hidden="1" x14ac:dyDescent="0.35">
      <c r="B298" s="46" t="s">
        <v>182</v>
      </c>
      <c r="C298" s="146" t="e">
        <f>#REF!</f>
        <v>#REF!</v>
      </c>
    </row>
    <row r="299" spans="2:3" hidden="1" x14ac:dyDescent="0.35">
      <c r="B299" s="46" t="s">
        <v>183</v>
      </c>
      <c r="C299" s="146" t="e">
        <f>#REF!</f>
        <v>#REF!</v>
      </c>
    </row>
    <row r="300" spans="2:3" hidden="1" x14ac:dyDescent="0.35">
      <c r="B300" s="46" t="s">
        <v>184</v>
      </c>
      <c r="C300" s="146" t="e">
        <f>#REF!</f>
        <v>#REF!</v>
      </c>
    </row>
    <row r="301" spans="2:3" hidden="1" x14ac:dyDescent="0.35">
      <c r="B301" s="46" t="s">
        <v>185</v>
      </c>
      <c r="C301" s="146" t="e">
        <f>#REF!</f>
        <v>#REF!</v>
      </c>
    </row>
    <row r="302" spans="2:3" hidden="1" x14ac:dyDescent="0.35">
      <c r="B302" s="46" t="s">
        <v>186</v>
      </c>
      <c r="C302" s="146" t="e">
        <f>#REF!</f>
        <v>#REF!</v>
      </c>
    </row>
    <row r="303" spans="2:3" hidden="1" x14ac:dyDescent="0.35">
      <c r="B303" s="46" t="s">
        <v>187</v>
      </c>
      <c r="C303" s="146" t="e">
        <f>#REF!</f>
        <v>#REF!</v>
      </c>
    </row>
    <row r="304" spans="2:3" ht="15" hidden="1" thickBot="1" x14ac:dyDescent="0.4">
      <c r="B304" s="50" t="s">
        <v>188</v>
      </c>
      <c r="C304" s="146" t="e">
        <f>#REF!</f>
        <v>#REF!</v>
      </c>
    </row>
    <row r="305" spans="2:3" ht="15" hidden="1" thickBot="1" x14ac:dyDescent="0.4">
      <c r="B305" s="27"/>
    </row>
    <row r="306" spans="2:3" hidden="1" x14ac:dyDescent="0.35">
      <c r="B306" s="96" t="s">
        <v>190</v>
      </c>
      <c r="C306" s="97"/>
    </row>
    <row r="307" spans="2:3" hidden="1" x14ac:dyDescent="0.35">
      <c r="B307" s="156" t="s">
        <v>191</v>
      </c>
      <c r="C307" s="89"/>
    </row>
    <row r="308" spans="2:3" hidden="1" x14ac:dyDescent="0.35">
      <c r="B308" s="108" t="s">
        <v>24</v>
      </c>
      <c r="C308" s="147" t="e">
        <f>#REF!</f>
        <v>#REF!</v>
      </c>
    </row>
    <row r="309" spans="2:3" hidden="1" x14ac:dyDescent="0.35">
      <c r="B309" s="46" t="s">
        <v>181</v>
      </c>
      <c r="C309" s="146" t="e">
        <f>#REF!</f>
        <v>#REF!</v>
      </c>
    </row>
    <row r="310" spans="2:3" hidden="1" x14ac:dyDescent="0.35">
      <c r="B310" s="46" t="s">
        <v>182</v>
      </c>
      <c r="C310" s="146" t="e">
        <f>#REF!</f>
        <v>#REF!</v>
      </c>
    </row>
    <row r="311" spans="2:3" hidden="1" x14ac:dyDescent="0.35">
      <c r="B311" s="46" t="s">
        <v>183</v>
      </c>
      <c r="C311" s="146" t="e">
        <f>#REF!</f>
        <v>#REF!</v>
      </c>
    </row>
    <row r="312" spans="2:3" hidden="1" x14ac:dyDescent="0.35">
      <c r="B312" s="46" t="s">
        <v>184</v>
      </c>
      <c r="C312" s="146" t="e">
        <f>#REF!</f>
        <v>#REF!</v>
      </c>
    </row>
    <row r="313" spans="2:3" hidden="1" x14ac:dyDescent="0.35">
      <c r="B313" s="46" t="s">
        <v>185</v>
      </c>
      <c r="C313" s="146" t="e">
        <f>#REF!</f>
        <v>#REF!</v>
      </c>
    </row>
    <row r="314" spans="2:3" hidden="1" x14ac:dyDescent="0.35">
      <c r="B314" s="46" t="s">
        <v>186</v>
      </c>
      <c r="C314" s="146" t="e">
        <f>#REF!</f>
        <v>#REF!</v>
      </c>
    </row>
    <row r="315" spans="2:3" hidden="1" x14ac:dyDescent="0.35">
      <c r="B315" s="46" t="s">
        <v>187</v>
      </c>
      <c r="C315" s="146" t="e">
        <f>#REF!</f>
        <v>#REF!</v>
      </c>
    </row>
    <row r="316" spans="2:3" hidden="1" x14ac:dyDescent="0.35">
      <c r="B316" s="46" t="s">
        <v>188</v>
      </c>
      <c r="C316" s="146" t="e">
        <f>#REF!</f>
        <v>#REF!</v>
      </c>
    </row>
    <row r="317" spans="2:3" hidden="1" x14ac:dyDescent="0.35">
      <c r="B317" s="27"/>
      <c r="C317" s="106"/>
    </row>
    <row r="318" spans="2:3" hidden="1" x14ac:dyDescent="0.35">
      <c r="B318" s="156" t="s">
        <v>192</v>
      </c>
      <c r="C318" s="89"/>
    </row>
    <row r="319" spans="2:3" hidden="1" x14ac:dyDescent="0.35">
      <c r="B319" s="108" t="s">
        <v>24</v>
      </c>
      <c r="C319" s="147" t="e">
        <f>#REF!</f>
        <v>#REF!</v>
      </c>
    </row>
    <row r="320" spans="2:3" hidden="1" x14ac:dyDescent="0.35">
      <c r="B320" s="46" t="s">
        <v>181</v>
      </c>
      <c r="C320" s="146" t="e">
        <f>#REF!</f>
        <v>#REF!</v>
      </c>
    </row>
    <row r="321" spans="2:3" hidden="1" x14ac:dyDescent="0.35">
      <c r="B321" s="46" t="s">
        <v>182</v>
      </c>
      <c r="C321" s="146" t="e">
        <f>#REF!</f>
        <v>#REF!</v>
      </c>
    </row>
    <row r="322" spans="2:3" hidden="1" x14ac:dyDescent="0.35">
      <c r="B322" s="46" t="s">
        <v>183</v>
      </c>
      <c r="C322" s="146" t="e">
        <f>#REF!</f>
        <v>#REF!</v>
      </c>
    </row>
    <row r="323" spans="2:3" hidden="1" x14ac:dyDescent="0.35">
      <c r="B323" s="46" t="s">
        <v>184</v>
      </c>
      <c r="C323" s="146" t="e">
        <f>#REF!</f>
        <v>#REF!</v>
      </c>
    </row>
    <row r="324" spans="2:3" hidden="1" x14ac:dyDescent="0.35">
      <c r="B324" s="46" t="s">
        <v>185</v>
      </c>
      <c r="C324" s="146" t="e">
        <f>#REF!</f>
        <v>#REF!</v>
      </c>
    </row>
    <row r="325" spans="2:3" hidden="1" x14ac:dyDescent="0.35">
      <c r="B325" s="46" t="s">
        <v>186</v>
      </c>
      <c r="C325" s="146" t="e">
        <f>#REF!</f>
        <v>#REF!</v>
      </c>
    </row>
    <row r="326" spans="2:3" hidden="1" x14ac:dyDescent="0.35">
      <c r="B326" s="46" t="s">
        <v>187</v>
      </c>
      <c r="C326" s="146" t="e">
        <f>#REF!</f>
        <v>#REF!</v>
      </c>
    </row>
    <row r="327" spans="2:3" hidden="1" x14ac:dyDescent="0.35">
      <c r="B327" s="46" t="s">
        <v>188</v>
      </c>
      <c r="C327" s="146" t="e">
        <f>#REF!</f>
        <v>#REF!</v>
      </c>
    </row>
    <row r="328" spans="2:3" hidden="1" x14ac:dyDescent="0.35">
      <c r="B328" s="27"/>
      <c r="C328" s="105"/>
    </row>
    <row r="329" spans="2:3" hidden="1" x14ac:dyDescent="0.35">
      <c r="B329" s="90" t="s">
        <v>145</v>
      </c>
      <c r="C329" s="91"/>
    </row>
    <row r="330" spans="2:3" hidden="1" x14ac:dyDescent="0.35">
      <c r="B330" s="86" t="s">
        <v>287</v>
      </c>
      <c r="C330" s="87"/>
    </row>
    <row r="331" spans="2:3" hidden="1" x14ac:dyDescent="0.35">
      <c r="B331" s="108" t="s">
        <v>24</v>
      </c>
      <c r="C331" s="147" t="e">
        <f>#REF!</f>
        <v>#REF!</v>
      </c>
    </row>
    <row r="332" spans="2:3" hidden="1" x14ac:dyDescent="0.35">
      <c r="B332" s="46" t="s">
        <v>181</v>
      </c>
      <c r="C332" s="146" t="e">
        <f>#REF!</f>
        <v>#REF!</v>
      </c>
    </row>
    <row r="333" spans="2:3" hidden="1" x14ac:dyDescent="0.35">
      <c r="B333" s="46" t="s">
        <v>182</v>
      </c>
      <c r="C333" s="146" t="e">
        <f>#REF!</f>
        <v>#REF!</v>
      </c>
    </row>
    <row r="334" spans="2:3" hidden="1" x14ac:dyDescent="0.35">
      <c r="B334" s="46" t="s">
        <v>183</v>
      </c>
      <c r="C334" s="146" t="e">
        <f>#REF!</f>
        <v>#REF!</v>
      </c>
    </row>
    <row r="335" spans="2:3" hidden="1" x14ac:dyDescent="0.35">
      <c r="B335" s="46" t="s">
        <v>184</v>
      </c>
      <c r="C335" s="146" t="e">
        <f>#REF!</f>
        <v>#REF!</v>
      </c>
    </row>
    <row r="336" spans="2:3" hidden="1" x14ac:dyDescent="0.35">
      <c r="B336" s="46" t="s">
        <v>185</v>
      </c>
      <c r="C336" s="146" t="e">
        <f>#REF!</f>
        <v>#REF!</v>
      </c>
    </row>
    <row r="337" spans="2:3" hidden="1" x14ac:dyDescent="0.35">
      <c r="B337" s="46" t="s">
        <v>186</v>
      </c>
      <c r="C337" s="146" t="e">
        <f>#REF!</f>
        <v>#REF!</v>
      </c>
    </row>
    <row r="338" spans="2:3" hidden="1" x14ac:dyDescent="0.35">
      <c r="B338" s="46" t="s">
        <v>187</v>
      </c>
      <c r="C338" s="146" t="e">
        <f>#REF!</f>
        <v>#REF!</v>
      </c>
    </row>
    <row r="339" spans="2:3" hidden="1" x14ac:dyDescent="0.35">
      <c r="B339" s="46" t="s">
        <v>188</v>
      </c>
      <c r="C339" s="146" t="e">
        <f>#REF!</f>
        <v>#REF!</v>
      </c>
    </row>
    <row r="340" spans="2:3" hidden="1" x14ac:dyDescent="0.35">
      <c r="B340" s="27"/>
    </row>
    <row r="341" spans="2:3" hidden="1" x14ac:dyDescent="0.35">
      <c r="B341" s="86" t="s">
        <v>297</v>
      </c>
      <c r="C341" s="87"/>
    </row>
    <row r="342" spans="2:3" hidden="1" x14ac:dyDescent="0.35">
      <c r="B342" s="108" t="s">
        <v>24</v>
      </c>
      <c r="C342" s="147" t="e">
        <f>#REF!</f>
        <v>#REF!</v>
      </c>
    </row>
    <row r="343" spans="2:3" hidden="1" x14ac:dyDescent="0.35">
      <c r="B343" s="46" t="s">
        <v>181</v>
      </c>
      <c r="C343" s="146" t="s">
        <v>43</v>
      </c>
    </row>
    <row r="344" spans="2:3" hidden="1" x14ac:dyDescent="0.35">
      <c r="B344" s="46" t="s">
        <v>182</v>
      </c>
      <c r="C344" s="146" t="s">
        <v>43</v>
      </c>
    </row>
    <row r="345" spans="2:3" hidden="1" x14ac:dyDescent="0.35">
      <c r="B345" s="46" t="s">
        <v>183</v>
      </c>
      <c r="C345" s="146" t="s">
        <v>43</v>
      </c>
    </row>
    <row r="346" spans="2:3" hidden="1" x14ac:dyDescent="0.35">
      <c r="B346" s="46" t="s">
        <v>184</v>
      </c>
      <c r="C346" s="146" t="s">
        <v>43</v>
      </c>
    </row>
    <row r="347" spans="2:3" hidden="1" x14ac:dyDescent="0.35">
      <c r="B347" s="46" t="s">
        <v>185</v>
      </c>
      <c r="C347" s="146" t="s">
        <v>43</v>
      </c>
    </row>
    <row r="348" spans="2:3" hidden="1" x14ac:dyDescent="0.35">
      <c r="B348" s="46" t="s">
        <v>186</v>
      </c>
      <c r="C348" s="146" t="s">
        <v>43</v>
      </c>
    </row>
    <row r="349" spans="2:3" hidden="1" x14ac:dyDescent="0.35">
      <c r="B349" s="46" t="s">
        <v>187</v>
      </c>
      <c r="C349" s="146" t="s">
        <v>43</v>
      </c>
    </row>
    <row r="350" spans="2:3" hidden="1" x14ac:dyDescent="0.35">
      <c r="B350" s="46" t="s">
        <v>188</v>
      </c>
      <c r="C350" s="146" t="s">
        <v>43</v>
      </c>
    </row>
    <row r="351" spans="2:3" hidden="1" x14ac:dyDescent="0.35">
      <c r="B351" s="27"/>
    </row>
    <row r="352" spans="2:3" hidden="1" x14ac:dyDescent="0.35">
      <c r="B352" s="86" t="s">
        <v>288</v>
      </c>
      <c r="C352" s="87"/>
    </row>
    <row r="353" spans="2:3" hidden="1" x14ac:dyDescent="0.35">
      <c r="B353" s="108" t="s">
        <v>24</v>
      </c>
      <c r="C353" s="147" t="e">
        <f>#REF!</f>
        <v>#REF!</v>
      </c>
    </row>
    <row r="354" spans="2:3" hidden="1" x14ac:dyDescent="0.35">
      <c r="B354" s="46" t="s">
        <v>181</v>
      </c>
      <c r="C354" s="146" t="s">
        <v>43</v>
      </c>
    </row>
    <row r="355" spans="2:3" hidden="1" x14ac:dyDescent="0.35">
      <c r="B355" s="46" t="s">
        <v>182</v>
      </c>
      <c r="C355" s="146" t="s">
        <v>43</v>
      </c>
    </row>
    <row r="356" spans="2:3" hidden="1" x14ac:dyDescent="0.35">
      <c r="B356" s="46" t="s">
        <v>183</v>
      </c>
      <c r="C356" s="146" t="s">
        <v>43</v>
      </c>
    </row>
    <row r="357" spans="2:3" hidden="1" x14ac:dyDescent="0.35">
      <c r="B357" s="46" t="s">
        <v>184</v>
      </c>
      <c r="C357" s="146" t="s">
        <v>43</v>
      </c>
    </row>
    <row r="358" spans="2:3" hidden="1" x14ac:dyDescent="0.35">
      <c r="B358" s="46" t="s">
        <v>185</v>
      </c>
      <c r="C358" s="146" t="s">
        <v>43</v>
      </c>
    </row>
    <row r="359" spans="2:3" hidden="1" x14ac:dyDescent="0.35">
      <c r="B359" s="46" t="s">
        <v>186</v>
      </c>
      <c r="C359" s="146" t="s">
        <v>43</v>
      </c>
    </row>
    <row r="360" spans="2:3" hidden="1" x14ac:dyDescent="0.35">
      <c r="B360" s="46" t="s">
        <v>187</v>
      </c>
      <c r="C360" s="146" t="s">
        <v>43</v>
      </c>
    </row>
    <row r="361" spans="2:3" hidden="1" x14ac:dyDescent="0.35">
      <c r="B361" s="46" t="s">
        <v>188</v>
      </c>
      <c r="C361" s="146" t="s">
        <v>43</v>
      </c>
    </row>
    <row r="362" spans="2:3" hidden="1" x14ac:dyDescent="0.35">
      <c r="B362" s="27"/>
      <c r="C362" s="105"/>
    </row>
    <row r="363" spans="2:3" hidden="1" x14ac:dyDescent="0.35">
      <c r="B363" s="86" t="s">
        <v>303</v>
      </c>
      <c r="C363" s="87"/>
    </row>
    <row r="364" spans="2:3" hidden="1" x14ac:dyDescent="0.35">
      <c r="B364" s="108" t="s">
        <v>24</v>
      </c>
      <c r="C364" s="147" t="e">
        <f>#REF!</f>
        <v>#REF!</v>
      </c>
    </row>
    <row r="365" spans="2:3" hidden="1" x14ac:dyDescent="0.35">
      <c r="B365" s="46" t="s">
        <v>181</v>
      </c>
      <c r="C365" s="146" t="s">
        <v>43</v>
      </c>
    </row>
    <row r="366" spans="2:3" hidden="1" x14ac:dyDescent="0.35">
      <c r="B366" s="46" t="s">
        <v>182</v>
      </c>
      <c r="C366" s="146" t="s">
        <v>43</v>
      </c>
    </row>
    <row r="367" spans="2:3" hidden="1" x14ac:dyDescent="0.35">
      <c r="B367" s="46" t="s">
        <v>183</v>
      </c>
      <c r="C367" s="146" t="s">
        <v>43</v>
      </c>
    </row>
    <row r="368" spans="2:3" hidden="1" x14ac:dyDescent="0.35">
      <c r="B368" s="46" t="s">
        <v>184</v>
      </c>
      <c r="C368" s="146" t="s">
        <v>43</v>
      </c>
    </row>
    <row r="369" spans="2:3" hidden="1" x14ac:dyDescent="0.35">
      <c r="B369" s="46" t="s">
        <v>185</v>
      </c>
      <c r="C369" s="146" t="s">
        <v>43</v>
      </c>
    </row>
    <row r="370" spans="2:3" hidden="1" x14ac:dyDescent="0.35">
      <c r="B370" s="46" t="s">
        <v>186</v>
      </c>
      <c r="C370" s="146" t="s">
        <v>43</v>
      </c>
    </row>
    <row r="371" spans="2:3" hidden="1" x14ac:dyDescent="0.35">
      <c r="B371" s="46" t="s">
        <v>187</v>
      </c>
      <c r="C371" s="146" t="s">
        <v>43</v>
      </c>
    </row>
    <row r="372" spans="2:3" hidden="1" x14ac:dyDescent="0.35">
      <c r="B372" s="46" t="s">
        <v>188</v>
      </c>
      <c r="C372" s="146" t="s">
        <v>43</v>
      </c>
    </row>
    <row r="373" spans="2:3" hidden="1" x14ac:dyDescent="0.35">
      <c r="B373" s="27"/>
      <c r="C373" s="105"/>
    </row>
    <row r="374" spans="2:3" hidden="1" x14ac:dyDescent="0.35">
      <c r="B374" s="86" t="s">
        <v>304</v>
      </c>
      <c r="C374" s="87"/>
    </row>
    <row r="375" spans="2:3" hidden="1" x14ac:dyDescent="0.35">
      <c r="B375" s="108" t="s">
        <v>24</v>
      </c>
      <c r="C375" s="147" t="e">
        <f>#REF!</f>
        <v>#REF!</v>
      </c>
    </row>
    <row r="376" spans="2:3" hidden="1" x14ac:dyDescent="0.35">
      <c r="B376" s="46" t="s">
        <v>181</v>
      </c>
      <c r="C376" s="146" t="e">
        <f>#REF!</f>
        <v>#REF!</v>
      </c>
    </row>
    <row r="377" spans="2:3" hidden="1" x14ac:dyDescent="0.35">
      <c r="B377" s="46" t="s">
        <v>182</v>
      </c>
      <c r="C377" s="146" t="e">
        <f>#REF!</f>
        <v>#REF!</v>
      </c>
    </row>
    <row r="378" spans="2:3" hidden="1" x14ac:dyDescent="0.35">
      <c r="B378" s="46" t="s">
        <v>183</v>
      </c>
      <c r="C378" s="146" t="e">
        <f>#REF!</f>
        <v>#REF!</v>
      </c>
    </row>
    <row r="379" spans="2:3" hidden="1" x14ac:dyDescent="0.35">
      <c r="B379" s="46" t="s">
        <v>184</v>
      </c>
      <c r="C379" s="146" t="e">
        <f>#REF!</f>
        <v>#REF!</v>
      </c>
    </row>
    <row r="380" spans="2:3" hidden="1" x14ac:dyDescent="0.35">
      <c r="B380" s="46" t="s">
        <v>185</v>
      </c>
      <c r="C380" s="146" t="e">
        <f>#REF!</f>
        <v>#REF!</v>
      </c>
    </row>
    <row r="381" spans="2:3" hidden="1" x14ac:dyDescent="0.35">
      <c r="B381" s="46" t="s">
        <v>186</v>
      </c>
      <c r="C381" s="146" t="e">
        <f>#REF!</f>
        <v>#REF!</v>
      </c>
    </row>
    <row r="382" spans="2:3" hidden="1" x14ac:dyDescent="0.35">
      <c r="B382" s="46" t="s">
        <v>187</v>
      </c>
      <c r="C382" s="146" t="e">
        <f>#REF!</f>
        <v>#REF!</v>
      </c>
    </row>
    <row r="383" spans="2:3" hidden="1" x14ac:dyDescent="0.35">
      <c r="B383" s="46" t="s">
        <v>188</v>
      </c>
      <c r="C383" s="146" t="e">
        <f>#REF!</f>
        <v>#REF!</v>
      </c>
    </row>
    <row r="384" spans="2:3" hidden="1" x14ac:dyDescent="0.35">
      <c r="B384" s="27"/>
      <c r="C384" s="105"/>
    </row>
    <row r="385" spans="2:3" hidden="1" x14ac:dyDescent="0.35">
      <c r="B385" s="86" t="s">
        <v>299</v>
      </c>
      <c r="C385" s="87"/>
    </row>
    <row r="386" spans="2:3" hidden="1" x14ac:dyDescent="0.35">
      <c r="B386" s="108" t="s">
        <v>24</v>
      </c>
      <c r="C386" s="147" t="e">
        <f>#REF!</f>
        <v>#REF!</v>
      </c>
    </row>
    <row r="387" spans="2:3" hidden="1" x14ac:dyDescent="0.35">
      <c r="B387" s="46" t="s">
        <v>181</v>
      </c>
      <c r="C387" s="146" t="s">
        <v>43</v>
      </c>
    </row>
    <row r="388" spans="2:3" hidden="1" x14ac:dyDescent="0.35">
      <c r="B388" s="46" t="s">
        <v>182</v>
      </c>
      <c r="C388" s="146" t="s">
        <v>43</v>
      </c>
    </row>
    <row r="389" spans="2:3" hidden="1" x14ac:dyDescent="0.35">
      <c r="B389" s="46" t="s">
        <v>183</v>
      </c>
      <c r="C389" s="146" t="s">
        <v>43</v>
      </c>
    </row>
    <row r="390" spans="2:3" hidden="1" x14ac:dyDescent="0.35">
      <c r="B390" s="46" t="s">
        <v>184</v>
      </c>
      <c r="C390" s="146" t="s">
        <v>43</v>
      </c>
    </row>
    <row r="391" spans="2:3" hidden="1" x14ac:dyDescent="0.35">
      <c r="B391" s="46" t="s">
        <v>185</v>
      </c>
      <c r="C391" s="146" t="s">
        <v>43</v>
      </c>
    </row>
    <row r="392" spans="2:3" hidden="1" x14ac:dyDescent="0.35">
      <c r="B392" s="46" t="s">
        <v>186</v>
      </c>
      <c r="C392" s="146" t="s">
        <v>43</v>
      </c>
    </row>
    <row r="393" spans="2:3" hidden="1" x14ac:dyDescent="0.35">
      <c r="B393" s="46" t="s">
        <v>187</v>
      </c>
      <c r="C393" s="146" t="s">
        <v>43</v>
      </c>
    </row>
    <row r="394" spans="2:3" hidden="1" x14ac:dyDescent="0.35">
      <c r="B394" s="46" t="s">
        <v>188</v>
      </c>
      <c r="C394" s="146" t="s">
        <v>43</v>
      </c>
    </row>
    <row r="395" spans="2:3" hidden="1" x14ac:dyDescent="0.35">
      <c r="B395" s="27"/>
      <c r="C395" s="105"/>
    </row>
    <row r="396" spans="2:3" hidden="1" x14ac:dyDescent="0.35">
      <c r="B396" s="86" t="s">
        <v>290</v>
      </c>
      <c r="C396" s="87"/>
    </row>
    <row r="397" spans="2:3" hidden="1" x14ac:dyDescent="0.35">
      <c r="B397" s="108" t="s">
        <v>24</v>
      </c>
      <c r="C397" s="147" t="e">
        <f>#REF!</f>
        <v>#REF!</v>
      </c>
    </row>
    <row r="398" spans="2:3" hidden="1" x14ac:dyDescent="0.35">
      <c r="B398" s="46" t="s">
        <v>181</v>
      </c>
      <c r="C398" s="146" t="e">
        <f>#REF!</f>
        <v>#REF!</v>
      </c>
    </row>
    <row r="399" spans="2:3" hidden="1" x14ac:dyDescent="0.35">
      <c r="B399" s="46" t="s">
        <v>182</v>
      </c>
      <c r="C399" s="146" t="e">
        <f>#REF!</f>
        <v>#REF!</v>
      </c>
    </row>
    <row r="400" spans="2:3" hidden="1" x14ac:dyDescent="0.35">
      <c r="B400" s="46" t="s">
        <v>183</v>
      </c>
      <c r="C400" s="146" t="e">
        <f>#REF!</f>
        <v>#REF!</v>
      </c>
    </row>
    <row r="401" spans="2:3" hidden="1" x14ac:dyDescent="0.35">
      <c r="B401" s="46" t="s">
        <v>184</v>
      </c>
      <c r="C401" s="146" t="e">
        <f>#REF!</f>
        <v>#REF!</v>
      </c>
    </row>
    <row r="402" spans="2:3" hidden="1" x14ac:dyDescent="0.35">
      <c r="B402" s="46" t="s">
        <v>185</v>
      </c>
      <c r="C402" s="146" t="e">
        <f>#REF!</f>
        <v>#REF!</v>
      </c>
    </row>
    <row r="403" spans="2:3" hidden="1" x14ac:dyDescent="0.35">
      <c r="B403" s="46" t="s">
        <v>186</v>
      </c>
      <c r="C403" s="146" t="e">
        <f>#REF!</f>
        <v>#REF!</v>
      </c>
    </row>
    <row r="404" spans="2:3" hidden="1" x14ac:dyDescent="0.35">
      <c r="B404" s="46" t="s">
        <v>187</v>
      </c>
      <c r="C404" s="146" t="e">
        <f>#REF!</f>
        <v>#REF!</v>
      </c>
    </row>
    <row r="405" spans="2:3" hidden="1" x14ac:dyDescent="0.35">
      <c r="B405" s="46" t="s">
        <v>188</v>
      </c>
      <c r="C405" s="146" t="e">
        <f>#REF!</f>
        <v>#REF!</v>
      </c>
    </row>
    <row r="406" spans="2:3" hidden="1" x14ac:dyDescent="0.35">
      <c r="B406" s="27"/>
      <c r="C406" s="105"/>
    </row>
    <row r="407" spans="2:3" hidden="1" x14ac:dyDescent="0.35">
      <c r="B407" s="86" t="s">
        <v>300</v>
      </c>
      <c r="C407" s="87"/>
    </row>
    <row r="408" spans="2:3" hidden="1" x14ac:dyDescent="0.35">
      <c r="B408" s="108" t="s">
        <v>24</v>
      </c>
      <c r="C408" s="147" t="e">
        <f>#REF!</f>
        <v>#REF!</v>
      </c>
    </row>
    <row r="409" spans="2:3" hidden="1" x14ac:dyDescent="0.35">
      <c r="B409" s="46" t="s">
        <v>181</v>
      </c>
      <c r="C409" s="146" t="e">
        <f>#REF!</f>
        <v>#REF!</v>
      </c>
    </row>
    <row r="410" spans="2:3" hidden="1" x14ac:dyDescent="0.35">
      <c r="B410" s="46" t="s">
        <v>182</v>
      </c>
      <c r="C410" s="146" t="e">
        <f>#REF!</f>
        <v>#REF!</v>
      </c>
    </row>
    <row r="411" spans="2:3" hidden="1" x14ac:dyDescent="0.35">
      <c r="B411" s="46" t="s">
        <v>183</v>
      </c>
      <c r="C411" s="146" t="e">
        <f>#REF!</f>
        <v>#REF!</v>
      </c>
    </row>
    <row r="412" spans="2:3" hidden="1" x14ac:dyDescent="0.35">
      <c r="B412" s="46" t="s">
        <v>184</v>
      </c>
      <c r="C412" s="146" t="e">
        <f>#REF!</f>
        <v>#REF!</v>
      </c>
    </row>
    <row r="413" spans="2:3" hidden="1" x14ac:dyDescent="0.35">
      <c r="B413" s="46" t="s">
        <v>185</v>
      </c>
      <c r="C413" s="146" t="e">
        <f>#REF!</f>
        <v>#REF!</v>
      </c>
    </row>
    <row r="414" spans="2:3" hidden="1" x14ac:dyDescent="0.35">
      <c r="B414" s="46" t="s">
        <v>186</v>
      </c>
      <c r="C414" s="146" t="e">
        <f>#REF!</f>
        <v>#REF!</v>
      </c>
    </row>
    <row r="415" spans="2:3" hidden="1" x14ac:dyDescent="0.35">
      <c r="B415" s="46" t="s">
        <v>187</v>
      </c>
      <c r="C415" s="146" t="e">
        <f>#REF!</f>
        <v>#REF!</v>
      </c>
    </row>
    <row r="416" spans="2:3" hidden="1" x14ac:dyDescent="0.35">
      <c r="B416" s="46" t="s">
        <v>188</v>
      </c>
      <c r="C416" s="146" t="e">
        <f>#REF!</f>
        <v>#REF!</v>
      </c>
    </row>
    <row r="417" spans="2:3" hidden="1" x14ac:dyDescent="0.35">
      <c r="B417" s="27"/>
      <c r="C417" s="105"/>
    </row>
    <row r="418" spans="2:3" hidden="1" x14ac:dyDescent="0.35">
      <c r="B418" s="86" t="s">
        <v>291</v>
      </c>
      <c r="C418" s="87"/>
    </row>
    <row r="419" spans="2:3" hidden="1" x14ac:dyDescent="0.35">
      <c r="B419" s="108" t="s">
        <v>24</v>
      </c>
      <c r="C419" s="147" t="e">
        <f>#REF!</f>
        <v>#REF!</v>
      </c>
    </row>
    <row r="420" spans="2:3" hidden="1" x14ac:dyDescent="0.35">
      <c r="B420" s="46" t="s">
        <v>181</v>
      </c>
      <c r="C420" s="146" t="e">
        <f>#REF!</f>
        <v>#REF!</v>
      </c>
    </row>
    <row r="421" spans="2:3" hidden="1" x14ac:dyDescent="0.35">
      <c r="B421" s="46" t="s">
        <v>182</v>
      </c>
      <c r="C421" s="146" t="e">
        <f>#REF!</f>
        <v>#REF!</v>
      </c>
    </row>
    <row r="422" spans="2:3" hidden="1" x14ac:dyDescent="0.35">
      <c r="B422" s="46" t="s">
        <v>183</v>
      </c>
      <c r="C422" s="146" t="e">
        <f>#REF!</f>
        <v>#REF!</v>
      </c>
    </row>
    <row r="423" spans="2:3" hidden="1" x14ac:dyDescent="0.35">
      <c r="B423" s="46" t="s">
        <v>184</v>
      </c>
      <c r="C423" s="146" t="e">
        <f>#REF!</f>
        <v>#REF!</v>
      </c>
    </row>
    <row r="424" spans="2:3" hidden="1" x14ac:dyDescent="0.35">
      <c r="B424" s="46" t="s">
        <v>185</v>
      </c>
      <c r="C424" s="146" t="e">
        <f>#REF!</f>
        <v>#REF!</v>
      </c>
    </row>
    <row r="425" spans="2:3" hidden="1" x14ac:dyDescent="0.35">
      <c r="B425" s="46" t="s">
        <v>186</v>
      </c>
      <c r="C425" s="146" t="e">
        <f>#REF!</f>
        <v>#REF!</v>
      </c>
    </row>
    <row r="426" spans="2:3" hidden="1" x14ac:dyDescent="0.35">
      <c r="B426" s="46" t="s">
        <v>187</v>
      </c>
      <c r="C426" s="146" t="e">
        <f>#REF!</f>
        <v>#REF!</v>
      </c>
    </row>
    <row r="427" spans="2:3" hidden="1" x14ac:dyDescent="0.35">
      <c r="B427" s="46" t="s">
        <v>188</v>
      </c>
      <c r="C427" s="146" t="e">
        <f>#REF!</f>
        <v>#REF!</v>
      </c>
    </row>
    <row r="428" spans="2:3" hidden="1" x14ac:dyDescent="0.35">
      <c r="B428" s="27"/>
      <c r="C428" s="105"/>
    </row>
    <row r="429" spans="2:3" hidden="1" x14ac:dyDescent="0.35">
      <c r="B429" s="86" t="s">
        <v>301</v>
      </c>
      <c r="C429" s="87"/>
    </row>
    <row r="430" spans="2:3" hidden="1" x14ac:dyDescent="0.35">
      <c r="B430" s="108" t="s">
        <v>24</v>
      </c>
      <c r="C430" s="147" t="e">
        <f>#REF!</f>
        <v>#REF!</v>
      </c>
    </row>
    <row r="431" spans="2:3" hidden="1" x14ac:dyDescent="0.35">
      <c r="B431" s="46" t="s">
        <v>181</v>
      </c>
      <c r="C431" s="146" t="e">
        <f>#REF!</f>
        <v>#REF!</v>
      </c>
    </row>
    <row r="432" spans="2:3" hidden="1" x14ac:dyDescent="0.35">
      <c r="B432" s="46" t="s">
        <v>182</v>
      </c>
      <c r="C432" s="146" t="e">
        <f>#REF!</f>
        <v>#REF!</v>
      </c>
    </row>
    <row r="433" spans="2:3" hidden="1" x14ac:dyDescent="0.35">
      <c r="B433" s="46" t="s">
        <v>183</v>
      </c>
      <c r="C433" s="146" t="e">
        <f>#REF!</f>
        <v>#REF!</v>
      </c>
    </row>
    <row r="434" spans="2:3" hidden="1" x14ac:dyDescent="0.35">
      <c r="B434" s="46" t="s">
        <v>184</v>
      </c>
      <c r="C434" s="146" t="e">
        <f>#REF!</f>
        <v>#REF!</v>
      </c>
    </row>
    <row r="435" spans="2:3" hidden="1" x14ac:dyDescent="0.35">
      <c r="B435" s="46" t="s">
        <v>185</v>
      </c>
      <c r="C435" s="146" t="e">
        <f>#REF!</f>
        <v>#REF!</v>
      </c>
    </row>
    <row r="436" spans="2:3" hidden="1" x14ac:dyDescent="0.35">
      <c r="B436" s="46" t="s">
        <v>186</v>
      </c>
      <c r="C436" s="146" t="e">
        <f>#REF!</f>
        <v>#REF!</v>
      </c>
    </row>
    <row r="437" spans="2:3" hidden="1" x14ac:dyDescent="0.35">
      <c r="B437" s="46" t="s">
        <v>187</v>
      </c>
      <c r="C437" s="146" t="e">
        <f>#REF!</f>
        <v>#REF!</v>
      </c>
    </row>
    <row r="438" spans="2:3" ht="15" hidden="1" thickBot="1" x14ac:dyDescent="0.4">
      <c r="B438" s="50" t="s">
        <v>188</v>
      </c>
      <c r="C438" s="146" t="e">
        <f>#REF!</f>
        <v>#REF!</v>
      </c>
    </row>
    <row r="439" spans="2:3" hidden="1" x14ac:dyDescent="0.35"/>
    <row r="440" spans="2:3" hidden="1" x14ac:dyDescent="0.35"/>
  </sheetData>
  <phoneticPr fontId="5"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895C-31D3-44CA-AF51-1F4302AA3770}">
  <sheetPr>
    <tabColor theme="8" tint="0.59999389629810485"/>
  </sheetPr>
  <dimension ref="B1:E291"/>
  <sheetViews>
    <sheetView showGridLines="0" zoomScaleNormal="100" zoomScaleSheetLayoutView="4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47.1796875" style="8" customWidth="1"/>
    <col min="3" max="5" width="18.1796875" style="31" customWidth="1"/>
    <col min="6" max="16384" width="9.453125" style="31"/>
  </cols>
  <sheetData>
    <row r="1" spans="2:5" ht="6.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47" t="s">
        <v>22</v>
      </c>
      <c r="D5" s="47" t="s">
        <v>22</v>
      </c>
      <c r="E5" s="47" t="s">
        <v>22</v>
      </c>
    </row>
    <row r="6" spans="2:5" x14ac:dyDescent="0.35">
      <c r="B6" s="156"/>
      <c r="C6" s="40">
        <f>'Germany Crunch Output'!G21</f>
        <v>37.351546859310353</v>
      </c>
      <c r="D6" s="40">
        <f>'Germany Crunch Output'!H21</f>
        <v>40.748368028466011</v>
      </c>
      <c r="E6" s="40">
        <f>'Germany Crunch Output'!I21</f>
        <v>38.608389558796581</v>
      </c>
    </row>
    <row r="7" spans="2:5" x14ac:dyDescent="0.35">
      <c r="B7" s="41" t="s">
        <v>336</v>
      </c>
      <c r="C7" s="42">
        <f>'Germany Crunch Output'!G7</f>
        <v>0.51919560826706634</v>
      </c>
      <c r="D7" s="42">
        <f>'Germany Crunch Output'!H7</f>
        <v>0.53085982905567719</v>
      </c>
      <c r="E7" s="42">
        <f>'Germany Crunch Output'!I7</f>
        <v>0.51806757285293203</v>
      </c>
    </row>
    <row r="8" spans="2:5" x14ac:dyDescent="0.35">
      <c r="B8" s="41" t="s">
        <v>194</v>
      </c>
      <c r="C8" s="42">
        <f>'Germany Crunch Output'!G8</f>
        <v>0.33512425205897067</v>
      </c>
      <c r="D8" s="42">
        <f>'Germany Crunch Output'!H8</f>
        <v>0.34576402217330587</v>
      </c>
      <c r="E8" s="42">
        <f>'Germany Crunch Output'!I8</f>
        <v>0.34994874988210201</v>
      </c>
    </row>
    <row r="9" spans="2:5" x14ac:dyDescent="0.35">
      <c r="B9" s="41" t="s">
        <v>195</v>
      </c>
      <c r="C9" s="42">
        <f>'Germany Crunch Output'!G9</f>
        <v>0.1456801396739629</v>
      </c>
      <c r="D9" s="42">
        <f>'Germany Crunch Output'!H9</f>
        <v>0.12337614877101701</v>
      </c>
      <c r="E9" s="42">
        <f>'Germany Crunch Output'!I9</f>
        <v>0.13198367726496621</v>
      </c>
    </row>
    <row r="10" spans="2:5" x14ac:dyDescent="0.35">
      <c r="B10" s="28" t="s">
        <v>196</v>
      </c>
      <c r="C10" s="43">
        <f>'Germany Crunch Output'!G10</f>
        <v>0.29116012508173827</v>
      </c>
      <c r="D10" s="43">
        <f>'Germany Crunch Output'!H10</f>
        <v>0.29674692376188999</v>
      </c>
      <c r="E10" s="43">
        <f>'Germany Crunch Output'!I10</f>
        <v>0.28992645558549318</v>
      </c>
    </row>
    <row r="11" spans="2:5" x14ac:dyDescent="0.35">
      <c r="B11" s="28" t="s">
        <v>197</v>
      </c>
      <c r="C11" s="43">
        <f>'Germany Crunch Output'!G11</f>
        <v>0.2280354831853281</v>
      </c>
      <c r="D11" s="43">
        <f>'Germany Crunch Output'!H11</f>
        <v>0.23411290529378709</v>
      </c>
      <c r="E11" s="43">
        <f>'Germany Crunch Output'!I11</f>
        <v>0.2281411172674388</v>
      </c>
    </row>
    <row r="12" spans="2:5" x14ac:dyDescent="0.35">
      <c r="B12" s="28" t="s">
        <v>198</v>
      </c>
      <c r="C12" s="43">
        <f>'Germany Crunch Output'!G12</f>
        <v>0.25052701537079353</v>
      </c>
      <c r="D12" s="43">
        <f>'Germany Crunch Output'!H12</f>
        <v>0.25709205497500309</v>
      </c>
      <c r="E12" s="43">
        <f>'Germany Crunch Output'!I12</f>
        <v>0.25989679049201142</v>
      </c>
    </row>
    <row r="13" spans="2:5" x14ac:dyDescent="0.35">
      <c r="B13" s="28" t="s">
        <v>199</v>
      </c>
      <c r="C13" s="43">
        <f>'Germany Crunch Output'!G13</f>
        <v>8.4597236688177174E-2</v>
      </c>
      <c r="D13" s="43">
        <f>'Germany Crunch Output'!H13</f>
        <v>8.8671967198302878E-2</v>
      </c>
      <c r="E13" s="43">
        <f>'Germany Crunch Output'!I13</f>
        <v>9.0051959390090586E-2</v>
      </c>
    </row>
    <row r="14" spans="2:5" s="34" customFormat="1" x14ac:dyDescent="0.35">
      <c r="B14" s="28" t="s">
        <v>200</v>
      </c>
      <c r="C14" s="43">
        <f>'Germany Crunch Output'!G14</f>
        <v>5.8065004187821873E-2</v>
      </c>
      <c r="D14" s="43">
        <f>'Germany Crunch Output'!H14</f>
        <v>4.7857094333393371E-2</v>
      </c>
      <c r="E14" s="43">
        <f>'Germany Crunch Output'!I14</f>
        <v>4.69452980932187E-2</v>
      </c>
    </row>
    <row r="15" spans="2:5" s="35" customFormat="1" x14ac:dyDescent="0.3">
      <c r="B15" s="44" t="s">
        <v>201</v>
      </c>
      <c r="C15" s="43">
        <f>'Germany Crunch Output'!G15</f>
        <v>4.4852787273343991E-2</v>
      </c>
      <c r="D15" s="43">
        <f>'Germany Crunch Output'!H15</f>
        <v>3.696760383780779E-2</v>
      </c>
      <c r="E15" s="43">
        <f>'Germany Crunch Output'!I15</f>
        <v>4.4694224124033823E-2</v>
      </c>
    </row>
    <row r="16" spans="2:5" s="36" customFormat="1" x14ac:dyDescent="0.3">
      <c r="B16" s="44" t="s">
        <v>202</v>
      </c>
      <c r="C16" s="43">
        <f>'Germany Crunch Output'!G16</f>
        <v>9.9705346370526117E-3</v>
      </c>
      <c r="D16" s="43">
        <f>'Germany Crunch Output'!H16</f>
        <v>8.2177005470684024E-3</v>
      </c>
      <c r="E16" s="43">
        <f>'Germany Crunch Output'!I16</f>
        <v>8.2494699962284562E-3</v>
      </c>
    </row>
    <row r="17" spans="2:5" s="36" customFormat="1" x14ac:dyDescent="0.3">
      <c r="B17" s="44">
        <v>3</v>
      </c>
      <c r="C17" s="43">
        <f>'Germany Crunch Output'!G17</f>
        <v>9.2906878304973503E-3</v>
      </c>
      <c r="D17" s="43">
        <f>'Germany Crunch Output'!H17</f>
        <v>7.6573717705762951E-3</v>
      </c>
      <c r="E17" s="43">
        <f>'Germany Crunch Output'!I17</f>
        <v>4.5689004005515371E-3</v>
      </c>
    </row>
    <row r="18" spans="2:5" s="36" customFormat="1" x14ac:dyDescent="0.3">
      <c r="B18" s="44">
        <v>2</v>
      </c>
      <c r="C18" s="43">
        <f>'Germany Crunch Output'!G18</f>
        <v>0</v>
      </c>
      <c r="D18" s="43">
        <f>'Germany Crunch Output'!H18</f>
        <v>0</v>
      </c>
      <c r="E18" s="43">
        <f>'Germany Crunch Output'!I18</f>
        <v>3.70224190795708E-3</v>
      </c>
    </row>
    <row r="19" spans="2:5" s="36" customFormat="1" x14ac:dyDescent="0.3">
      <c r="B19" s="44" t="s">
        <v>203</v>
      </c>
      <c r="C19" s="43">
        <f>'Germany Crunch Output'!G19</f>
        <v>0</v>
      </c>
      <c r="D19" s="43">
        <f>'Germany Crunch Output'!H19</f>
        <v>0</v>
      </c>
      <c r="E19" s="43">
        <f>'Germany Crunch Output'!I19</f>
        <v>0</v>
      </c>
    </row>
    <row r="20" spans="2:5" s="36" customFormat="1" x14ac:dyDescent="0.3">
      <c r="B20" s="44" t="s">
        <v>204</v>
      </c>
      <c r="C20" s="43">
        <f>'Germany Crunch Output'!G20</f>
        <v>2.3501125745247101E-2</v>
      </c>
      <c r="D20" s="43">
        <f>'Germany Crunch Output'!H20</f>
        <v>2.2676378282171141E-2</v>
      </c>
      <c r="E20" s="43">
        <f>'Germany Crunch Output'!I20</f>
        <v>2.382354274297659E-2</v>
      </c>
    </row>
    <row r="21" spans="2:5" s="36" customFormat="1" x14ac:dyDescent="0.3">
      <c r="B21" s="56" t="s">
        <v>24</v>
      </c>
      <c r="C21" s="60">
        <f>'Germany Crunch Output'!G6</f>
        <v>210</v>
      </c>
      <c r="D21" s="60">
        <f>'Germany Crunch Output'!H6</f>
        <v>255</v>
      </c>
      <c r="E21" s="60">
        <f>'Germany Crunch Output'!I6</f>
        <v>256</v>
      </c>
    </row>
    <row r="22" spans="2:5" x14ac:dyDescent="0.35">
      <c r="B22" s="44"/>
      <c r="C22" s="109"/>
      <c r="D22" s="109"/>
      <c r="E22" s="109"/>
    </row>
    <row r="23" spans="2:5" x14ac:dyDescent="0.35">
      <c r="B23" s="99" t="s">
        <v>36</v>
      </c>
      <c r="C23" s="39" t="s">
        <v>22</v>
      </c>
      <c r="D23" s="39" t="s">
        <v>22</v>
      </c>
      <c r="E23" s="39" t="s">
        <v>22</v>
      </c>
    </row>
    <row r="24" spans="2:5" x14ac:dyDescent="0.35">
      <c r="B24" s="100"/>
      <c r="C24" s="40" t="s">
        <v>43</v>
      </c>
      <c r="D24" s="40">
        <f>'Germany Crunch Output'!H97</f>
        <v>27.770398017461559</v>
      </c>
      <c r="E24" s="40">
        <f>'Germany Crunch Output'!I97</f>
        <v>25.112410531131701</v>
      </c>
    </row>
    <row r="25" spans="2:5" x14ac:dyDescent="0.35">
      <c r="B25" s="41" t="s">
        <v>336</v>
      </c>
      <c r="C25" s="42" t="s">
        <v>43</v>
      </c>
      <c r="D25" s="42">
        <f>'Germany Crunch Output'!H83</f>
        <v>0.49966713942479613</v>
      </c>
      <c r="E25" s="42">
        <f>'Germany Crunch Output'!I83</f>
        <v>0.46763512045081851</v>
      </c>
    </row>
    <row r="26" spans="2:5" x14ac:dyDescent="0.35">
      <c r="B26" s="41" t="s">
        <v>194</v>
      </c>
      <c r="C26" s="42" t="s">
        <v>43</v>
      </c>
      <c r="D26" s="42">
        <f>'Germany Crunch Output'!H84</f>
        <v>0.27836970132502359</v>
      </c>
      <c r="E26" s="42">
        <f>'Germany Crunch Output'!I84</f>
        <v>0.31585386440968011</v>
      </c>
    </row>
    <row r="27" spans="2:5" x14ac:dyDescent="0.35">
      <c r="B27" s="41" t="s">
        <v>195</v>
      </c>
      <c r="C27" s="42" t="s">
        <v>43</v>
      </c>
      <c r="D27" s="42">
        <f>'Germany Crunch Output'!H85</f>
        <v>0.22196315925018051</v>
      </c>
      <c r="E27" s="42">
        <f>'Germany Crunch Output'!I85</f>
        <v>0.21651101513950149</v>
      </c>
    </row>
    <row r="28" spans="2:5" x14ac:dyDescent="0.35">
      <c r="B28" s="28" t="s">
        <v>196</v>
      </c>
      <c r="C28" s="43" t="s">
        <v>43</v>
      </c>
      <c r="D28" s="43">
        <f>'Germany Crunch Output'!H86</f>
        <v>0.25197319796905898</v>
      </c>
      <c r="E28" s="43">
        <f>'Germany Crunch Output'!I86</f>
        <v>0.26665739863044058</v>
      </c>
    </row>
    <row r="29" spans="2:5" x14ac:dyDescent="0.35">
      <c r="B29" s="28" t="s">
        <v>197</v>
      </c>
      <c r="C29" s="43" t="s">
        <v>43</v>
      </c>
      <c r="D29" s="43">
        <f>'Germany Crunch Output'!H87</f>
        <v>0.24769394145573709</v>
      </c>
      <c r="E29" s="43">
        <f>'Germany Crunch Output'!I87</f>
        <v>0.2009777218203779</v>
      </c>
    </row>
    <row r="30" spans="2:5" x14ac:dyDescent="0.35">
      <c r="B30" s="28" t="s">
        <v>198</v>
      </c>
      <c r="C30" s="43" t="s">
        <v>43</v>
      </c>
      <c r="D30" s="43">
        <f>'Germany Crunch Output'!H88</f>
        <v>0.1396273987213805</v>
      </c>
      <c r="E30" s="43">
        <f>'Germany Crunch Output'!I88</f>
        <v>0.18333383290888811</v>
      </c>
    </row>
    <row r="31" spans="2:5" x14ac:dyDescent="0.35">
      <c r="B31" s="28" t="s">
        <v>199</v>
      </c>
      <c r="C31" s="43" t="s">
        <v>43</v>
      </c>
      <c r="D31" s="43">
        <f>'Germany Crunch Output'!H89</f>
        <v>0.13874230260364309</v>
      </c>
      <c r="E31" s="43">
        <f>'Germany Crunch Output'!I89</f>
        <v>0.132520031500792</v>
      </c>
    </row>
    <row r="32" spans="2:5" x14ac:dyDescent="0.35">
      <c r="B32" s="28" t="s">
        <v>200</v>
      </c>
      <c r="C32" s="43" t="s">
        <v>43</v>
      </c>
      <c r="D32" s="43">
        <f>'Germany Crunch Output'!H90</f>
        <v>5.8508876671076453E-2</v>
      </c>
      <c r="E32" s="43">
        <f>'Germany Crunch Output'!I90</f>
        <v>6.4514409672567413E-2</v>
      </c>
    </row>
    <row r="33" spans="2:5" x14ac:dyDescent="0.35">
      <c r="B33" s="44" t="s">
        <v>201</v>
      </c>
      <c r="C33" s="43" t="s">
        <v>43</v>
      </c>
      <c r="D33" s="43">
        <f>'Germany Crunch Output'!H91</f>
        <v>8.9564336494625224E-2</v>
      </c>
      <c r="E33" s="43">
        <f>'Germany Crunch Output'!I91</f>
        <v>9.8267875730224205E-2</v>
      </c>
    </row>
    <row r="34" spans="2:5" x14ac:dyDescent="0.35">
      <c r="B34" s="44" t="s">
        <v>202</v>
      </c>
      <c r="C34" s="43" t="s">
        <v>43</v>
      </c>
      <c r="D34" s="43">
        <f>'Germany Crunch Output'!H92</f>
        <v>7.090680019660324E-3</v>
      </c>
      <c r="E34" s="43">
        <f>'Germany Crunch Output'!I92</f>
        <v>0</v>
      </c>
    </row>
    <row r="35" spans="2:5" x14ac:dyDescent="0.35">
      <c r="B35" s="44">
        <v>3</v>
      </c>
      <c r="C35" s="43" t="s">
        <v>43</v>
      </c>
      <c r="D35" s="43">
        <f>'Germany Crunch Output'!H93</f>
        <v>1.9832187646420609E-2</v>
      </c>
      <c r="E35" s="43">
        <f>'Germany Crunch Output'!I93</f>
        <v>1.921281084257509E-2</v>
      </c>
    </row>
    <row r="36" spans="2:5" x14ac:dyDescent="0.35">
      <c r="B36" s="44">
        <v>2</v>
      </c>
      <c r="C36" s="43" t="s">
        <v>43</v>
      </c>
      <c r="D36" s="43">
        <f>'Germany Crunch Output'!H94</f>
        <v>1.0272293610969509E-2</v>
      </c>
      <c r="E36" s="43">
        <f>'Germany Crunch Output'!I94</f>
        <v>9.9514807738605663E-3</v>
      </c>
    </row>
    <row r="37" spans="2:5" x14ac:dyDescent="0.35">
      <c r="B37" s="44" t="s">
        <v>203</v>
      </c>
      <c r="C37" s="43" t="s">
        <v>43</v>
      </c>
      <c r="D37" s="43">
        <f>'Germany Crunch Output'!H95</f>
        <v>0</v>
      </c>
      <c r="E37" s="43">
        <f>'Germany Crunch Output'!I95</f>
        <v>0</v>
      </c>
    </row>
    <row r="38" spans="2:5" x14ac:dyDescent="0.35">
      <c r="B38" s="44" t="s">
        <v>204</v>
      </c>
      <c r="C38" s="43" t="s">
        <v>43</v>
      </c>
      <c r="D38" s="43">
        <f>'Germany Crunch Output'!H96</f>
        <v>3.6694784807428382E-2</v>
      </c>
      <c r="E38" s="43">
        <f>'Germany Crunch Output'!I96</f>
        <v>2.4564438120274239E-2</v>
      </c>
    </row>
    <row r="39" spans="2:5" s="36" customFormat="1" x14ac:dyDescent="0.3">
      <c r="B39" s="56" t="s">
        <v>24</v>
      </c>
      <c r="C39" s="60">
        <f>'Germany Crunch Output'!G82</f>
        <v>91</v>
      </c>
      <c r="D39" s="60">
        <f>'Germany Crunch Output'!H82</f>
        <v>106</v>
      </c>
      <c r="E39" s="60">
        <f>'Germany Crunch Output'!I82</f>
        <v>109</v>
      </c>
    </row>
    <row r="40" spans="2:5" x14ac:dyDescent="0.35">
      <c r="B40" s="45"/>
      <c r="C40" s="33"/>
      <c r="D40" s="33"/>
      <c r="E40" s="33"/>
    </row>
    <row r="41" spans="2:5" x14ac:dyDescent="0.35">
      <c r="B41" s="99" t="s">
        <v>37</v>
      </c>
      <c r="C41" s="39" t="s">
        <v>22</v>
      </c>
      <c r="D41" s="39" t="s">
        <v>22</v>
      </c>
      <c r="E41" s="39" t="s">
        <v>22</v>
      </c>
    </row>
    <row r="42" spans="2:5" x14ac:dyDescent="0.35">
      <c r="B42" s="100"/>
      <c r="C42" s="40" t="s">
        <v>43</v>
      </c>
      <c r="D42" s="40" t="s">
        <v>43</v>
      </c>
      <c r="E42" s="40" t="s">
        <v>43</v>
      </c>
    </row>
    <row r="43" spans="2:5" x14ac:dyDescent="0.35">
      <c r="B43" s="41" t="s">
        <v>336</v>
      </c>
      <c r="C43" s="42" t="s">
        <v>43</v>
      </c>
      <c r="D43" s="42" t="s">
        <v>43</v>
      </c>
      <c r="E43" s="42" t="s">
        <v>43</v>
      </c>
    </row>
    <row r="44" spans="2:5" x14ac:dyDescent="0.35">
      <c r="B44" s="41" t="s">
        <v>194</v>
      </c>
      <c r="C44" s="42" t="s">
        <v>43</v>
      </c>
      <c r="D44" s="42" t="s">
        <v>43</v>
      </c>
      <c r="E44" s="42" t="s">
        <v>43</v>
      </c>
    </row>
    <row r="45" spans="2:5" x14ac:dyDescent="0.35">
      <c r="B45" s="41" t="s">
        <v>195</v>
      </c>
      <c r="C45" s="42" t="s">
        <v>43</v>
      </c>
      <c r="D45" s="42" t="s">
        <v>43</v>
      </c>
      <c r="E45" s="42" t="s">
        <v>43</v>
      </c>
    </row>
    <row r="46" spans="2:5" x14ac:dyDescent="0.35">
      <c r="B46" s="28" t="s">
        <v>196</v>
      </c>
      <c r="C46" s="43" t="s">
        <v>43</v>
      </c>
      <c r="D46" s="43" t="s">
        <v>43</v>
      </c>
      <c r="E46" s="43" t="s">
        <v>43</v>
      </c>
    </row>
    <row r="47" spans="2:5" x14ac:dyDescent="0.35">
      <c r="B47" s="28" t="s">
        <v>197</v>
      </c>
      <c r="C47" s="43" t="s">
        <v>43</v>
      </c>
      <c r="D47" s="43" t="s">
        <v>43</v>
      </c>
      <c r="E47" s="43" t="s">
        <v>43</v>
      </c>
    </row>
    <row r="48" spans="2:5" x14ac:dyDescent="0.35">
      <c r="B48" s="28" t="s">
        <v>198</v>
      </c>
      <c r="C48" s="43" t="s">
        <v>43</v>
      </c>
      <c r="D48" s="43" t="s">
        <v>43</v>
      </c>
      <c r="E48" s="43" t="s">
        <v>43</v>
      </c>
    </row>
    <row r="49" spans="2:5" x14ac:dyDescent="0.35">
      <c r="B49" s="28" t="s">
        <v>199</v>
      </c>
      <c r="C49" s="43" t="s">
        <v>43</v>
      </c>
      <c r="D49" s="43" t="s">
        <v>43</v>
      </c>
      <c r="E49" s="43" t="s">
        <v>43</v>
      </c>
    </row>
    <row r="50" spans="2:5" x14ac:dyDescent="0.35">
      <c r="B50" s="28" t="s">
        <v>200</v>
      </c>
      <c r="C50" s="43" t="s">
        <v>43</v>
      </c>
      <c r="D50" s="43" t="s">
        <v>43</v>
      </c>
      <c r="E50" s="43" t="s">
        <v>43</v>
      </c>
    </row>
    <row r="51" spans="2:5" x14ac:dyDescent="0.35">
      <c r="B51" s="44" t="s">
        <v>201</v>
      </c>
      <c r="C51" s="43" t="s">
        <v>43</v>
      </c>
      <c r="D51" s="43" t="s">
        <v>43</v>
      </c>
      <c r="E51" s="43" t="s">
        <v>43</v>
      </c>
    </row>
    <row r="52" spans="2:5" x14ac:dyDescent="0.35">
      <c r="B52" s="44" t="s">
        <v>202</v>
      </c>
      <c r="C52" s="43" t="s">
        <v>43</v>
      </c>
      <c r="D52" s="43" t="s">
        <v>43</v>
      </c>
      <c r="E52" s="43" t="s">
        <v>43</v>
      </c>
    </row>
    <row r="53" spans="2:5" x14ac:dyDescent="0.35">
      <c r="B53" s="44">
        <v>3</v>
      </c>
      <c r="C53" s="43" t="s">
        <v>43</v>
      </c>
      <c r="D53" s="43" t="s">
        <v>43</v>
      </c>
      <c r="E53" s="43" t="s">
        <v>43</v>
      </c>
    </row>
    <row r="54" spans="2:5" x14ac:dyDescent="0.35">
      <c r="B54" s="44">
        <v>2</v>
      </c>
      <c r="C54" s="43" t="s">
        <v>43</v>
      </c>
      <c r="D54" s="43" t="s">
        <v>43</v>
      </c>
      <c r="E54" s="43" t="s">
        <v>43</v>
      </c>
    </row>
    <row r="55" spans="2:5" x14ac:dyDescent="0.35">
      <c r="B55" s="44" t="s">
        <v>203</v>
      </c>
      <c r="C55" s="43" t="s">
        <v>43</v>
      </c>
      <c r="D55" s="43" t="s">
        <v>43</v>
      </c>
      <c r="E55" s="43" t="s">
        <v>43</v>
      </c>
    </row>
    <row r="56" spans="2:5" x14ac:dyDescent="0.35">
      <c r="B56" s="44" t="s">
        <v>204</v>
      </c>
      <c r="C56" s="43" t="s">
        <v>43</v>
      </c>
      <c r="D56" s="43" t="s">
        <v>43</v>
      </c>
      <c r="E56" s="43" t="s">
        <v>43</v>
      </c>
    </row>
    <row r="57" spans="2:5" s="36" customFormat="1" x14ac:dyDescent="0.3">
      <c r="B57" s="56" t="s">
        <v>24</v>
      </c>
      <c r="C57" s="60">
        <f>'Germany Crunch Output'!G157</f>
        <v>47</v>
      </c>
      <c r="D57" s="60">
        <f>'Germany Crunch Output'!H157</f>
        <v>52</v>
      </c>
      <c r="E57" s="60">
        <f>'Germany Crunch Output'!I157</f>
        <v>60</v>
      </c>
    </row>
    <row r="58" spans="2:5" x14ac:dyDescent="0.35">
      <c r="B58" s="27"/>
      <c r="C58" s="33"/>
      <c r="D58" s="33"/>
      <c r="E58" s="33"/>
    </row>
    <row r="59" spans="2:5" x14ac:dyDescent="0.35">
      <c r="B59" s="99" t="s">
        <v>38</v>
      </c>
      <c r="C59" s="39" t="s">
        <v>22</v>
      </c>
      <c r="D59" s="39" t="s">
        <v>22</v>
      </c>
      <c r="E59" s="39" t="s">
        <v>22</v>
      </c>
    </row>
    <row r="60" spans="2:5" x14ac:dyDescent="0.35">
      <c r="B60" s="100"/>
      <c r="C60" s="40" t="s">
        <v>43</v>
      </c>
      <c r="D60" s="40" t="s">
        <v>43</v>
      </c>
      <c r="E60" s="40" t="s">
        <v>43</v>
      </c>
    </row>
    <row r="61" spans="2:5" x14ac:dyDescent="0.35">
      <c r="B61" s="41" t="s">
        <v>336</v>
      </c>
      <c r="C61" s="42" t="s">
        <v>43</v>
      </c>
      <c r="D61" s="42" t="s">
        <v>43</v>
      </c>
      <c r="E61" s="42" t="s">
        <v>43</v>
      </c>
    </row>
    <row r="62" spans="2:5" x14ac:dyDescent="0.35">
      <c r="B62" s="41" t="s">
        <v>194</v>
      </c>
      <c r="C62" s="42" t="s">
        <v>43</v>
      </c>
      <c r="D62" s="42" t="s">
        <v>43</v>
      </c>
      <c r="E62" s="42" t="s">
        <v>43</v>
      </c>
    </row>
    <row r="63" spans="2:5" x14ac:dyDescent="0.35">
      <c r="B63" s="41" t="s">
        <v>195</v>
      </c>
      <c r="C63" s="42" t="s">
        <v>43</v>
      </c>
      <c r="D63" s="42" t="s">
        <v>43</v>
      </c>
      <c r="E63" s="42" t="s">
        <v>43</v>
      </c>
    </row>
    <row r="64" spans="2:5" x14ac:dyDescent="0.35">
      <c r="B64" s="28" t="s">
        <v>196</v>
      </c>
      <c r="C64" s="43" t="s">
        <v>43</v>
      </c>
      <c r="D64" s="43" t="s">
        <v>43</v>
      </c>
      <c r="E64" s="43" t="s">
        <v>43</v>
      </c>
    </row>
    <row r="65" spans="2:5" x14ac:dyDescent="0.35">
      <c r="B65" s="28" t="s">
        <v>197</v>
      </c>
      <c r="C65" s="43" t="s">
        <v>43</v>
      </c>
      <c r="D65" s="43" t="s">
        <v>43</v>
      </c>
      <c r="E65" s="43" t="s">
        <v>43</v>
      </c>
    </row>
    <row r="66" spans="2:5" x14ac:dyDescent="0.35">
      <c r="B66" s="28" t="s">
        <v>198</v>
      </c>
      <c r="C66" s="43" t="s">
        <v>43</v>
      </c>
      <c r="D66" s="43" t="s">
        <v>43</v>
      </c>
      <c r="E66" s="43" t="s">
        <v>43</v>
      </c>
    </row>
    <row r="67" spans="2:5" x14ac:dyDescent="0.35">
      <c r="B67" s="28" t="s">
        <v>199</v>
      </c>
      <c r="C67" s="43" t="s">
        <v>43</v>
      </c>
      <c r="D67" s="43" t="s">
        <v>43</v>
      </c>
      <c r="E67" s="43" t="s">
        <v>43</v>
      </c>
    </row>
    <row r="68" spans="2:5" x14ac:dyDescent="0.35">
      <c r="B68" s="28" t="s">
        <v>200</v>
      </c>
      <c r="C68" s="43" t="s">
        <v>43</v>
      </c>
      <c r="D68" s="43" t="s">
        <v>43</v>
      </c>
      <c r="E68" s="43" t="s">
        <v>43</v>
      </c>
    </row>
    <row r="69" spans="2:5" x14ac:dyDescent="0.35">
      <c r="B69" s="44" t="s">
        <v>201</v>
      </c>
      <c r="C69" s="43" t="s">
        <v>43</v>
      </c>
      <c r="D69" s="43" t="s">
        <v>43</v>
      </c>
      <c r="E69" s="43" t="s">
        <v>43</v>
      </c>
    </row>
    <row r="70" spans="2:5" x14ac:dyDescent="0.35">
      <c r="B70" s="44" t="s">
        <v>202</v>
      </c>
      <c r="C70" s="43" t="s">
        <v>43</v>
      </c>
      <c r="D70" s="43" t="s">
        <v>43</v>
      </c>
      <c r="E70" s="43" t="s">
        <v>43</v>
      </c>
    </row>
    <row r="71" spans="2:5" x14ac:dyDescent="0.35">
      <c r="B71" s="44">
        <v>3</v>
      </c>
      <c r="C71" s="43" t="s">
        <v>43</v>
      </c>
      <c r="D71" s="43" t="s">
        <v>43</v>
      </c>
      <c r="E71" s="43" t="s">
        <v>43</v>
      </c>
    </row>
    <row r="72" spans="2:5" x14ac:dyDescent="0.35">
      <c r="B72" s="44">
        <v>2</v>
      </c>
      <c r="C72" s="43" t="s">
        <v>43</v>
      </c>
      <c r="D72" s="43" t="s">
        <v>43</v>
      </c>
      <c r="E72" s="43" t="s">
        <v>43</v>
      </c>
    </row>
    <row r="73" spans="2:5" x14ac:dyDescent="0.35">
      <c r="B73" s="44" t="s">
        <v>203</v>
      </c>
      <c r="C73" s="43" t="s">
        <v>43</v>
      </c>
      <c r="D73" s="43" t="s">
        <v>43</v>
      </c>
      <c r="E73" s="43" t="s">
        <v>43</v>
      </c>
    </row>
    <row r="74" spans="2:5" x14ac:dyDescent="0.35">
      <c r="B74" s="44" t="s">
        <v>204</v>
      </c>
      <c r="C74" s="43" t="s">
        <v>43</v>
      </c>
      <c r="D74" s="43" t="s">
        <v>43</v>
      </c>
      <c r="E74" s="43" t="s">
        <v>43</v>
      </c>
    </row>
    <row r="75" spans="2:5" s="36" customFormat="1" x14ac:dyDescent="0.3">
      <c r="B75" s="56" t="s">
        <v>24</v>
      </c>
      <c r="C75" s="60">
        <f>'Germany Crunch Output'!G63</f>
        <v>61</v>
      </c>
      <c r="D75" s="60">
        <f>'Germany Crunch Output'!H63</f>
        <v>70</v>
      </c>
      <c r="E75" s="60">
        <f>'Germany Crunch Output'!I63</f>
        <v>59</v>
      </c>
    </row>
    <row r="76" spans="2:5" x14ac:dyDescent="0.35">
      <c r="B76" s="27"/>
      <c r="C76" s="33"/>
      <c r="D76" s="33"/>
      <c r="E76" s="33"/>
    </row>
    <row r="77" spans="2:5" x14ac:dyDescent="0.35">
      <c r="B77" s="99" t="s">
        <v>39</v>
      </c>
      <c r="C77" s="39" t="s">
        <v>22</v>
      </c>
      <c r="D77" s="39" t="s">
        <v>22</v>
      </c>
      <c r="E77" s="39" t="s">
        <v>22</v>
      </c>
    </row>
    <row r="78" spans="2:5" x14ac:dyDescent="0.35">
      <c r="B78" s="100"/>
      <c r="C78" s="40">
        <f>'Germany Crunch Output'!G40</f>
        <v>32.435296647624263</v>
      </c>
      <c r="D78" s="40">
        <f>'Germany Crunch Output'!H40</f>
        <v>32.793777779036489</v>
      </c>
      <c r="E78" s="40">
        <f>'Germany Crunch Output'!I40</f>
        <v>36.593051737760042</v>
      </c>
    </row>
    <row r="79" spans="2:5" x14ac:dyDescent="0.35">
      <c r="B79" s="41" t="s">
        <v>336</v>
      </c>
      <c r="C79" s="42">
        <f>'Germany Crunch Output'!G26</f>
        <v>0.48349875648780521</v>
      </c>
      <c r="D79" s="42">
        <f>'Germany Crunch Output'!H26</f>
        <v>0.49828598030684601</v>
      </c>
      <c r="E79" s="42">
        <f>'Germany Crunch Output'!I26</f>
        <v>0.53151866049026986</v>
      </c>
    </row>
    <row r="80" spans="2:5" x14ac:dyDescent="0.35">
      <c r="B80" s="41" t="s">
        <v>194</v>
      </c>
      <c r="C80" s="42">
        <f>'Germany Crunch Output'!G27</f>
        <v>0.35735545350063208</v>
      </c>
      <c r="D80" s="42">
        <f>'Germany Crunch Output'!H27</f>
        <v>0.33136581717667279</v>
      </c>
      <c r="E80" s="42">
        <f>'Germany Crunch Output'!I27</f>
        <v>0.30289319639706058</v>
      </c>
    </row>
    <row r="81" spans="2:5" x14ac:dyDescent="0.35">
      <c r="B81" s="41" t="s">
        <v>195</v>
      </c>
      <c r="C81" s="42">
        <f>'Germany Crunch Output'!G28</f>
        <v>0.1591457900115627</v>
      </c>
      <c r="D81" s="42">
        <f>'Germany Crunch Output'!H28</f>
        <v>0.17034820251648111</v>
      </c>
      <c r="E81" s="42">
        <f>'Germany Crunch Output'!I28</f>
        <v>0.16558814311266951</v>
      </c>
    </row>
    <row r="82" spans="2:5" x14ac:dyDescent="0.35">
      <c r="B82" s="28" t="s">
        <v>196</v>
      </c>
      <c r="C82" s="43">
        <f>'Germany Crunch Output'!G29</f>
        <v>0.3234909334378287</v>
      </c>
      <c r="D82" s="43">
        <f>'Germany Crunch Output'!H29</f>
        <v>0.32390661672342058</v>
      </c>
      <c r="E82" s="43">
        <f>'Germany Crunch Output'!I29</f>
        <v>0.33963261619325058</v>
      </c>
    </row>
    <row r="83" spans="2:5" x14ac:dyDescent="0.35">
      <c r="B83" s="28" t="s">
        <v>197</v>
      </c>
      <c r="C83" s="43">
        <f>'Germany Crunch Output'!G30</f>
        <v>0.16000782304997649</v>
      </c>
      <c r="D83" s="43">
        <f>'Germany Crunch Output'!H30</f>
        <v>0.17437936358342529</v>
      </c>
      <c r="E83" s="43">
        <f>'Germany Crunch Output'!I30</f>
        <v>0.19188604429701919</v>
      </c>
    </row>
    <row r="84" spans="2:5" x14ac:dyDescent="0.35">
      <c r="B84" s="28" t="s">
        <v>198</v>
      </c>
      <c r="C84" s="43">
        <f>'Germany Crunch Output'!G31</f>
        <v>0.21736481912943181</v>
      </c>
      <c r="D84" s="43">
        <f>'Germany Crunch Output'!H31</f>
        <v>0.20582977610533809</v>
      </c>
      <c r="E84" s="43">
        <f>'Germany Crunch Output'!I31</f>
        <v>0.19003798833512239</v>
      </c>
    </row>
    <row r="85" spans="2:5" x14ac:dyDescent="0.35">
      <c r="B85" s="28" t="s">
        <v>199</v>
      </c>
      <c r="C85" s="43">
        <f>'Germany Crunch Output'!G32</f>
        <v>0.1399906343712003</v>
      </c>
      <c r="D85" s="43">
        <f>'Germany Crunch Output'!H32</f>
        <v>0.12553604107133479</v>
      </c>
      <c r="E85" s="43">
        <f>'Germany Crunch Output'!I32</f>
        <v>0.1128552080619383</v>
      </c>
    </row>
    <row r="86" spans="2:5" x14ac:dyDescent="0.35">
      <c r="B86" s="28" t="s">
        <v>200</v>
      </c>
      <c r="C86" s="43">
        <f>'Germany Crunch Output'!G33</f>
        <v>4.275298820283057E-2</v>
      </c>
      <c r="D86" s="43">
        <f>'Germany Crunch Output'!H33</f>
        <v>5.184974607826473E-2</v>
      </c>
      <c r="E86" s="43">
        <f>'Germany Crunch Output'!I33</f>
        <v>5.2367675434248973E-2</v>
      </c>
    </row>
    <row r="87" spans="2:5" x14ac:dyDescent="0.35">
      <c r="B87" s="44" t="s">
        <v>201</v>
      </c>
      <c r="C87" s="43">
        <f>'Germany Crunch Output'!G34</f>
        <v>6.6935862487332534E-2</v>
      </c>
      <c r="D87" s="43">
        <f>'Germany Crunch Output'!H34</f>
        <v>6.8394664672236496E-2</v>
      </c>
      <c r="E87" s="43">
        <f>'Germany Crunch Output'!I34</f>
        <v>6.3291881591624827E-2</v>
      </c>
    </row>
    <row r="88" spans="2:5" x14ac:dyDescent="0.35">
      <c r="B88" s="44" t="s">
        <v>202</v>
      </c>
      <c r="C88" s="43">
        <f>'Germany Crunch Output'!G35</f>
        <v>1.504874696664836E-2</v>
      </c>
      <c r="D88" s="43">
        <f>'Germany Crunch Output'!H35</f>
        <v>1.474530548041089E-2</v>
      </c>
      <c r="E88" s="43">
        <f>'Germany Crunch Output'!I35</f>
        <v>1.3260411035497599E-2</v>
      </c>
    </row>
    <row r="89" spans="2:5" x14ac:dyDescent="0.35">
      <c r="B89" s="44">
        <v>3</v>
      </c>
      <c r="C89" s="43">
        <f>'Germany Crunch Output'!G36</f>
        <v>1.5153647845014259E-2</v>
      </c>
      <c r="D89" s="43">
        <f>'Germany Crunch Output'!H36</f>
        <v>1.28387251024889E-2</v>
      </c>
      <c r="E89" s="43">
        <f>'Germany Crunch Output'!I36</f>
        <v>1.3268837030080711E-2</v>
      </c>
    </row>
    <row r="90" spans="2:5" x14ac:dyDescent="0.35">
      <c r="B90" s="44">
        <v>2</v>
      </c>
      <c r="C90" s="43">
        <f>'Germany Crunch Output'!G37</f>
        <v>4.225641792511255E-3</v>
      </c>
      <c r="D90" s="43">
        <f>'Germany Crunch Output'!H37</f>
        <v>3.5801183919877081E-3</v>
      </c>
      <c r="E90" s="43">
        <f>'Germany Crunch Output'!I37</f>
        <v>1.98497989309923E-3</v>
      </c>
    </row>
    <row r="91" spans="2:5" x14ac:dyDescent="0.35">
      <c r="B91" s="44" t="s">
        <v>203</v>
      </c>
      <c r="C91" s="43">
        <f>'Germany Crunch Output'!G38</f>
        <v>2.345301718897953E-3</v>
      </c>
      <c r="D91" s="43">
        <f>'Germany Crunch Output'!H38</f>
        <v>5.9135021083801427E-3</v>
      </c>
      <c r="E91" s="43">
        <f>'Germany Crunch Output'!I38</f>
        <v>6.1116111706390223E-3</v>
      </c>
    </row>
    <row r="92" spans="2:5" x14ac:dyDescent="0.35">
      <c r="B92" s="44" t="s">
        <v>204</v>
      </c>
      <c r="C92" s="43">
        <f>'Germany Crunch Output'!G39</f>
        <v>1.268360099832775E-2</v>
      </c>
      <c r="D92" s="43">
        <f>'Germany Crunch Output'!H39</f>
        <v>1.302614068271222E-2</v>
      </c>
      <c r="E92" s="43">
        <f>'Germany Crunch Output'!I39</f>
        <v>1.530274695747914E-2</v>
      </c>
    </row>
    <row r="93" spans="2:5" s="36" customFormat="1" x14ac:dyDescent="0.3">
      <c r="B93" s="56" t="s">
        <v>24</v>
      </c>
      <c r="C93" s="60">
        <f>'Germany Crunch Output'!G25</f>
        <v>383</v>
      </c>
      <c r="D93" s="60">
        <f>'Germany Crunch Output'!H25</f>
        <v>452</v>
      </c>
      <c r="E93" s="60">
        <f>'Germany Crunch Output'!I25</f>
        <v>436</v>
      </c>
    </row>
    <row r="94" spans="2:5" x14ac:dyDescent="0.35">
      <c r="B94" s="27"/>
      <c r="C94" s="33"/>
      <c r="D94" s="33"/>
      <c r="E94" s="33"/>
    </row>
    <row r="95" spans="2:5" x14ac:dyDescent="0.35">
      <c r="B95" s="99" t="s">
        <v>40</v>
      </c>
      <c r="C95" s="39" t="s">
        <v>22</v>
      </c>
      <c r="D95" s="39" t="s">
        <v>22</v>
      </c>
      <c r="E95" s="39" t="s">
        <v>22</v>
      </c>
    </row>
    <row r="96" spans="2:5" x14ac:dyDescent="0.35">
      <c r="B96" s="100"/>
      <c r="C96" s="40">
        <f>'Germany Crunch Output'!G59</f>
        <v>22.486678241554522</v>
      </c>
      <c r="D96" s="40">
        <f>'Germany Crunch Output'!H59</f>
        <v>23.11837878615361</v>
      </c>
      <c r="E96" s="40">
        <f>'Germany Crunch Output'!I59</f>
        <v>22.281993158377261</v>
      </c>
    </row>
    <row r="97" spans="2:5" x14ac:dyDescent="0.35">
      <c r="B97" s="41" t="s">
        <v>336</v>
      </c>
      <c r="C97" s="42">
        <f>'Germany Crunch Output'!G45</f>
        <v>0.43804722868100487</v>
      </c>
      <c r="D97" s="42">
        <f>'Germany Crunch Output'!H45</f>
        <v>0.4306690169597171</v>
      </c>
      <c r="E97" s="42">
        <f>'Germany Crunch Output'!I45</f>
        <v>0.43301728959440849</v>
      </c>
    </row>
    <row r="98" spans="2:5" x14ac:dyDescent="0.35">
      <c r="B98" s="41" t="s">
        <v>194</v>
      </c>
      <c r="C98" s="42">
        <f>'Germany Crunch Output'!G46</f>
        <v>0.34877232505353528</v>
      </c>
      <c r="D98" s="42">
        <f>'Germany Crunch Output'!H46</f>
        <v>0.36984575394210217</v>
      </c>
      <c r="E98" s="42">
        <f>'Germany Crunch Output'!I46</f>
        <v>0.35678535239495562</v>
      </c>
    </row>
    <row r="99" spans="2:5" x14ac:dyDescent="0.35">
      <c r="B99" s="41" t="s">
        <v>195</v>
      </c>
      <c r="C99" s="42">
        <f>'Germany Crunch Output'!G47</f>
        <v>0.21318044626545979</v>
      </c>
      <c r="D99" s="42">
        <f>'Germany Crunch Output'!H47</f>
        <v>0.19948522909818089</v>
      </c>
      <c r="E99" s="42">
        <f>'Germany Crunch Output'!I47</f>
        <v>0.21019735801063591</v>
      </c>
    </row>
    <row r="100" spans="2:5" x14ac:dyDescent="0.35">
      <c r="B100" s="28" t="s">
        <v>196</v>
      </c>
      <c r="C100" s="43">
        <f>'Germany Crunch Output'!G48</f>
        <v>0.31271649529806989</v>
      </c>
      <c r="D100" s="43">
        <f>'Germany Crunch Output'!H48</f>
        <v>0.29116759095948969</v>
      </c>
      <c r="E100" s="43">
        <f>'Germany Crunch Output'!I48</f>
        <v>0.27108604877498571</v>
      </c>
    </row>
    <row r="101" spans="2:5" x14ac:dyDescent="0.35">
      <c r="B101" s="28" t="s">
        <v>197</v>
      </c>
      <c r="C101" s="43">
        <f>'Germany Crunch Output'!G49</f>
        <v>0.12533073338293499</v>
      </c>
      <c r="D101" s="43">
        <f>'Germany Crunch Output'!H49</f>
        <v>0.13950142600022741</v>
      </c>
      <c r="E101" s="43">
        <f>'Germany Crunch Output'!I49</f>
        <v>0.16193124081942281</v>
      </c>
    </row>
    <row r="102" spans="2:5" x14ac:dyDescent="0.35">
      <c r="B102" s="28" t="s">
        <v>198</v>
      </c>
      <c r="C102" s="43">
        <f>'Germany Crunch Output'!G50</f>
        <v>0.20130818761757091</v>
      </c>
      <c r="D102" s="43">
        <f>'Germany Crunch Output'!H50</f>
        <v>0.22558840528245949</v>
      </c>
      <c r="E102" s="43">
        <f>'Germany Crunch Output'!I50</f>
        <v>0.24461506552654819</v>
      </c>
    </row>
    <row r="103" spans="2:5" x14ac:dyDescent="0.35">
      <c r="B103" s="28" t="s">
        <v>199</v>
      </c>
      <c r="C103" s="43">
        <f>'Germany Crunch Output'!G51</f>
        <v>0.1474641374359644</v>
      </c>
      <c r="D103" s="43">
        <f>'Germany Crunch Output'!H51</f>
        <v>0.14425734865964271</v>
      </c>
      <c r="E103" s="43">
        <f>'Germany Crunch Output'!I51</f>
        <v>0.1121702868684073</v>
      </c>
    </row>
    <row r="104" spans="2:5" x14ac:dyDescent="0.35">
      <c r="B104" s="28" t="s">
        <v>200</v>
      </c>
      <c r="C104" s="43">
        <f>'Germany Crunch Output'!G52</f>
        <v>6.1293228326407323E-2</v>
      </c>
      <c r="D104" s="43">
        <f>'Germany Crunch Output'!H52</f>
        <v>5.9738052966879181E-2</v>
      </c>
      <c r="E104" s="43">
        <f>'Germany Crunch Output'!I52</f>
        <v>6.3219874656568989E-2</v>
      </c>
    </row>
    <row r="105" spans="2:5" x14ac:dyDescent="0.35">
      <c r="B105" s="44" t="s">
        <v>201</v>
      </c>
      <c r="C105" s="43">
        <f>'Germany Crunch Output'!G53</f>
        <v>9.3815418009721957E-2</v>
      </c>
      <c r="D105" s="43">
        <f>'Germany Crunch Output'!H53</f>
        <v>9.2227476839437605E-2</v>
      </c>
      <c r="E105" s="43">
        <f>'Germany Crunch Output'!I53</f>
        <v>0.1033044000900815</v>
      </c>
    </row>
    <row r="106" spans="2:5" x14ac:dyDescent="0.35">
      <c r="B106" s="44" t="s">
        <v>202</v>
      </c>
      <c r="C106" s="43">
        <f>'Germany Crunch Output'!G54</f>
        <v>0</v>
      </c>
      <c r="D106" s="43">
        <f>'Germany Crunch Output'!H54</f>
        <v>0</v>
      </c>
      <c r="E106" s="43">
        <f>'Germany Crunch Output'!I54</f>
        <v>0</v>
      </c>
    </row>
    <row r="107" spans="2:5" x14ac:dyDescent="0.35">
      <c r="B107" s="44">
        <v>3</v>
      </c>
      <c r="C107" s="43">
        <f>'Germany Crunch Output'!G55</f>
        <v>6.4976445461067981E-3</v>
      </c>
      <c r="D107" s="43">
        <f>'Germany Crunch Output'!H55</f>
        <v>5.3169716680413533E-3</v>
      </c>
      <c r="E107" s="43">
        <f>'Germany Crunch Output'!I55</f>
        <v>5.3189244233463476E-3</v>
      </c>
    </row>
    <row r="108" spans="2:5" x14ac:dyDescent="0.35">
      <c r="B108" s="44">
        <v>2</v>
      </c>
      <c r="C108" s="43">
        <f>'Germany Crunch Output'!G56</f>
        <v>3.521625461086178E-2</v>
      </c>
      <c r="D108" s="43">
        <f>'Germany Crunch Output'!H56</f>
        <v>2.8817185472645449E-2</v>
      </c>
      <c r="E108" s="43">
        <f>'Germany Crunch Output'!I56</f>
        <v>2.4963700603750191E-2</v>
      </c>
    </row>
    <row r="109" spans="2:5" x14ac:dyDescent="0.35">
      <c r="B109" s="44" t="s">
        <v>203</v>
      </c>
      <c r="C109" s="43">
        <f>'Germany Crunch Output'!G57</f>
        <v>4.982963119424466E-3</v>
      </c>
      <c r="D109" s="43">
        <f>'Germany Crunch Output'!H57</f>
        <v>4.0775197136244477E-3</v>
      </c>
      <c r="E109" s="43">
        <f>'Germany Crunch Output'!I57</f>
        <v>4.0790172574800719E-3</v>
      </c>
    </row>
    <row r="110" spans="2:5" x14ac:dyDescent="0.35">
      <c r="B110" s="44" t="s">
        <v>204</v>
      </c>
      <c r="C110" s="43">
        <f>'Germany Crunch Output'!G58</f>
        <v>1.1374937652937451E-2</v>
      </c>
      <c r="D110" s="43">
        <f>'Germany Crunch Output'!H58</f>
        <v>9.3080224375528871E-3</v>
      </c>
      <c r="E110" s="43">
        <f>'Germany Crunch Output'!I58</f>
        <v>9.3114409794088082E-3</v>
      </c>
    </row>
    <row r="111" spans="2:5" s="36" customFormat="1" x14ac:dyDescent="0.3">
      <c r="B111" s="56" t="s">
        <v>24</v>
      </c>
      <c r="C111" s="60">
        <f>'Germany Crunch Output'!G44</f>
        <v>177</v>
      </c>
      <c r="D111" s="60">
        <f>'Germany Crunch Output'!H44</f>
        <v>215</v>
      </c>
      <c r="E111" s="60">
        <f>'Germany Crunch Output'!I44</f>
        <v>217</v>
      </c>
    </row>
    <row r="112" spans="2:5" x14ac:dyDescent="0.35">
      <c r="B112" s="27"/>
      <c r="C112" s="133"/>
      <c r="D112" s="133"/>
      <c r="E112" s="133"/>
    </row>
    <row r="113" spans="2:5" x14ac:dyDescent="0.35">
      <c r="B113" s="99" t="s">
        <v>95</v>
      </c>
      <c r="C113" s="39" t="s">
        <v>22</v>
      </c>
      <c r="D113" s="39" t="s">
        <v>22</v>
      </c>
      <c r="E113" s="39" t="s">
        <v>22</v>
      </c>
    </row>
    <row r="114" spans="2:5" x14ac:dyDescent="0.35">
      <c r="B114" s="100"/>
      <c r="C114" s="40" t="s">
        <v>43</v>
      </c>
      <c r="D114" s="40" t="s">
        <v>43</v>
      </c>
      <c r="E114" s="40">
        <f>'Germany Crunch Output'!I134</f>
        <v>25.4422745408521</v>
      </c>
    </row>
    <row r="115" spans="2:5" x14ac:dyDescent="0.35">
      <c r="B115" s="41" t="s">
        <v>336</v>
      </c>
      <c r="C115" s="42" t="s">
        <v>43</v>
      </c>
      <c r="D115" s="42" t="s">
        <v>43</v>
      </c>
      <c r="E115" s="42">
        <f>'Germany Crunch Output'!I120</f>
        <v>0.43711340110966618</v>
      </c>
    </row>
    <row r="116" spans="2:5" x14ac:dyDescent="0.35">
      <c r="B116" s="41" t="s">
        <v>194</v>
      </c>
      <c r="C116" s="42" t="s">
        <v>43</v>
      </c>
      <c r="D116" s="42" t="s">
        <v>43</v>
      </c>
      <c r="E116" s="42">
        <f>'Germany Crunch Output'!I121</f>
        <v>0.38019594318918848</v>
      </c>
    </row>
    <row r="117" spans="2:5" x14ac:dyDescent="0.35">
      <c r="B117" s="41" t="s">
        <v>195</v>
      </c>
      <c r="C117" s="42" t="s">
        <v>43</v>
      </c>
      <c r="D117" s="42" t="s">
        <v>43</v>
      </c>
      <c r="E117" s="42">
        <f>'Germany Crunch Output'!I122</f>
        <v>0.18269065570114509</v>
      </c>
    </row>
    <row r="118" spans="2:5" x14ac:dyDescent="0.35">
      <c r="B118" s="28" t="s">
        <v>196</v>
      </c>
      <c r="C118" s="43" t="s">
        <v>43</v>
      </c>
      <c r="D118" s="43" t="s">
        <v>43</v>
      </c>
      <c r="E118" s="43">
        <f>'Germany Crunch Output'!I123</f>
        <v>0.23777858725299469</v>
      </c>
    </row>
    <row r="119" spans="2:5" x14ac:dyDescent="0.35">
      <c r="B119" s="44">
        <v>9</v>
      </c>
      <c r="C119" s="43" t="s">
        <v>43</v>
      </c>
      <c r="D119" s="43" t="s">
        <v>43</v>
      </c>
      <c r="E119" s="43">
        <f>'Germany Crunch Output'!I124</f>
        <v>0.19933481385667151</v>
      </c>
    </row>
    <row r="120" spans="2:5" x14ac:dyDescent="0.35">
      <c r="B120" s="44">
        <v>8</v>
      </c>
      <c r="C120" s="43" t="s">
        <v>43</v>
      </c>
      <c r="D120" s="43" t="s">
        <v>43</v>
      </c>
      <c r="E120" s="43">
        <f>'Germany Crunch Output'!I125</f>
        <v>0.26569072365973789</v>
      </c>
    </row>
    <row r="121" spans="2:5" x14ac:dyDescent="0.35">
      <c r="B121" s="44">
        <v>7</v>
      </c>
      <c r="C121" s="43" t="s">
        <v>43</v>
      </c>
      <c r="D121" s="43" t="s">
        <v>43</v>
      </c>
      <c r="E121" s="43">
        <f>'Germany Crunch Output'!I126</f>
        <v>0.1145052195294506</v>
      </c>
    </row>
    <row r="122" spans="2:5" x14ac:dyDescent="0.35">
      <c r="B122" s="44">
        <v>6</v>
      </c>
      <c r="C122" s="43" t="s">
        <v>43</v>
      </c>
      <c r="D122" s="43" t="s">
        <v>43</v>
      </c>
      <c r="E122" s="43">
        <f>'Germany Crunch Output'!I127</f>
        <v>5.9356779971598737E-2</v>
      </c>
    </row>
    <row r="123" spans="2:5" x14ac:dyDescent="0.35">
      <c r="B123" s="44">
        <v>5</v>
      </c>
      <c r="C123" s="43" t="s">
        <v>43</v>
      </c>
      <c r="D123" s="43" t="s">
        <v>43</v>
      </c>
      <c r="E123" s="43">
        <f>'Germany Crunch Output'!I128</f>
        <v>7.9086297324193727E-2</v>
      </c>
    </row>
    <row r="124" spans="2:5" x14ac:dyDescent="0.35">
      <c r="B124" s="44">
        <v>4</v>
      </c>
      <c r="C124" s="43" t="s">
        <v>43</v>
      </c>
      <c r="D124" s="43" t="s">
        <v>43</v>
      </c>
      <c r="E124" s="43">
        <f>'Germany Crunch Output'!I129</f>
        <v>1.308098259382188E-2</v>
      </c>
    </row>
    <row r="125" spans="2:5" x14ac:dyDescent="0.35">
      <c r="B125" s="44">
        <v>3</v>
      </c>
      <c r="C125" s="43" t="s">
        <v>43</v>
      </c>
      <c r="D125" s="43" t="s">
        <v>43</v>
      </c>
      <c r="E125" s="43">
        <f>'Germany Crunch Output'!I130</f>
        <v>1.143623250267725E-2</v>
      </c>
    </row>
    <row r="126" spans="2:5" x14ac:dyDescent="0.35">
      <c r="B126" s="44">
        <v>2</v>
      </c>
      <c r="C126" s="43" t="s">
        <v>43</v>
      </c>
      <c r="D126" s="43" t="s">
        <v>43</v>
      </c>
      <c r="E126" s="43">
        <f>'Germany Crunch Output'!I131</f>
        <v>0</v>
      </c>
    </row>
    <row r="127" spans="2:5" x14ac:dyDescent="0.35">
      <c r="B127" s="44">
        <v>1</v>
      </c>
      <c r="C127" s="43" t="s">
        <v>43</v>
      </c>
      <c r="D127" s="43" t="s">
        <v>43</v>
      </c>
      <c r="E127" s="43">
        <f>'Germany Crunch Output'!I132</f>
        <v>0</v>
      </c>
    </row>
    <row r="128" spans="2:5" x14ac:dyDescent="0.35">
      <c r="B128" s="44" t="s">
        <v>204</v>
      </c>
      <c r="C128" s="43" t="s">
        <v>43</v>
      </c>
      <c r="D128" s="43" t="s">
        <v>43</v>
      </c>
      <c r="E128" s="43">
        <f>'Germany Crunch Output'!I133</f>
        <v>1.9730363308853589E-2</v>
      </c>
    </row>
    <row r="129" spans="2:5" s="36" customFormat="1" x14ac:dyDescent="0.3">
      <c r="B129" s="56" t="s">
        <v>24</v>
      </c>
      <c r="C129" s="60">
        <f>'Germany Crunch Output'!G119</f>
        <v>87</v>
      </c>
      <c r="D129" s="60">
        <f>'Germany Crunch Output'!H119</f>
        <v>97</v>
      </c>
      <c r="E129" s="60">
        <f>'Germany Crunch Output'!I119</f>
        <v>108</v>
      </c>
    </row>
    <row r="130" spans="2:5" x14ac:dyDescent="0.35">
      <c r="B130" s="27"/>
      <c r="C130" s="33"/>
      <c r="D130" s="33"/>
      <c r="E130" s="33"/>
    </row>
    <row r="131" spans="2:5" x14ac:dyDescent="0.35">
      <c r="B131" s="99" t="s">
        <v>96</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'Germany Crunch Output'!G138</f>
        <v>77</v>
      </c>
      <c r="D147" s="60">
        <f>'Germany Crunch Output'!H138</f>
        <v>96</v>
      </c>
      <c r="E147" s="60">
        <f>'Germany Crunch Output'!I138</f>
        <v>94</v>
      </c>
    </row>
    <row r="148" spans="2:5" x14ac:dyDescent="0.35">
      <c r="B148" s="27"/>
      <c r="C148" s="33"/>
      <c r="D148" s="33"/>
      <c r="E148" s="33"/>
    </row>
    <row r="149" spans="2:5" x14ac:dyDescent="0.35">
      <c r="B149" s="99" t="s">
        <v>305</v>
      </c>
      <c r="C149" s="39" t="s">
        <v>22</v>
      </c>
      <c r="D149" s="39" t="s">
        <v>22</v>
      </c>
      <c r="E149" s="39" t="s">
        <v>22</v>
      </c>
    </row>
    <row r="150" spans="2:5" x14ac:dyDescent="0.35">
      <c r="B150" s="100"/>
      <c r="C150" s="40">
        <f>'Germany Crunch Output'!G191</f>
        <v>25.0110064169866</v>
      </c>
      <c r="D150" s="40">
        <f>'Germany Crunch Output'!H191</f>
        <v>23.588999556663151</v>
      </c>
      <c r="E150" s="40">
        <f>'Germany Crunch Output'!I191</f>
        <v>23.17245832882066</v>
      </c>
    </row>
    <row r="151" spans="2:5" x14ac:dyDescent="0.35">
      <c r="B151" s="41" t="s">
        <v>336</v>
      </c>
      <c r="C151" s="42">
        <f>'Germany Crunch Output'!G177</f>
        <v>0.41106757192482257</v>
      </c>
      <c r="D151" s="42">
        <f>'Germany Crunch Output'!H177</f>
        <v>0.40003396980107853</v>
      </c>
      <c r="E151" s="42">
        <f>'Germany Crunch Output'!I177</f>
        <v>0.42262796944035252</v>
      </c>
    </row>
    <row r="152" spans="2:5" x14ac:dyDescent="0.35">
      <c r="B152" s="41" t="s">
        <v>194</v>
      </c>
      <c r="C152" s="42">
        <f>'Germany Crunch Output'!G178</f>
        <v>0.42797492032022089</v>
      </c>
      <c r="D152" s="42">
        <f>'Germany Crunch Output'!H178</f>
        <v>0.4358220559644746</v>
      </c>
      <c r="E152" s="42">
        <f>'Germany Crunch Output'!I178</f>
        <v>0.38646864440750178</v>
      </c>
    </row>
    <row r="153" spans="2:5" x14ac:dyDescent="0.35">
      <c r="B153" s="41" t="s">
        <v>195</v>
      </c>
      <c r="C153" s="42">
        <f>'Germany Crunch Output'!G179</f>
        <v>0.16095750775495671</v>
      </c>
      <c r="D153" s="42">
        <f>'Germany Crunch Output'!H179</f>
        <v>0.1641439742344469</v>
      </c>
      <c r="E153" s="42">
        <f>'Germany Crunch Output'!I179</f>
        <v>0.19090338615214589</v>
      </c>
    </row>
    <row r="154" spans="2:5" x14ac:dyDescent="0.35">
      <c r="B154" s="28" t="s">
        <v>196</v>
      </c>
      <c r="C154" s="43">
        <f>'Germany Crunch Output'!G180</f>
        <v>0.27068094662779618</v>
      </c>
      <c r="D154" s="43">
        <f>'Germany Crunch Output'!H180</f>
        <v>0.27072754112818459</v>
      </c>
      <c r="E154" s="43">
        <f>'Germany Crunch Output'!I180</f>
        <v>0.27828840257923337</v>
      </c>
    </row>
    <row r="155" spans="2:5" x14ac:dyDescent="0.35">
      <c r="B155" s="44">
        <v>9</v>
      </c>
      <c r="C155" s="43">
        <f>'Germany Crunch Output'!G181</f>
        <v>0.14038662529702639</v>
      </c>
      <c r="D155" s="43">
        <f>'Germany Crunch Output'!H181</f>
        <v>0.12930642867289391</v>
      </c>
      <c r="E155" s="43">
        <f>'Germany Crunch Output'!I181</f>
        <v>0.1443395668611191</v>
      </c>
    </row>
    <row r="156" spans="2:5" x14ac:dyDescent="0.35">
      <c r="B156" s="44">
        <v>8</v>
      </c>
      <c r="C156" s="43">
        <f>'Germany Crunch Output'!G182</f>
        <v>0.31925080229073788</v>
      </c>
      <c r="D156" s="43">
        <f>'Germany Crunch Output'!H182</f>
        <v>0.32830576906858949</v>
      </c>
      <c r="E156" s="43">
        <f>'Germany Crunch Output'!I182</f>
        <v>0.29331587312220408</v>
      </c>
    </row>
    <row r="157" spans="2:5" x14ac:dyDescent="0.35">
      <c r="B157" s="44">
        <v>7</v>
      </c>
      <c r="C157" s="43">
        <f>'Germany Crunch Output'!G183</f>
        <v>0.10872411802948299</v>
      </c>
      <c r="D157" s="43">
        <f>'Germany Crunch Output'!H183</f>
        <v>0.1075162868958851</v>
      </c>
      <c r="E157" s="43">
        <f>'Germany Crunch Output'!I183</f>
        <v>9.3152771285297628E-2</v>
      </c>
    </row>
    <row r="158" spans="2:5" x14ac:dyDescent="0.35">
      <c r="B158" s="44">
        <v>6</v>
      </c>
      <c r="C158" s="43">
        <f>'Germany Crunch Output'!G184</f>
        <v>7.2505897253716339E-2</v>
      </c>
      <c r="D158" s="43">
        <f>'Germany Crunch Output'!H184</f>
        <v>6.8683504561327935E-2</v>
      </c>
      <c r="E158" s="43">
        <f>'Germany Crunch Output'!I184</f>
        <v>8.1390784826491619E-2</v>
      </c>
    </row>
    <row r="159" spans="2:5" x14ac:dyDescent="0.35">
      <c r="B159" s="44">
        <v>5</v>
      </c>
      <c r="C159" s="43">
        <f>'Germany Crunch Output'!G185</f>
        <v>3.3903184229513217E-2</v>
      </c>
      <c r="D159" s="43">
        <f>'Germany Crunch Output'!H185</f>
        <v>4.1347600834947228E-2</v>
      </c>
      <c r="E159" s="43">
        <f>'Germany Crunch Output'!I185</f>
        <v>4.5517777198926059E-2</v>
      </c>
    </row>
    <row r="160" spans="2:5" x14ac:dyDescent="0.35">
      <c r="B160" s="44">
        <v>4</v>
      </c>
      <c r="C160" s="43">
        <f>'Germany Crunch Output'!G186</f>
        <v>6.4178276221188348E-3</v>
      </c>
      <c r="D160" s="43">
        <f>'Germany Crunch Output'!H186</f>
        <v>5.5878621723070964E-3</v>
      </c>
      <c r="E160" s="43">
        <f>'Germany Crunch Output'!I186</f>
        <v>5.8466536502876131E-3</v>
      </c>
    </row>
    <row r="161" spans="2:5" x14ac:dyDescent="0.35">
      <c r="B161" s="44">
        <v>3</v>
      </c>
      <c r="C161" s="43">
        <f>'Germany Crunch Output'!G187</f>
        <v>1.6296316895356822E-2</v>
      </c>
      <c r="D161" s="43">
        <f>'Germany Crunch Output'!H187</f>
        <v>1.4188846770152041E-2</v>
      </c>
      <c r="E161" s="43">
        <f>'Germany Crunch Output'!I187</f>
        <v>1.4682109303646419E-2</v>
      </c>
    </row>
    <row r="162" spans="2:5" x14ac:dyDescent="0.35">
      <c r="B162" s="44">
        <v>2</v>
      </c>
      <c r="C162" s="43">
        <f>'Germany Crunch Output'!G188</f>
        <v>7.778249374639337E-3</v>
      </c>
      <c r="D162" s="43">
        <f>'Germany Crunch Output'!H188</f>
        <v>6.7723516439615727E-3</v>
      </c>
      <c r="E162" s="43">
        <f>'Germany Crunch Output'!I188</f>
        <v>7.0860005560679671E-3</v>
      </c>
    </row>
    <row r="163" spans="2:5" ht="14.5" customHeight="1" x14ac:dyDescent="0.35">
      <c r="B163" s="44">
        <v>1</v>
      </c>
      <c r="C163" s="43">
        <f>'Germany Crunch Output'!G189</f>
        <v>0</v>
      </c>
      <c r="D163" s="43">
        <f>'Germany Crunch Output'!H189</f>
        <v>0</v>
      </c>
      <c r="E163" s="43">
        <f>'Germany Crunch Output'!I189</f>
        <v>7.5396856823546953E-3</v>
      </c>
    </row>
    <row r="164" spans="2:5" x14ac:dyDescent="0.35">
      <c r="B164" s="44" t="s">
        <v>204</v>
      </c>
      <c r="C164" s="43">
        <f>'Germany Crunch Output'!G190</f>
        <v>2.4056032379612121E-2</v>
      </c>
      <c r="D164" s="43">
        <f>'Germany Crunch Output'!H190</f>
        <v>2.756380825175106E-2</v>
      </c>
      <c r="E164" s="43">
        <f>'Germany Crunch Output'!I190</f>
        <v>2.8840374934371481E-2</v>
      </c>
    </row>
    <row r="165" spans="2:5" s="36" customFormat="1" x14ac:dyDescent="0.3">
      <c r="B165" s="56" t="s">
        <v>24</v>
      </c>
      <c r="C165" s="60">
        <f>'Germany Crunch Output'!G176</f>
        <v>136</v>
      </c>
      <c r="D165" s="60">
        <f>'Germany Crunch Output'!H176</f>
        <v>157</v>
      </c>
      <c r="E165" s="60">
        <f>'Germany Crunch Output'!I176</f>
        <v>149</v>
      </c>
    </row>
    <row r="166" spans="2:5" x14ac:dyDescent="0.35">
      <c r="B166" s="27"/>
      <c r="C166" s="33"/>
      <c r="D166" s="33"/>
      <c r="E166" s="33"/>
    </row>
    <row r="167" spans="2:5" x14ac:dyDescent="0.35">
      <c r="B167" s="99" t="s">
        <v>104</v>
      </c>
      <c r="C167" s="39" t="s">
        <v>22</v>
      </c>
      <c r="D167" s="39" t="s">
        <v>22</v>
      </c>
      <c r="E167" s="39"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'Germany Crunch Output'!G306</f>
        <v>40</v>
      </c>
      <c r="D183" s="60">
        <f>'Germany Crunch Output'!H306</f>
        <v>44</v>
      </c>
      <c r="E183" s="60">
        <f>'Germany Crunch Output'!I306</f>
        <v>41</v>
      </c>
    </row>
    <row r="184" spans="2:5" x14ac:dyDescent="0.35">
      <c r="B184" s="27"/>
      <c r="C184" s="33"/>
      <c r="D184" s="33"/>
      <c r="E184" s="33"/>
    </row>
    <row r="185" spans="2:5" x14ac:dyDescent="0.35">
      <c r="B185" s="99" t="s">
        <v>98</v>
      </c>
      <c r="C185" s="39" t="s">
        <v>22</v>
      </c>
      <c r="D185" s="39" t="s">
        <v>22</v>
      </c>
      <c r="E185" s="39" t="s">
        <v>22</v>
      </c>
    </row>
    <row r="186" spans="2:5" x14ac:dyDescent="0.35">
      <c r="B186" s="100"/>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x14ac:dyDescent="0.3">
      <c r="B201" s="56" t="s">
        <v>24</v>
      </c>
      <c r="C201" s="60">
        <f>'Germany Crunch Output'!G249</f>
        <v>24</v>
      </c>
      <c r="D201" s="60">
        <f>'Germany Crunch Output'!H249</f>
        <v>33</v>
      </c>
      <c r="E201" s="60">
        <f>'Germany Crunch Output'!I249</f>
        <v>36</v>
      </c>
    </row>
    <row r="202" spans="2:5" x14ac:dyDescent="0.35">
      <c r="B202" s="27"/>
      <c r="C202" s="33"/>
      <c r="D202" s="33"/>
      <c r="E202" s="33"/>
    </row>
    <row r="203" spans="2:5" x14ac:dyDescent="0.35">
      <c r="B203" s="99" t="s">
        <v>306</v>
      </c>
      <c r="C203" s="39" t="s">
        <v>22</v>
      </c>
      <c r="D203" s="39" t="s">
        <v>22</v>
      </c>
      <c r="E203" s="39" t="s">
        <v>22</v>
      </c>
    </row>
    <row r="204" spans="2:5" x14ac:dyDescent="0.35">
      <c r="B204" s="100"/>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x14ac:dyDescent="0.35">
      <c r="B217" s="44">
        <v>1</v>
      </c>
      <c r="C217" s="43" t="s">
        <v>43</v>
      </c>
      <c r="D217" s="43" t="s">
        <v>43</v>
      </c>
      <c r="E217" s="43" t="s">
        <v>43</v>
      </c>
    </row>
    <row r="218" spans="2:5" x14ac:dyDescent="0.35">
      <c r="B218" s="44" t="s">
        <v>204</v>
      </c>
      <c r="C218" s="43" t="s">
        <v>43</v>
      </c>
      <c r="D218" s="43" t="s">
        <v>43</v>
      </c>
      <c r="E218" s="43" t="s">
        <v>43</v>
      </c>
    </row>
    <row r="219" spans="2:5" s="36" customFormat="1" ht="15" thickBot="1" x14ac:dyDescent="0.35">
      <c r="B219" s="57" t="s">
        <v>24</v>
      </c>
      <c r="C219" s="61">
        <f>'Germany Crunch Output'!G268</f>
        <v>48</v>
      </c>
      <c r="D219" s="61">
        <f>'Germany Crunch Output'!H268</f>
        <v>58</v>
      </c>
      <c r="E219" s="61">
        <f>'Germany Crunch Output'!I268</f>
        <v>58</v>
      </c>
    </row>
    <row r="221" spans="2:5" x14ac:dyDescent="0.35">
      <c r="B221" s="99" t="s">
        <v>105</v>
      </c>
      <c r="C221" s="39" t="s">
        <v>22</v>
      </c>
      <c r="D221" s="39" t="s">
        <v>22</v>
      </c>
      <c r="E221" s="39" t="s">
        <v>22</v>
      </c>
    </row>
    <row r="222" spans="2:5" x14ac:dyDescent="0.35">
      <c r="B222" s="100"/>
      <c r="C222" s="40" t="s">
        <v>43</v>
      </c>
      <c r="D222" s="40">
        <f>'Germany Crunch Output'!H340</f>
        <v>56.272618826988747</v>
      </c>
      <c r="E222" s="40">
        <f>'Germany Crunch Output'!I340</f>
        <v>50.896528480971199</v>
      </c>
    </row>
    <row r="223" spans="2:5" x14ac:dyDescent="0.35">
      <c r="B223" s="41" t="s">
        <v>336</v>
      </c>
      <c r="C223" s="42" t="s">
        <v>43</v>
      </c>
      <c r="D223" s="42">
        <f>'Germany Crunch Output'!H326</f>
        <v>0.61904704075316597</v>
      </c>
      <c r="E223" s="42">
        <f>'Germany Crunch Output'!I326</f>
        <v>0.59706333147325574</v>
      </c>
    </row>
    <row r="224" spans="2:5" x14ac:dyDescent="0.35">
      <c r="B224" s="41" t="s">
        <v>194</v>
      </c>
      <c r="C224" s="42" t="s">
        <v>43</v>
      </c>
      <c r="D224" s="42">
        <f>'Germany Crunch Output'!H327</f>
        <v>0.32463210676355547</v>
      </c>
      <c r="E224" s="42">
        <f>'Germany Crunch Output'!I327</f>
        <v>0.31483862186320039</v>
      </c>
    </row>
    <row r="225" spans="2:5" x14ac:dyDescent="0.35">
      <c r="B225" s="41" t="s">
        <v>195</v>
      </c>
      <c r="C225" s="42" t="s">
        <v>43</v>
      </c>
      <c r="D225" s="42">
        <f>'Germany Crunch Output'!H328</f>
        <v>5.6320852483278491E-2</v>
      </c>
      <c r="E225" s="42">
        <f>'Germany Crunch Output'!I328</f>
        <v>8.8098046663543789E-2</v>
      </c>
    </row>
    <row r="226" spans="2:5" x14ac:dyDescent="0.35">
      <c r="B226" s="28" t="s">
        <v>196</v>
      </c>
      <c r="C226" s="43" t="s">
        <v>43</v>
      </c>
      <c r="D226" s="43">
        <f>'Germany Crunch Output'!H329</f>
        <v>0.40688261269857329</v>
      </c>
      <c r="E226" s="43">
        <f>'Germany Crunch Output'!I329</f>
        <v>0.41637100294691781</v>
      </c>
    </row>
    <row r="227" spans="2:5" x14ac:dyDescent="0.35">
      <c r="B227" s="44">
        <v>9</v>
      </c>
      <c r="C227" s="43" t="s">
        <v>43</v>
      </c>
      <c r="D227" s="43">
        <f>'Germany Crunch Output'!H330</f>
        <v>0.2121644280545926</v>
      </c>
      <c r="E227" s="43">
        <f>'Germany Crunch Output'!I330</f>
        <v>0.1806923285263379</v>
      </c>
    </row>
    <row r="228" spans="2:5" x14ac:dyDescent="0.35">
      <c r="B228" s="44">
        <v>8</v>
      </c>
      <c r="C228" s="43" t="s">
        <v>43</v>
      </c>
      <c r="D228" s="43">
        <f>'Germany Crunch Output'!H331</f>
        <v>0.20065138330599239</v>
      </c>
      <c r="E228" s="43">
        <f>'Germany Crunch Output'!I331</f>
        <v>0.1950678591537027</v>
      </c>
    </row>
    <row r="229" spans="2:5" x14ac:dyDescent="0.35">
      <c r="B229" s="44">
        <v>7</v>
      </c>
      <c r="C229" s="43" t="s">
        <v>43</v>
      </c>
      <c r="D229" s="43">
        <f>'Germany Crunch Output'!H332</f>
        <v>0.1239807234575631</v>
      </c>
      <c r="E229" s="43">
        <f>'Germany Crunch Output'!I332</f>
        <v>0.1197707627094977</v>
      </c>
    </row>
    <row r="230" spans="2:5" x14ac:dyDescent="0.35">
      <c r="B230" s="44">
        <v>6</v>
      </c>
      <c r="C230" s="43" t="s">
        <v>43</v>
      </c>
      <c r="D230" s="43">
        <f>'Germany Crunch Output'!H333</f>
        <v>1.128665915652095E-2</v>
      </c>
      <c r="E230" s="43">
        <f>'Germany Crunch Output'!I333</f>
        <v>2.2853528438362289E-2</v>
      </c>
    </row>
    <row r="231" spans="2:5" x14ac:dyDescent="0.35">
      <c r="B231" s="44">
        <v>5</v>
      </c>
      <c r="C231" s="43" t="s">
        <v>43</v>
      </c>
      <c r="D231" s="43">
        <f>'Germany Crunch Output'!H334</f>
        <v>3.4627759042325762E-2</v>
      </c>
      <c r="E231" s="43">
        <f>'Germany Crunch Output'!I334</f>
        <v>5.4064805557063028E-2</v>
      </c>
    </row>
    <row r="232" spans="2:5" x14ac:dyDescent="0.35">
      <c r="B232" s="44">
        <v>4</v>
      </c>
      <c r="C232" s="43" t="s">
        <v>43</v>
      </c>
      <c r="D232" s="43">
        <f>'Germany Crunch Output'!H335</f>
        <v>0</v>
      </c>
      <c r="E232" s="43">
        <f>'Germany Crunch Output'!I335</f>
        <v>0</v>
      </c>
    </row>
    <row r="233" spans="2:5" x14ac:dyDescent="0.35">
      <c r="B233" s="44">
        <v>3</v>
      </c>
      <c r="C233" s="43" t="s">
        <v>43</v>
      </c>
      <c r="D233" s="43">
        <f>'Germany Crunch Output'!H336</f>
        <v>0</v>
      </c>
      <c r="E233" s="43">
        <f>'Germany Crunch Output'!I336</f>
        <v>0</v>
      </c>
    </row>
    <row r="234" spans="2:5" x14ac:dyDescent="0.35">
      <c r="B234" s="44">
        <v>2</v>
      </c>
      <c r="C234" s="43" t="s">
        <v>43</v>
      </c>
      <c r="D234" s="43">
        <f>'Germany Crunch Output'!H337</f>
        <v>0</v>
      </c>
      <c r="E234" s="43">
        <f>'Germany Crunch Output'!I337</f>
        <v>0</v>
      </c>
    </row>
    <row r="235" spans="2:5" x14ac:dyDescent="0.35">
      <c r="B235" s="44">
        <v>1</v>
      </c>
      <c r="C235" s="43" t="s">
        <v>43</v>
      </c>
      <c r="D235" s="43">
        <f>'Germany Crunch Output'!H338</f>
        <v>1.0406434284431779E-2</v>
      </c>
      <c r="E235" s="43">
        <f>'Germany Crunch Output'!I338</f>
        <v>1.117971266811847E-2</v>
      </c>
    </row>
    <row r="236" spans="2:5" x14ac:dyDescent="0.35">
      <c r="B236" s="44" t="s">
        <v>204</v>
      </c>
      <c r="C236" s="43" t="s">
        <v>43</v>
      </c>
      <c r="D236" s="43">
        <f>'Germany Crunch Output'!H339</f>
        <v>0</v>
      </c>
      <c r="E236" s="43">
        <f>'Germany Crunch Output'!I339</f>
        <v>0</v>
      </c>
    </row>
    <row r="237" spans="2:5" s="36" customFormat="1" ht="15" thickBot="1" x14ac:dyDescent="0.35">
      <c r="B237" s="57" t="s">
        <v>24</v>
      </c>
      <c r="C237" s="61">
        <f>'Germany Crunch Output'!G325</f>
        <v>92</v>
      </c>
      <c r="D237" s="61">
        <f>'Germany Crunch Output'!H325</f>
        <v>116</v>
      </c>
      <c r="E237" s="61">
        <f>'Germany Crunch Output'!I325</f>
        <v>106</v>
      </c>
    </row>
    <row r="239" spans="2:5" x14ac:dyDescent="0.35">
      <c r="B239" s="99" t="s">
        <v>450</v>
      </c>
      <c r="C239" s="39" t="s">
        <v>22</v>
      </c>
      <c r="D239" s="39" t="s">
        <v>22</v>
      </c>
      <c r="E239" s="39" t="s">
        <v>22</v>
      </c>
    </row>
    <row r="240" spans="2:5" x14ac:dyDescent="0.35">
      <c r="B240" s="100"/>
      <c r="C240" s="40">
        <f>'Germany Crunch Output'!G359</f>
        <v>46.022213108630723</v>
      </c>
      <c r="D240" s="40">
        <f>'Germany Crunch Output'!H359</f>
        <v>46.071079549405447</v>
      </c>
      <c r="E240" s="40">
        <f>'Germany Crunch Output'!I359</f>
        <v>46.852005314838671</v>
      </c>
    </row>
    <row r="241" spans="2:5" x14ac:dyDescent="0.35">
      <c r="B241" s="41" t="s">
        <v>336</v>
      </c>
      <c r="C241" s="42">
        <f>'Germany Crunch Output'!G345</f>
        <v>0.56125927266603659</v>
      </c>
      <c r="D241" s="42">
        <f>'Germany Crunch Output'!H345</f>
        <v>0.56340983792793742</v>
      </c>
      <c r="E241" s="42">
        <f>'Germany Crunch Output'!I345</f>
        <v>0.5750333248655719</v>
      </c>
    </row>
    <row r="242" spans="2:5" x14ac:dyDescent="0.35">
      <c r="B242" s="41" t="s">
        <v>194</v>
      </c>
      <c r="C242" s="42">
        <f>'Germany Crunch Output'!G346</f>
        <v>0.33770358575423409</v>
      </c>
      <c r="D242" s="42">
        <f>'Germany Crunch Output'!H346</f>
        <v>0.3338911196381798</v>
      </c>
      <c r="E242" s="42">
        <f>'Germany Crunch Output'!I346</f>
        <v>0.3184534034172431</v>
      </c>
    </row>
    <row r="243" spans="2:5" x14ac:dyDescent="0.35">
      <c r="B243" s="41" t="s">
        <v>195</v>
      </c>
      <c r="C243" s="42">
        <f>'Germany Crunch Output'!G347</f>
        <v>0.1010371415797293</v>
      </c>
      <c r="D243" s="42">
        <f>'Germany Crunch Output'!H347</f>
        <v>0.1026990424338828</v>
      </c>
      <c r="E243" s="42">
        <f>'Germany Crunch Output'!I347</f>
        <v>0.1065132717171851</v>
      </c>
    </row>
    <row r="244" spans="2:5" x14ac:dyDescent="0.35">
      <c r="B244" s="28" t="s">
        <v>196</v>
      </c>
      <c r="C244" s="43">
        <f>'Germany Crunch Output'!G348</f>
        <v>0.34326131489376599</v>
      </c>
      <c r="D244" s="43">
        <f>'Germany Crunch Output'!H348</f>
        <v>0.34076587823403959</v>
      </c>
      <c r="E244" s="43">
        <f>'Germany Crunch Output'!I348</f>
        <v>0.34115045853094161</v>
      </c>
    </row>
    <row r="245" spans="2:5" x14ac:dyDescent="0.35">
      <c r="B245" s="44">
        <v>9</v>
      </c>
      <c r="C245" s="43">
        <f>'Germany Crunch Output'!G349</f>
        <v>0.21799795777227049</v>
      </c>
      <c r="D245" s="43">
        <f>'Germany Crunch Output'!H349</f>
        <v>0.2226439596938978</v>
      </c>
      <c r="E245" s="43">
        <f>'Germany Crunch Output'!I349</f>
        <v>0.23388286633463029</v>
      </c>
    </row>
    <row r="246" spans="2:5" x14ac:dyDescent="0.35">
      <c r="B246" s="44">
        <v>8</v>
      </c>
      <c r="C246" s="43">
        <f>'Germany Crunch Output'!G350</f>
        <v>0.24939897969835309</v>
      </c>
      <c r="D246" s="43">
        <f>'Germany Crunch Output'!H350</f>
        <v>0.23786872270599421</v>
      </c>
      <c r="E246" s="43">
        <f>'Germany Crunch Output'!I350</f>
        <v>0.21920613240818779</v>
      </c>
    </row>
    <row r="247" spans="2:5" x14ac:dyDescent="0.35">
      <c r="B247" s="44">
        <v>7</v>
      </c>
      <c r="C247" s="43">
        <f>'Germany Crunch Output'!G351</f>
        <v>8.8304606055881044E-2</v>
      </c>
      <c r="D247" s="43">
        <f>'Germany Crunch Output'!H351</f>
        <v>9.6022396932185644E-2</v>
      </c>
      <c r="E247" s="43">
        <f>'Germany Crunch Output'!I351</f>
        <v>9.9247271009055366E-2</v>
      </c>
    </row>
    <row r="248" spans="2:5" x14ac:dyDescent="0.35">
      <c r="B248" s="44">
        <v>6</v>
      </c>
      <c r="C248" s="43">
        <f>'Germany Crunch Output'!G352</f>
        <v>4.047237519604166E-2</v>
      </c>
      <c r="D248" s="43">
        <f>'Germany Crunch Output'!H352</f>
        <v>4.0415329275432343E-2</v>
      </c>
      <c r="E248" s="43">
        <f>'Germany Crunch Output'!I352</f>
        <v>4.8173556149223688E-2</v>
      </c>
    </row>
    <row r="249" spans="2:5" x14ac:dyDescent="0.35">
      <c r="B249" s="44">
        <v>5</v>
      </c>
      <c r="C249" s="43">
        <f>'Germany Crunch Output'!G353</f>
        <v>4.478565619271805E-2</v>
      </c>
      <c r="D249" s="43">
        <f>'Germany Crunch Output'!H353</f>
        <v>4.8791588854780833E-2</v>
      </c>
      <c r="E249" s="43">
        <f>'Germany Crunch Output'!I353</f>
        <v>4.1366474568326532E-2</v>
      </c>
    </row>
    <row r="250" spans="2:5" x14ac:dyDescent="0.35">
      <c r="B250" s="44">
        <v>4</v>
      </c>
      <c r="C250" s="43">
        <f>'Germany Crunch Output'!G354</f>
        <v>7.1377060314072992E-3</v>
      </c>
      <c r="D250" s="43">
        <f>'Germany Crunch Output'!H354</f>
        <v>6.1031842640856902E-3</v>
      </c>
      <c r="E250" s="43">
        <f>'Germany Crunch Output'!I354</f>
        <v>5.8894677717006676E-3</v>
      </c>
    </row>
    <row r="251" spans="2:5" x14ac:dyDescent="0.35">
      <c r="B251" s="44">
        <v>3</v>
      </c>
      <c r="C251" s="43">
        <f>'Germany Crunch Output'!G355</f>
        <v>2.6875231372829561E-3</v>
      </c>
      <c r="D251" s="43">
        <f>'Germany Crunch Output'!H355</f>
        <v>2.298000064538602E-3</v>
      </c>
      <c r="E251" s="43">
        <f>'Germany Crunch Output'!I355</f>
        <v>3.2022168429134659E-3</v>
      </c>
    </row>
    <row r="252" spans="2:5" x14ac:dyDescent="0.35">
      <c r="B252" s="44">
        <v>2</v>
      </c>
      <c r="C252" s="43">
        <f>'Germany Crunch Output'!G356</f>
        <v>2.71884510095985E-3</v>
      </c>
      <c r="D252" s="43">
        <f>'Germany Crunch Output'!H356</f>
        <v>2.3247822989136131E-3</v>
      </c>
      <c r="E252" s="43">
        <f>'Germany Crunch Output'!I356</f>
        <v>2.2433749061520512E-3</v>
      </c>
    </row>
    <row r="253" spans="2:5" x14ac:dyDescent="0.35">
      <c r="B253" s="44">
        <v>1</v>
      </c>
      <c r="C253" s="43">
        <f>'Germany Crunch Output'!G357</f>
        <v>0</v>
      </c>
      <c r="D253" s="43">
        <f>'Germany Crunch Output'!H357</f>
        <v>0</v>
      </c>
      <c r="E253" s="43">
        <f>'Germany Crunch Output'!I357</f>
        <v>2.9688869303022489E-3</v>
      </c>
    </row>
    <row r="254" spans="2:5" x14ac:dyDescent="0.35">
      <c r="B254" s="44" t="s">
        <v>204</v>
      </c>
      <c r="C254" s="43">
        <f>'Germany Crunch Output'!G358</f>
        <v>3.2350359213195231E-3</v>
      </c>
      <c r="D254" s="43">
        <f>'Germany Crunch Output'!H358</f>
        <v>2.7661576761317599E-3</v>
      </c>
      <c r="E254" s="43">
        <f>'Germany Crunch Output'!I358</f>
        <v>2.6692945485664401E-3</v>
      </c>
    </row>
    <row r="255" spans="2:5" s="36" customFormat="1" ht="15" thickBot="1" x14ac:dyDescent="0.35">
      <c r="B255" s="57" t="s">
        <v>24</v>
      </c>
      <c r="C255" s="61">
        <f>'Germany Crunch Output'!G344</f>
        <v>287</v>
      </c>
      <c r="D255" s="61">
        <f>'Germany Crunch Output'!H344</f>
        <v>337</v>
      </c>
      <c r="E255" s="61">
        <f>'Germany Crunch Output'!I344</f>
        <v>343</v>
      </c>
    </row>
    <row r="257" spans="2:5" hidden="1" x14ac:dyDescent="0.35">
      <c r="B257" s="99" t="s">
        <v>459</v>
      </c>
      <c r="C257" s="39" t="s">
        <v>22</v>
      </c>
      <c r="D257" s="39" t="s">
        <v>22</v>
      </c>
      <c r="E257" s="39" t="s">
        <v>22</v>
      </c>
    </row>
    <row r="258" spans="2:5" hidden="1" x14ac:dyDescent="0.35">
      <c r="B258" s="100"/>
      <c r="C258" s="40" t="s">
        <v>43</v>
      </c>
      <c r="D258" s="40" t="s">
        <v>43</v>
      </c>
      <c r="E258" s="40" t="s">
        <v>43</v>
      </c>
    </row>
    <row r="259" spans="2:5" hidden="1" x14ac:dyDescent="0.35">
      <c r="B259" s="41" t="s">
        <v>336</v>
      </c>
      <c r="C259" s="42" t="s">
        <v>43</v>
      </c>
      <c r="D259" s="42" t="s">
        <v>43</v>
      </c>
      <c r="E259" s="42" t="s">
        <v>43</v>
      </c>
    </row>
    <row r="260" spans="2:5" hidden="1" x14ac:dyDescent="0.35">
      <c r="B260" s="41" t="s">
        <v>194</v>
      </c>
      <c r="C260" s="42" t="s">
        <v>43</v>
      </c>
      <c r="D260" s="42" t="s">
        <v>43</v>
      </c>
      <c r="E260" s="42" t="s">
        <v>43</v>
      </c>
    </row>
    <row r="261" spans="2:5" hidden="1" x14ac:dyDescent="0.35">
      <c r="B261" s="41" t="s">
        <v>195</v>
      </c>
      <c r="C261" s="42" t="s">
        <v>43</v>
      </c>
      <c r="D261" s="42" t="s">
        <v>43</v>
      </c>
      <c r="E261" s="42" t="s">
        <v>43</v>
      </c>
    </row>
    <row r="262" spans="2:5" hidden="1" x14ac:dyDescent="0.35">
      <c r="B262" s="28" t="s">
        <v>196</v>
      </c>
      <c r="C262" s="43" t="s">
        <v>43</v>
      </c>
      <c r="D262" s="43" t="s">
        <v>43</v>
      </c>
      <c r="E262" s="43" t="s">
        <v>43</v>
      </c>
    </row>
    <row r="263" spans="2:5" hidden="1" x14ac:dyDescent="0.35">
      <c r="B263" s="44">
        <v>9</v>
      </c>
      <c r="C263" s="43" t="s">
        <v>43</v>
      </c>
      <c r="D263" s="43" t="s">
        <v>43</v>
      </c>
      <c r="E263" s="43" t="s">
        <v>43</v>
      </c>
    </row>
    <row r="264" spans="2:5" hidden="1" x14ac:dyDescent="0.35">
      <c r="B264" s="44">
        <v>8</v>
      </c>
      <c r="C264" s="43" t="s">
        <v>43</v>
      </c>
      <c r="D264" s="43" t="s">
        <v>43</v>
      </c>
      <c r="E264" s="43" t="s">
        <v>43</v>
      </c>
    </row>
    <row r="265" spans="2:5" hidden="1" x14ac:dyDescent="0.35">
      <c r="B265" s="44">
        <v>7</v>
      </c>
      <c r="C265" s="43" t="s">
        <v>43</v>
      </c>
      <c r="D265" s="43" t="s">
        <v>43</v>
      </c>
      <c r="E265" s="43" t="s">
        <v>43</v>
      </c>
    </row>
    <row r="266" spans="2:5" hidden="1" x14ac:dyDescent="0.35">
      <c r="B266" s="44">
        <v>6</v>
      </c>
      <c r="C266" s="43" t="s">
        <v>43</v>
      </c>
      <c r="D266" s="43" t="s">
        <v>43</v>
      </c>
      <c r="E266" s="43" t="s">
        <v>43</v>
      </c>
    </row>
    <row r="267" spans="2:5" hidden="1" x14ac:dyDescent="0.35">
      <c r="B267" s="44">
        <v>5</v>
      </c>
      <c r="C267" s="43" t="s">
        <v>43</v>
      </c>
      <c r="D267" s="43" t="s">
        <v>43</v>
      </c>
      <c r="E267" s="43" t="s">
        <v>43</v>
      </c>
    </row>
    <row r="268" spans="2:5" hidden="1" x14ac:dyDescent="0.35">
      <c r="B268" s="44">
        <v>4</v>
      </c>
      <c r="C268" s="43" t="s">
        <v>43</v>
      </c>
      <c r="D268" s="43" t="s">
        <v>43</v>
      </c>
      <c r="E268" s="43" t="s">
        <v>43</v>
      </c>
    </row>
    <row r="269" spans="2:5" hidden="1" x14ac:dyDescent="0.35">
      <c r="B269" s="44">
        <v>3</v>
      </c>
      <c r="C269" s="43" t="s">
        <v>43</v>
      </c>
      <c r="D269" s="43" t="s">
        <v>43</v>
      </c>
      <c r="E269" s="43" t="s">
        <v>43</v>
      </c>
    </row>
    <row r="270" spans="2:5" hidden="1" x14ac:dyDescent="0.35">
      <c r="B270" s="44">
        <v>2</v>
      </c>
      <c r="C270" s="43" t="s">
        <v>43</v>
      </c>
      <c r="D270" s="43" t="s">
        <v>43</v>
      </c>
      <c r="E270" s="43" t="s">
        <v>43</v>
      </c>
    </row>
    <row r="271" spans="2:5" hidden="1" x14ac:dyDescent="0.35">
      <c r="B271" s="44">
        <v>1</v>
      </c>
      <c r="C271" s="43" t="s">
        <v>43</v>
      </c>
      <c r="D271" s="43" t="s">
        <v>43</v>
      </c>
      <c r="E271" s="43" t="s">
        <v>43</v>
      </c>
    </row>
    <row r="272" spans="2:5" hidden="1" x14ac:dyDescent="0.35">
      <c r="B272" s="44" t="s">
        <v>204</v>
      </c>
      <c r="C272" s="43" t="s">
        <v>43</v>
      </c>
      <c r="D272" s="43" t="s">
        <v>43</v>
      </c>
      <c r="E272" s="43" t="s">
        <v>43</v>
      </c>
    </row>
    <row r="273" spans="2:5" s="36" customFormat="1" ht="15" hidden="1" thickBot="1" x14ac:dyDescent="0.35">
      <c r="B273" s="57" t="s">
        <v>24</v>
      </c>
      <c r="C273" s="61">
        <f>'Germany Crunch Output'!G363</f>
        <v>13</v>
      </c>
      <c r="D273" s="61">
        <f>'Germany Crunch Output'!H363</f>
        <v>19</v>
      </c>
      <c r="E273" s="61">
        <f>'Germany Crunch Output'!I363</f>
        <v>22</v>
      </c>
    </row>
    <row r="274" spans="2:5" hidden="1" x14ac:dyDescent="0.35"/>
    <row r="275" spans="2:5" x14ac:dyDescent="0.35">
      <c r="B275" s="99" t="s">
        <v>619</v>
      </c>
      <c r="C275" s="39" t="s">
        <v>22</v>
      </c>
      <c r="D275" s="39" t="s">
        <v>22</v>
      </c>
      <c r="E275" s="39" t="s">
        <v>22</v>
      </c>
    </row>
    <row r="276" spans="2:5" ht="15.75" customHeight="1" x14ac:dyDescent="0.35">
      <c r="B276" s="100"/>
      <c r="C276" s="188" t="s">
        <v>646</v>
      </c>
      <c r="D276" s="189"/>
      <c r="E276" s="189"/>
    </row>
    <row r="277" spans="2:5" x14ac:dyDescent="0.35">
      <c r="B277" s="41" t="s">
        <v>336</v>
      </c>
      <c r="C277" s="190"/>
      <c r="D277" s="191"/>
      <c r="E277" s="191"/>
    </row>
    <row r="278" spans="2:5" x14ac:dyDescent="0.35">
      <c r="B278" s="41" t="s">
        <v>194</v>
      </c>
      <c r="C278" s="190"/>
      <c r="D278" s="191"/>
      <c r="E278" s="191"/>
    </row>
    <row r="279" spans="2:5" x14ac:dyDescent="0.35">
      <c r="B279" s="41" t="s">
        <v>195</v>
      </c>
      <c r="C279" s="190"/>
      <c r="D279" s="191"/>
      <c r="E279" s="191"/>
    </row>
    <row r="280" spans="2:5" ht="15" customHeight="1" x14ac:dyDescent="0.35">
      <c r="B280" s="28" t="s">
        <v>196</v>
      </c>
      <c r="C280" s="190"/>
      <c r="D280" s="191"/>
      <c r="E280" s="191"/>
    </row>
    <row r="281" spans="2:5" ht="15" customHeight="1" x14ac:dyDescent="0.35">
      <c r="B281" s="44">
        <v>9</v>
      </c>
      <c r="C281" s="190"/>
      <c r="D281" s="191"/>
      <c r="E281" s="191"/>
    </row>
    <row r="282" spans="2:5" ht="15" customHeight="1" x14ac:dyDescent="0.35">
      <c r="B282" s="44">
        <v>8</v>
      </c>
      <c r="C282" s="190"/>
      <c r="D282" s="191"/>
      <c r="E282" s="191"/>
    </row>
    <row r="283" spans="2:5" ht="15" customHeight="1" x14ac:dyDescent="0.35">
      <c r="B283" s="44">
        <v>7</v>
      </c>
      <c r="C283" s="190"/>
      <c r="D283" s="191"/>
      <c r="E283" s="191"/>
    </row>
    <row r="284" spans="2:5" ht="15" customHeight="1" x14ac:dyDescent="0.35">
      <c r="B284" s="44">
        <v>6</v>
      </c>
      <c r="C284" s="190"/>
      <c r="D284" s="191"/>
      <c r="E284" s="191"/>
    </row>
    <row r="285" spans="2:5" ht="15" customHeight="1" x14ac:dyDescent="0.35">
      <c r="B285" s="44">
        <v>5</v>
      </c>
      <c r="C285" s="190"/>
      <c r="D285" s="191"/>
      <c r="E285" s="191"/>
    </row>
    <row r="286" spans="2:5" ht="15" customHeight="1" x14ac:dyDescent="0.35">
      <c r="B286" s="44">
        <v>4</v>
      </c>
      <c r="C286" s="190"/>
      <c r="D286" s="191"/>
      <c r="E286" s="191"/>
    </row>
    <row r="287" spans="2:5" ht="15" customHeight="1" x14ac:dyDescent="0.35">
      <c r="B287" s="44">
        <v>3</v>
      </c>
      <c r="C287" s="190"/>
      <c r="D287" s="191"/>
      <c r="E287" s="191"/>
    </row>
    <row r="288" spans="2:5" ht="15" customHeight="1" x14ac:dyDescent="0.35">
      <c r="B288" s="44">
        <v>2</v>
      </c>
      <c r="C288" s="190"/>
      <c r="D288" s="191"/>
      <c r="E288" s="191"/>
    </row>
    <row r="289" spans="2:5" ht="15" customHeight="1" x14ac:dyDescent="0.35">
      <c r="B289" s="44">
        <v>1</v>
      </c>
      <c r="C289" s="190"/>
      <c r="D289" s="191"/>
      <c r="E289" s="191"/>
    </row>
    <row r="290" spans="2:5" ht="15" customHeight="1" x14ac:dyDescent="0.35">
      <c r="B290" s="44" t="s">
        <v>204</v>
      </c>
      <c r="C290" s="190"/>
      <c r="D290" s="191"/>
      <c r="E290" s="191"/>
    </row>
    <row r="291" spans="2:5" s="36" customFormat="1" ht="15" thickBot="1" x14ac:dyDescent="0.35">
      <c r="B291" s="57" t="s">
        <v>24</v>
      </c>
      <c r="C291" s="190"/>
      <c r="D291" s="191"/>
      <c r="E291" s="191"/>
    </row>
  </sheetData>
  <mergeCells count="1">
    <mergeCell ref="C276:E291"/>
  </mergeCells>
  <conditionalFormatting sqref="C21:E21 C39:E39 C57:E57 C75:E75 C93:E93 C111:E111 C129:E129 C147:E147 C165:E165 C183:E183 C201:E201 C219:E219 C237:E237 C255:E255 C273:E273">
    <cfRule type="expression" dxfId="9" priority="7">
      <formula>C21&lt;100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94FF-2EF3-46CD-A5AE-60A7732483D6}">
  <dimension ref="A1:I383"/>
  <sheetViews>
    <sheetView topLeftCell="A277" workbookViewId="0">
      <selection activeCell="M3" sqref="M3"/>
    </sheetView>
  </sheetViews>
  <sheetFormatPr defaultRowHeight="14.5" x14ac:dyDescent="0.35"/>
  <cols>
    <col min="1" max="1" width="25.7265625" customWidth="1"/>
    <col min="2" max="9" width="12.7265625" customWidth="1"/>
  </cols>
  <sheetData>
    <row r="1" spans="1:9" ht="26" x14ac:dyDescent="0.6">
      <c r="A1" s="9" t="s">
        <v>307</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525</v>
      </c>
      <c r="B5" s="13" t="s">
        <v>208</v>
      </c>
      <c r="C5" s="13" t="s">
        <v>458</v>
      </c>
      <c r="D5" s="13" t="s">
        <v>466</v>
      </c>
      <c r="E5" s="13" t="s">
        <v>467</v>
      </c>
      <c r="F5" s="13" t="s">
        <v>468</v>
      </c>
      <c r="G5" s="13" t="s">
        <v>636</v>
      </c>
      <c r="H5" s="13" t="s">
        <v>641</v>
      </c>
      <c r="I5" s="13" t="s">
        <v>647</v>
      </c>
    </row>
    <row r="6" spans="1:9" x14ac:dyDescent="0.35">
      <c r="A6" s="14" t="s">
        <v>209</v>
      </c>
      <c r="B6" s="15">
        <v>179</v>
      </c>
      <c r="C6" s="15">
        <v>48</v>
      </c>
      <c r="D6" s="15">
        <v>102</v>
      </c>
      <c r="E6" s="15">
        <v>138</v>
      </c>
      <c r="F6" s="15">
        <v>179</v>
      </c>
      <c r="G6" s="15">
        <v>210</v>
      </c>
      <c r="H6" s="15">
        <v>255</v>
      </c>
      <c r="I6" s="15">
        <v>256</v>
      </c>
    </row>
    <row r="7" spans="1:9" x14ac:dyDescent="0.35">
      <c r="A7" s="16" t="s">
        <v>336</v>
      </c>
      <c r="B7" s="17">
        <v>0.49982677226949601</v>
      </c>
      <c r="C7" s="17">
        <v>0.59465368820816622</v>
      </c>
      <c r="D7" s="17">
        <v>0.53821202525222278</v>
      </c>
      <c r="E7" s="17">
        <v>0.51833130655827464</v>
      </c>
      <c r="F7" s="17">
        <v>0.4998267722694959</v>
      </c>
      <c r="G7" s="17">
        <v>0.51919560826706634</v>
      </c>
      <c r="H7" s="17">
        <v>0.53085982905567719</v>
      </c>
      <c r="I7" s="17">
        <v>0.51806757285293203</v>
      </c>
    </row>
    <row r="8" spans="1:9" x14ac:dyDescent="0.35">
      <c r="A8" s="16" t="s">
        <v>194</v>
      </c>
      <c r="B8" s="17">
        <v>0.36195482132005319</v>
      </c>
      <c r="C8" s="17">
        <v>0.33156523441231273</v>
      </c>
      <c r="D8" s="17">
        <v>0.38219667426244158</v>
      </c>
      <c r="E8" s="17">
        <v>0.35693716863546532</v>
      </c>
      <c r="F8" s="17">
        <v>0.36195482132005319</v>
      </c>
      <c r="G8" s="17">
        <v>0.33512425205897067</v>
      </c>
      <c r="H8" s="17">
        <v>0.34576402217330587</v>
      </c>
      <c r="I8" s="17">
        <v>0.34994874988210201</v>
      </c>
    </row>
    <row r="9" spans="1:9" x14ac:dyDescent="0.35">
      <c r="A9" s="16" t="s">
        <v>195</v>
      </c>
      <c r="B9" s="17">
        <v>0.13821840641045091</v>
      </c>
      <c r="C9" s="17">
        <v>7.3781077379521193E-2</v>
      </c>
      <c r="D9" s="148">
        <v>7.9591300485335803E-2</v>
      </c>
      <c r="E9" s="17">
        <v>0.12473152480626019</v>
      </c>
      <c r="F9" s="17">
        <v>0.1382184064104508</v>
      </c>
      <c r="G9" s="17">
        <v>0.1456801396739629</v>
      </c>
      <c r="H9" s="17">
        <v>0.12337614877101701</v>
      </c>
      <c r="I9" s="17">
        <v>0.13198367726496621</v>
      </c>
    </row>
    <row r="10" spans="1:9" x14ac:dyDescent="0.35">
      <c r="A10" s="14" t="s">
        <v>210</v>
      </c>
      <c r="B10" s="18">
        <v>0.2700372924889427</v>
      </c>
      <c r="C10" s="18">
        <v>0.30207186003120468</v>
      </c>
      <c r="D10" s="18">
        <v>0.30172010102719771</v>
      </c>
      <c r="E10" s="18">
        <v>0.26353875361250911</v>
      </c>
      <c r="F10" s="18">
        <v>0.2700372924889427</v>
      </c>
      <c r="G10" s="18">
        <v>0.29116012508173827</v>
      </c>
      <c r="H10" s="18">
        <v>0.29674692376188999</v>
      </c>
      <c r="I10" s="18">
        <v>0.28992645558549318</v>
      </c>
    </row>
    <row r="11" spans="1:9" x14ac:dyDescent="0.35">
      <c r="A11" s="14" t="s">
        <v>197</v>
      </c>
      <c r="B11" s="18">
        <v>0.22978947978055331</v>
      </c>
      <c r="C11" s="18">
        <v>0.29258182817696149</v>
      </c>
      <c r="D11" s="18">
        <v>0.23649192422502499</v>
      </c>
      <c r="E11" s="18">
        <v>0.25479255294576553</v>
      </c>
      <c r="F11" s="18">
        <v>0.22978947978055331</v>
      </c>
      <c r="G11" s="18">
        <v>0.2280354831853281</v>
      </c>
      <c r="H11" s="18">
        <v>0.23411290529378709</v>
      </c>
      <c r="I11" s="18">
        <v>0.2281411172674388</v>
      </c>
    </row>
    <row r="12" spans="1:9" x14ac:dyDescent="0.35">
      <c r="A12" s="14" t="s">
        <v>198</v>
      </c>
      <c r="B12" s="18">
        <v>0.26741088937353019</v>
      </c>
      <c r="C12" s="18">
        <v>0.2317005659874351</v>
      </c>
      <c r="D12" s="18">
        <v>0.27930921525713792</v>
      </c>
      <c r="E12" s="18">
        <v>0.25096075538226598</v>
      </c>
      <c r="F12" s="18">
        <v>0.26741088937353019</v>
      </c>
      <c r="G12" s="25">
        <v>0.25052701537079353</v>
      </c>
      <c r="H12" s="18">
        <v>0.25709205497500309</v>
      </c>
      <c r="I12" s="18">
        <v>0.25989679049201142</v>
      </c>
    </row>
    <row r="13" spans="1:9" x14ac:dyDescent="0.35">
      <c r="A13" s="14" t="s">
        <v>199</v>
      </c>
      <c r="B13" s="18">
        <v>9.4543931946523024E-2</v>
      </c>
      <c r="C13" s="18">
        <v>9.9864668424877553E-2</v>
      </c>
      <c r="D13" s="18">
        <v>0.1028874590053037</v>
      </c>
      <c r="E13" s="18">
        <v>0.1059764132531992</v>
      </c>
      <c r="F13" s="18">
        <v>9.454393194652301E-2</v>
      </c>
      <c r="G13" s="18">
        <v>8.4597236688177174E-2</v>
      </c>
      <c r="H13" s="18">
        <v>8.8671967198302878E-2</v>
      </c>
      <c r="I13" s="18">
        <v>9.0051959390090586E-2</v>
      </c>
    </row>
    <row r="14" spans="1:9" x14ac:dyDescent="0.35">
      <c r="A14" s="14" t="s">
        <v>200</v>
      </c>
      <c r="B14" s="18">
        <v>5.6904827959509748E-2</v>
      </c>
      <c r="C14" s="18">
        <v>2.37271590064057E-2</v>
      </c>
      <c r="D14" s="18">
        <v>3.5248795587480522E-2</v>
      </c>
      <c r="E14" s="18">
        <v>5.7868592287996561E-2</v>
      </c>
      <c r="F14" s="18">
        <v>5.6904827959509748E-2</v>
      </c>
      <c r="G14" s="18">
        <v>5.8065004187821873E-2</v>
      </c>
      <c r="H14" s="18">
        <v>4.7857094333393371E-2</v>
      </c>
      <c r="I14" s="18">
        <v>4.69452980932187E-2</v>
      </c>
    </row>
    <row r="15" spans="1:9" x14ac:dyDescent="0.35">
      <c r="A15" s="14" t="s">
        <v>201</v>
      </c>
      <c r="B15" s="18">
        <v>3.7391536093358643E-2</v>
      </c>
      <c r="C15" s="23">
        <v>0</v>
      </c>
      <c r="D15" s="21">
        <v>1.199498163635424E-2</v>
      </c>
      <c r="E15" s="18">
        <v>2.792048643072249E-2</v>
      </c>
      <c r="F15" s="18">
        <v>3.7391536093358629E-2</v>
      </c>
      <c r="G15" s="18">
        <v>4.4852787273343991E-2</v>
      </c>
      <c r="H15" s="18">
        <v>3.696760383780779E-2</v>
      </c>
      <c r="I15" s="18">
        <v>4.4694224124033823E-2</v>
      </c>
    </row>
    <row r="16" spans="1:9" x14ac:dyDescent="0.35">
      <c r="A16" s="14" t="s">
        <v>202</v>
      </c>
      <c r="B16" s="18">
        <v>1.175948709267037E-2</v>
      </c>
      <c r="C16" s="18">
        <v>0</v>
      </c>
      <c r="D16" s="23">
        <v>0</v>
      </c>
      <c r="E16" s="18">
        <v>1.493527591014141E-2</v>
      </c>
      <c r="F16" s="18">
        <v>1.175948709267037E-2</v>
      </c>
      <c r="G16" s="18">
        <v>9.9705346370526117E-3</v>
      </c>
      <c r="H16" s="18">
        <v>8.2177005470684024E-3</v>
      </c>
      <c r="I16" s="18">
        <v>8.2494699962284562E-3</v>
      </c>
    </row>
    <row r="17" spans="1:9" x14ac:dyDescent="0.35">
      <c r="A17" s="14" t="s">
        <v>211</v>
      </c>
      <c r="B17" s="18">
        <v>4.4447653043376582E-3</v>
      </c>
      <c r="C17" s="18">
        <v>1.5897305494339209E-2</v>
      </c>
      <c r="D17" s="18">
        <v>7.6063055464013051E-3</v>
      </c>
      <c r="E17" s="18">
        <v>5.6451268369930247E-3</v>
      </c>
      <c r="F17" s="18">
        <v>4.4447653043376573E-3</v>
      </c>
      <c r="G17" s="18">
        <v>9.2906878304973503E-3</v>
      </c>
      <c r="H17" s="18">
        <v>7.6573717705762951E-3</v>
      </c>
      <c r="I17" s="18">
        <v>4.5689004005515371E-3</v>
      </c>
    </row>
    <row r="18" spans="1:9" x14ac:dyDescent="0.35">
      <c r="A18" s="14" t="s">
        <v>212</v>
      </c>
      <c r="B18" s="18">
        <v>0</v>
      </c>
      <c r="C18" s="18">
        <v>0</v>
      </c>
      <c r="D18" s="18">
        <v>0</v>
      </c>
      <c r="E18" s="18">
        <v>0</v>
      </c>
      <c r="F18" s="18">
        <v>0</v>
      </c>
      <c r="G18" s="18">
        <v>0</v>
      </c>
      <c r="H18" s="18">
        <v>0</v>
      </c>
      <c r="I18" s="18">
        <v>3.70224190795708E-3</v>
      </c>
    </row>
    <row r="19" spans="1:9" x14ac:dyDescent="0.35">
      <c r="A19" s="14" t="s">
        <v>203</v>
      </c>
      <c r="B19" s="18">
        <v>0</v>
      </c>
      <c r="C19" s="18">
        <v>0</v>
      </c>
      <c r="D19" s="18">
        <v>0</v>
      </c>
      <c r="E19" s="18">
        <v>0</v>
      </c>
      <c r="F19" s="18">
        <v>0</v>
      </c>
      <c r="G19" s="18">
        <v>0</v>
      </c>
      <c r="H19" s="18">
        <v>0</v>
      </c>
      <c r="I19" s="18">
        <v>0</v>
      </c>
    </row>
    <row r="20" spans="1:9" x14ac:dyDescent="0.35">
      <c r="A20" s="14" t="s">
        <v>204</v>
      </c>
      <c r="B20" s="18">
        <v>2.7717789960574449E-2</v>
      </c>
      <c r="C20" s="18">
        <v>3.4156612878776291E-2</v>
      </c>
      <c r="D20" s="18">
        <v>2.4741217715099739E-2</v>
      </c>
      <c r="E20" s="18">
        <v>1.8362043340406711E-2</v>
      </c>
      <c r="F20" s="18">
        <v>2.7717789960574439E-2</v>
      </c>
      <c r="G20" s="18">
        <v>2.3501125745247101E-2</v>
      </c>
      <c r="H20" s="18">
        <v>2.2676378282171141E-2</v>
      </c>
      <c r="I20" s="18">
        <v>2.382354274297659E-2</v>
      </c>
    </row>
    <row r="21" spans="1:9" x14ac:dyDescent="0.35">
      <c r="A21" s="14" t="s">
        <v>213</v>
      </c>
      <c r="B21" s="1">
        <f>(B7-B9)*100</f>
        <v>36.160836585904512</v>
      </c>
      <c r="C21" s="1">
        <f t="shared" ref="C21:F21" si="0">(C7-C9)*100</f>
        <v>52.087261082864501</v>
      </c>
      <c r="D21" s="1">
        <f t="shared" si="0"/>
        <v>45.862072476688695</v>
      </c>
      <c r="E21" s="1">
        <f t="shared" si="0"/>
        <v>39.359978175201441</v>
      </c>
      <c r="F21" s="1">
        <f t="shared" si="0"/>
        <v>36.160836585904512</v>
      </c>
      <c r="G21" s="1">
        <v>37.351546859310353</v>
      </c>
      <c r="H21" s="1">
        <v>40.748368028466011</v>
      </c>
      <c r="I21" s="1">
        <v>38.608389558796581</v>
      </c>
    </row>
    <row r="23" spans="1:9" x14ac:dyDescent="0.35">
      <c r="C23" s="187"/>
      <c r="D23" s="187"/>
      <c r="E23" s="187"/>
      <c r="F23" s="187"/>
      <c r="G23" s="170"/>
      <c r="H23" s="170"/>
      <c r="I23" s="170"/>
    </row>
    <row r="24" spans="1:9" ht="29" x14ac:dyDescent="0.35">
      <c r="A24" s="12" t="s">
        <v>526</v>
      </c>
      <c r="B24" s="13" t="s">
        <v>208</v>
      </c>
      <c r="C24" s="13" t="s">
        <v>458</v>
      </c>
      <c r="D24" s="13" t="s">
        <v>466</v>
      </c>
      <c r="E24" s="13" t="s">
        <v>467</v>
      </c>
      <c r="F24" s="13" t="s">
        <v>468</v>
      </c>
      <c r="G24" s="13" t="s">
        <v>636</v>
      </c>
      <c r="H24" s="13" t="s">
        <v>641</v>
      </c>
      <c r="I24" s="13" t="s">
        <v>647</v>
      </c>
    </row>
    <row r="25" spans="1:9" x14ac:dyDescent="0.35">
      <c r="A25" s="14" t="s">
        <v>209</v>
      </c>
      <c r="B25" s="15">
        <v>308</v>
      </c>
      <c r="C25" s="15">
        <v>67</v>
      </c>
      <c r="D25" s="15">
        <v>147</v>
      </c>
      <c r="E25" s="15">
        <v>233</v>
      </c>
      <c r="F25" s="15">
        <v>308</v>
      </c>
      <c r="G25" s="15">
        <v>383</v>
      </c>
      <c r="H25" s="15">
        <v>452</v>
      </c>
      <c r="I25" s="15">
        <v>436</v>
      </c>
    </row>
    <row r="26" spans="1:9" x14ac:dyDescent="0.35">
      <c r="A26" s="16" t="s">
        <v>336</v>
      </c>
      <c r="B26" s="17">
        <v>0.44375587723805793</v>
      </c>
      <c r="C26" s="17">
        <v>0.4087155412679942</v>
      </c>
      <c r="D26" s="17">
        <v>0.47770191869927758</v>
      </c>
      <c r="E26" s="17">
        <v>0.44773701409137667</v>
      </c>
      <c r="F26" s="17">
        <v>0.44375587723805793</v>
      </c>
      <c r="G26" s="17">
        <v>0.48349875648780521</v>
      </c>
      <c r="H26" s="17">
        <v>0.49828598030684601</v>
      </c>
      <c r="I26" s="153">
        <v>0.53151866049026986</v>
      </c>
    </row>
    <row r="27" spans="1:9" x14ac:dyDescent="0.35">
      <c r="A27" s="16" t="s">
        <v>194</v>
      </c>
      <c r="B27" s="17">
        <v>0.38331786519403332</v>
      </c>
      <c r="C27" s="17">
        <v>0.45918311828745001</v>
      </c>
      <c r="D27" s="17">
        <v>0.40600107720226358</v>
      </c>
      <c r="E27" s="17">
        <v>0.39648269977484879</v>
      </c>
      <c r="F27" s="17">
        <v>0.38331786519403321</v>
      </c>
      <c r="G27" s="17">
        <v>0.35735545350063208</v>
      </c>
      <c r="H27" s="152">
        <v>0.33136581717667279</v>
      </c>
      <c r="I27" s="155">
        <v>0.30289319639706058</v>
      </c>
    </row>
    <row r="28" spans="1:9" x14ac:dyDescent="0.35">
      <c r="A28" s="16" t="s">
        <v>195</v>
      </c>
      <c r="B28" s="17">
        <v>0.1729262575679088</v>
      </c>
      <c r="C28" s="17">
        <v>0.1321013404445559</v>
      </c>
      <c r="D28" s="155">
        <v>0.11629700409845881</v>
      </c>
      <c r="E28" s="17">
        <v>0.15578028613377451</v>
      </c>
      <c r="F28" s="17">
        <v>0.1729262575679088</v>
      </c>
      <c r="G28" s="17">
        <v>0.1591457900115627</v>
      </c>
      <c r="H28" s="17">
        <v>0.17034820251648111</v>
      </c>
      <c r="I28" s="17">
        <v>0.16558814311266951</v>
      </c>
    </row>
    <row r="29" spans="1:9" x14ac:dyDescent="0.35">
      <c r="A29" s="14" t="s">
        <v>210</v>
      </c>
      <c r="B29" s="18">
        <v>0.26992314209583401</v>
      </c>
      <c r="C29" s="18">
        <v>0.27050359781538019</v>
      </c>
      <c r="D29" s="18">
        <v>0.27171775202973603</v>
      </c>
      <c r="E29" s="18">
        <v>0.25228063234496928</v>
      </c>
      <c r="F29" s="18">
        <v>0.26992314209583401</v>
      </c>
      <c r="G29" s="18">
        <v>0.3234909334378287</v>
      </c>
      <c r="H29" s="18">
        <v>0.32390661672342058</v>
      </c>
      <c r="I29" s="18">
        <v>0.33963261619325058</v>
      </c>
    </row>
    <row r="30" spans="1:9" x14ac:dyDescent="0.35">
      <c r="A30" s="14" t="s">
        <v>197</v>
      </c>
      <c r="B30" s="18">
        <v>0.17383273514222389</v>
      </c>
      <c r="C30" s="18">
        <v>0.13821194345261401</v>
      </c>
      <c r="D30" s="18">
        <v>0.2059841666695417</v>
      </c>
      <c r="E30" s="20">
        <v>0.19545638174640739</v>
      </c>
      <c r="F30" s="18">
        <v>0.173832735142224</v>
      </c>
      <c r="G30" s="18">
        <v>0.16000782304997649</v>
      </c>
      <c r="H30" s="18">
        <v>0.17437936358342529</v>
      </c>
      <c r="I30" s="18">
        <v>0.19188604429701919</v>
      </c>
    </row>
    <row r="31" spans="1:9" x14ac:dyDescent="0.35">
      <c r="A31" s="14" t="s">
        <v>198</v>
      </c>
      <c r="B31" s="18">
        <v>0.2455567106106934</v>
      </c>
      <c r="C31" s="18">
        <v>0.27062247939257572</v>
      </c>
      <c r="D31" s="18">
        <v>0.24229780564637951</v>
      </c>
      <c r="E31" s="18">
        <v>0.25036285032677152</v>
      </c>
      <c r="F31" s="18">
        <v>0.24555671061069331</v>
      </c>
      <c r="G31" s="18">
        <v>0.21736481912943181</v>
      </c>
      <c r="H31" s="18">
        <v>0.20582977610533809</v>
      </c>
      <c r="I31" s="18">
        <v>0.19003798833512239</v>
      </c>
    </row>
    <row r="32" spans="1:9" x14ac:dyDescent="0.35">
      <c r="A32" s="14" t="s">
        <v>199</v>
      </c>
      <c r="B32" s="18">
        <v>0.1377611545833399</v>
      </c>
      <c r="C32" s="18">
        <v>0.18856063889487429</v>
      </c>
      <c r="D32" s="18">
        <v>0.1637032715558841</v>
      </c>
      <c r="E32" s="18">
        <v>0.1461198494480774</v>
      </c>
      <c r="F32" s="18">
        <v>0.1377611545833399</v>
      </c>
      <c r="G32" s="18">
        <v>0.1399906343712003</v>
      </c>
      <c r="H32" s="18">
        <v>0.12553604107133479</v>
      </c>
      <c r="I32" s="23">
        <v>0.1128552080619383</v>
      </c>
    </row>
    <row r="33" spans="1:9" x14ac:dyDescent="0.35">
      <c r="A33" s="14" t="s">
        <v>200</v>
      </c>
      <c r="B33" s="18">
        <v>5.3112820699532763E-2</v>
      </c>
      <c r="C33" s="18">
        <v>2.4013968969608689E-2</v>
      </c>
      <c r="D33" s="24">
        <v>1.7693052080778791E-2</v>
      </c>
      <c r="E33" s="18">
        <v>4.9476926289216148E-2</v>
      </c>
      <c r="F33" s="18">
        <v>5.3112820699532763E-2</v>
      </c>
      <c r="G33" s="18">
        <v>4.275298820283057E-2</v>
      </c>
      <c r="H33" s="18">
        <v>5.184974607826473E-2</v>
      </c>
      <c r="I33" s="18">
        <v>5.2367675434248973E-2</v>
      </c>
    </row>
    <row r="34" spans="1:9" x14ac:dyDescent="0.35">
      <c r="A34" s="14" t="s">
        <v>201</v>
      </c>
      <c r="B34" s="18">
        <v>7.414677545434939E-2</v>
      </c>
      <c r="C34" s="18">
        <v>6.6332199659964994E-2</v>
      </c>
      <c r="D34" s="18">
        <v>6.8305486346925126E-2</v>
      </c>
      <c r="E34" s="18">
        <v>7.1128885649832649E-2</v>
      </c>
      <c r="F34" s="18">
        <v>7.414677545434939E-2</v>
      </c>
      <c r="G34" s="25">
        <v>6.6935862487332534E-2</v>
      </c>
      <c r="H34" s="18">
        <v>6.8394664672236496E-2</v>
      </c>
      <c r="I34" s="18">
        <v>6.3291881591624827E-2</v>
      </c>
    </row>
    <row r="35" spans="1:9" x14ac:dyDescent="0.35">
      <c r="A35" s="14" t="s">
        <v>202</v>
      </c>
      <c r="B35" s="18">
        <v>1.485122737631946E-2</v>
      </c>
      <c r="C35" s="18">
        <v>3.0325955653347642E-2</v>
      </c>
      <c r="D35" s="18">
        <v>1.9250752751201139E-2</v>
      </c>
      <c r="E35" s="18">
        <v>1.6039422065274509E-2</v>
      </c>
      <c r="F35" s="18">
        <v>1.485122737631946E-2</v>
      </c>
      <c r="G35" s="18">
        <v>1.504874696664836E-2</v>
      </c>
      <c r="H35" s="18">
        <v>1.474530548041089E-2</v>
      </c>
      <c r="I35" s="18">
        <v>1.3260411035497599E-2</v>
      </c>
    </row>
    <row r="36" spans="1:9" x14ac:dyDescent="0.35">
      <c r="A36" s="14" t="s">
        <v>211</v>
      </c>
      <c r="B36" s="18">
        <v>1.2937343712500981E-2</v>
      </c>
      <c r="C36" s="18">
        <v>0</v>
      </c>
      <c r="D36" s="18">
        <v>6.0040357620227388E-3</v>
      </c>
      <c r="E36" s="18">
        <v>1.183646069195313E-2</v>
      </c>
      <c r="F36" s="25">
        <v>1.2937343712500981E-2</v>
      </c>
      <c r="G36" s="25">
        <v>1.5153647845014259E-2</v>
      </c>
      <c r="H36" s="18">
        <v>1.28387251024889E-2</v>
      </c>
      <c r="I36" s="18">
        <v>1.3268837030080711E-2</v>
      </c>
    </row>
    <row r="37" spans="1:9" x14ac:dyDescent="0.35">
      <c r="A37" s="14" t="s">
        <v>212</v>
      </c>
      <c r="B37" s="18">
        <v>5.2495922343796129E-3</v>
      </c>
      <c r="C37" s="18">
        <v>1.142921616163458E-2</v>
      </c>
      <c r="D37" s="18">
        <v>5.0436771575310124E-3</v>
      </c>
      <c r="E37" s="18">
        <v>3.2208500999361652E-3</v>
      </c>
      <c r="F37" s="18">
        <v>5.2495922343796129E-3</v>
      </c>
      <c r="G37" s="18">
        <v>4.225641792511255E-3</v>
      </c>
      <c r="H37" s="18">
        <v>3.5801183919877081E-3</v>
      </c>
      <c r="I37" s="18">
        <v>1.98497989309923E-3</v>
      </c>
    </row>
    <row r="38" spans="1:9" x14ac:dyDescent="0.35">
      <c r="A38" s="14" t="s">
        <v>203</v>
      </c>
      <c r="B38" s="18">
        <v>0</v>
      </c>
      <c r="C38" s="18">
        <v>0</v>
      </c>
      <c r="D38" s="18">
        <v>0</v>
      </c>
      <c r="E38" s="18">
        <v>0</v>
      </c>
      <c r="F38" s="18">
        <v>0</v>
      </c>
      <c r="G38" s="18">
        <v>2.345301718897953E-3</v>
      </c>
      <c r="H38" s="18">
        <v>5.9135021083801427E-3</v>
      </c>
      <c r="I38" s="18">
        <v>6.1116111706390223E-3</v>
      </c>
    </row>
    <row r="39" spans="1:9" x14ac:dyDescent="0.35">
      <c r="A39" s="14" t="s">
        <v>204</v>
      </c>
      <c r="B39" s="18">
        <v>1.2628498090826629E-2</v>
      </c>
      <c r="C39" s="18">
        <v>0</v>
      </c>
      <c r="D39" s="23">
        <v>0</v>
      </c>
      <c r="E39" s="21">
        <v>4.0777413375618901E-3</v>
      </c>
      <c r="F39" s="18">
        <v>1.2628498090826629E-2</v>
      </c>
      <c r="G39" s="18">
        <v>1.268360099832775E-2</v>
      </c>
      <c r="H39" s="18">
        <v>1.302614068271222E-2</v>
      </c>
      <c r="I39" s="18">
        <v>1.530274695747914E-2</v>
      </c>
    </row>
    <row r="40" spans="1:9" x14ac:dyDescent="0.35">
      <c r="A40" s="14" t="s">
        <v>213</v>
      </c>
      <c r="B40" s="1">
        <f>(B26-B28)*100</f>
        <v>27.082961967014914</v>
      </c>
      <c r="C40" s="1">
        <f t="shared" ref="C40:F40" si="1">(C26-C28)*100</f>
        <v>27.661420082343831</v>
      </c>
      <c r="D40" s="1">
        <f t="shared" si="1"/>
        <v>36.140491460081883</v>
      </c>
      <c r="E40" s="1">
        <f t="shared" si="1"/>
        <v>29.19567279576022</v>
      </c>
      <c r="F40" s="1">
        <f t="shared" si="1"/>
        <v>27.082961967014914</v>
      </c>
      <c r="G40" s="1">
        <v>32.435296647624263</v>
      </c>
      <c r="H40" s="1">
        <v>32.793777779036489</v>
      </c>
      <c r="I40" s="1">
        <v>36.593051737760042</v>
      </c>
    </row>
    <row r="42" spans="1:9" x14ac:dyDescent="0.35">
      <c r="C42" s="187"/>
      <c r="D42" s="187"/>
      <c r="E42" s="187"/>
      <c r="F42" s="187"/>
      <c r="G42" s="170"/>
      <c r="H42" s="170"/>
      <c r="I42" s="170"/>
    </row>
    <row r="43" spans="1:9" ht="29" x14ac:dyDescent="0.35">
      <c r="A43" s="12" t="s">
        <v>527</v>
      </c>
      <c r="B43" s="13" t="s">
        <v>208</v>
      </c>
      <c r="C43" s="13" t="s">
        <v>458</v>
      </c>
      <c r="D43" s="13" t="s">
        <v>466</v>
      </c>
      <c r="E43" s="13" t="s">
        <v>467</v>
      </c>
      <c r="F43" s="13" t="s">
        <v>468</v>
      </c>
      <c r="G43" s="13" t="s">
        <v>636</v>
      </c>
      <c r="H43" s="13" t="s">
        <v>641</v>
      </c>
      <c r="I43" s="13" t="s">
        <v>647</v>
      </c>
    </row>
    <row r="44" spans="1:9" x14ac:dyDescent="0.35">
      <c r="A44" s="14" t="s">
        <v>209</v>
      </c>
      <c r="B44" s="15">
        <v>148</v>
      </c>
      <c r="C44" s="15">
        <v>39</v>
      </c>
      <c r="D44" s="15">
        <v>83</v>
      </c>
      <c r="E44" s="15">
        <v>115</v>
      </c>
      <c r="F44" s="15">
        <v>148</v>
      </c>
      <c r="G44" s="15">
        <v>177</v>
      </c>
      <c r="H44" s="15">
        <v>215</v>
      </c>
      <c r="I44" s="15">
        <v>217</v>
      </c>
    </row>
    <row r="45" spans="1:9" x14ac:dyDescent="0.35">
      <c r="A45" s="16" t="s">
        <v>336</v>
      </c>
      <c r="B45" s="17">
        <v>0.43832768872205491</v>
      </c>
      <c r="C45" s="17">
        <v>0.42788403742521769</v>
      </c>
      <c r="D45" s="17">
        <v>0.42009848569387021</v>
      </c>
      <c r="E45" s="17">
        <v>0.42863646096710778</v>
      </c>
      <c r="F45" s="17">
        <v>0.43832768872205502</v>
      </c>
      <c r="G45" s="17">
        <v>0.43804722868100487</v>
      </c>
      <c r="H45" s="17">
        <v>0.4306690169597171</v>
      </c>
      <c r="I45" s="17">
        <v>0.43301728959440849</v>
      </c>
    </row>
    <row r="46" spans="1:9" x14ac:dyDescent="0.35">
      <c r="A46" s="16" t="s">
        <v>194</v>
      </c>
      <c r="B46" s="17">
        <v>0.36223448068379938</v>
      </c>
      <c r="C46" s="17">
        <v>0.42384599765774778</v>
      </c>
      <c r="D46" s="17">
        <v>0.37463143721622061</v>
      </c>
      <c r="E46" s="17">
        <v>0.36410709547475539</v>
      </c>
      <c r="F46" s="17">
        <v>0.36223448068379938</v>
      </c>
      <c r="G46" s="17">
        <v>0.34877232505353528</v>
      </c>
      <c r="H46" s="17">
        <v>0.36984575394210217</v>
      </c>
      <c r="I46" s="17">
        <v>0.35678535239495562</v>
      </c>
    </row>
    <row r="47" spans="1:9" x14ac:dyDescent="0.35">
      <c r="A47" s="16" t="s">
        <v>195</v>
      </c>
      <c r="B47" s="17">
        <v>0.19943783059414569</v>
      </c>
      <c r="C47" s="17">
        <v>0.14826996491703459</v>
      </c>
      <c r="D47" s="17">
        <v>0.2052700770899093</v>
      </c>
      <c r="E47" s="17">
        <v>0.20725644355813669</v>
      </c>
      <c r="F47" s="152">
        <v>0.19943783059414569</v>
      </c>
      <c r="G47" s="17">
        <v>0.21318044626545979</v>
      </c>
      <c r="H47" s="17">
        <v>0.19948522909818089</v>
      </c>
      <c r="I47" s="17">
        <v>0.21019735801063591</v>
      </c>
    </row>
    <row r="48" spans="1:9" x14ac:dyDescent="0.35">
      <c r="A48" s="14" t="s">
        <v>210</v>
      </c>
      <c r="B48" s="18">
        <v>0.315641102675287</v>
      </c>
      <c r="C48" s="18">
        <v>0.34297116881521811</v>
      </c>
      <c r="D48" s="18">
        <v>0.3241211367750842</v>
      </c>
      <c r="E48" s="18">
        <v>0.31105220883669632</v>
      </c>
      <c r="F48" s="18">
        <v>0.31564110267528711</v>
      </c>
      <c r="G48" s="18">
        <v>0.31271649529806989</v>
      </c>
      <c r="H48" s="18">
        <v>0.29116759095948969</v>
      </c>
      <c r="I48" s="18">
        <v>0.27108604877498571</v>
      </c>
    </row>
    <row r="49" spans="1:9" x14ac:dyDescent="0.35">
      <c r="A49" s="14" t="s">
        <v>197</v>
      </c>
      <c r="B49" s="18">
        <v>0.1226865860467679</v>
      </c>
      <c r="C49" s="18">
        <v>8.491286860999965E-2</v>
      </c>
      <c r="D49" s="18">
        <v>9.5977348918785968E-2</v>
      </c>
      <c r="E49" s="18">
        <v>0.1175842521304115</v>
      </c>
      <c r="F49" s="18">
        <v>0.1226865860467679</v>
      </c>
      <c r="G49" s="18">
        <v>0.12533073338293499</v>
      </c>
      <c r="H49" s="18">
        <v>0.13950142600022741</v>
      </c>
      <c r="I49" s="18">
        <v>0.16193124081942281</v>
      </c>
    </row>
    <row r="50" spans="1:9" x14ac:dyDescent="0.35">
      <c r="A50" s="14" t="s">
        <v>198</v>
      </c>
      <c r="B50" s="18">
        <v>0.19928118862627839</v>
      </c>
      <c r="C50" s="18">
        <v>0.14957242610499749</v>
      </c>
      <c r="D50" s="18">
        <v>0.17737035823959921</v>
      </c>
      <c r="E50" s="23">
        <v>0.1696364126460434</v>
      </c>
      <c r="F50" s="18">
        <v>0.19928118862627839</v>
      </c>
      <c r="G50" s="18">
        <v>0.20130818761757091</v>
      </c>
      <c r="H50" s="25">
        <v>0.22558840528245949</v>
      </c>
      <c r="I50" s="18">
        <v>0.24461506552654819</v>
      </c>
    </row>
    <row r="51" spans="1:9" x14ac:dyDescent="0.35">
      <c r="A51" s="14" t="s">
        <v>199</v>
      </c>
      <c r="B51" s="18">
        <v>0.16295329205752099</v>
      </c>
      <c r="C51" s="19">
        <v>0.27427357155275039</v>
      </c>
      <c r="D51" s="18">
        <v>0.1972610789766214</v>
      </c>
      <c r="E51" s="19">
        <v>0.1944706828287121</v>
      </c>
      <c r="F51" s="18">
        <v>0.16295329205752099</v>
      </c>
      <c r="G51" s="18">
        <v>0.1474641374359644</v>
      </c>
      <c r="H51" s="18">
        <v>0.14425734865964271</v>
      </c>
      <c r="I51" s="24">
        <v>0.1121702868684073</v>
      </c>
    </row>
    <row r="52" spans="1:9" x14ac:dyDescent="0.35">
      <c r="A52" s="14" t="s">
        <v>200</v>
      </c>
      <c r="B52" s="18">
        <v>5.9336243823009671E-2</v>
      </c>
      <c r="C52" s="18">
        <v>3.1294394275169501E-2</v>
      </c>
      <c r="D52" s="18">
        <v>7.2885249423891463E-2</v>
      </c>
      <c r="E52" s="18">
        <v>6.8546817189462483E-2</v>
      </c>
      <c r="F52" s="18">
        <v>5.9336243823009671E-2</v>
      </c>
      <c r="G52" s="18">
        <v>6.1293228326407323E-2</v>
      </c>
      <c r="H52" s="18">
        <v>5.9738052966879181E-2</v>
      </c>
      <c r="I52" s="18">
        <v>6.3219874656568989E-2</v>
      </c>
    </row>
    <row r="53" spans="1:9" x14ac:dyDescent="0.35">
      <c r="A53" s="14" t="s">
        <v>201</v>
      </c>
      <c r="B53" s="18">
        <v>9.6815576953152183E-2</v>
      </c>
      <c r="C53" s="18">
        <v>9.6008182767136366E-2</v>
      </c>
      <c r="D53" s="18">
        <v>0.1002271413284591</v>
      </c>
      <c r="E53" s="18">
        <v>9.3310943047270667E-2</v>
      </c>
      <c r="F53" s="18">
        <v>9.6815576953152183E-2</v>
      </c>
      <c r="G53" s="18">
        <v>9.3815418009721957E-2</v>
      </c>
      <c r="H53" s="18">
        <v>9.2227476839437605E-2</v>
      </c>
      <c r="I53" s="18">
        <v>0.1033044000900815</v>
      </c>
    </row>
    <row r="54" spans="1:9" x14ac:dyDescent="0.35">
      <c r="A54" s="14" t="s">
        <v>202</v>
      </c>
      <c r="B54" s="18">
        <v>0</v>
      </c>
      <c r="C54" s="18">
        <v>0</v>
      </c>
      <c r="D54" s="18">
        <v>0</v>
      </c>
      <c r="E54" s="18">
        <v>0</v>
      </c>
      <c r="F54" s="18">
        <v>0</v>
      </c>
      <c r="G54" s="18">
        <v>0</v>
      </c>
      <c r="H54" s="18">
        <v>0</v>
      </c>
      <c r="I54" s="18">
        <v>0</v>
      </c>
    </row>
    <row r="55" spans="1:9" x14ac:dyDescent="0.35">
      <c r="A55" s="14" t="s">
        <v>211</v>
      </c>
      <c r="B55" s="18">
        <v>0</v>
      </c>
      <c r="C55" s="18">
        <v>0</v>
      </c>
      <c r="D55" s="18">
        <v>0</v>
      </c>
      <c r="E55" s="18">
        <v>0</v>
      </c>
      <c r="F55" s="18">
        <v>0</v>
      </c>
      <c r="G55" s="18">
        <v>6.4976445461067981E-3</v>
      </c>
      <c r="H55" s="18">
        <v>5.3169716680413533E-3</v>
      </c>
      <c r="I55" s="18">
        <v>5.3189244233463476E-3</v>
      </c>
    </row>
    <row r="56" spans="1:9" x14ac:dyDescent="0.35">
      <c r="A56" s="14" t="s">
        <v>212</v>
      </c>
      <c r="B56" s="18">
        <v>2.964874739357596E-2</v>
      </c>
      <c r="C56" s="18">
        <v>2.0967387874728689E-2</v>
      </c>
      <c r="D56" s="18">
        <v>2.181799168098281E-2</v>
      </c>
      <c r="E56" s="18">
        <v>3.7895916226620592E-2</v>
      </c>
      <c r="F56" s="18">
        <v>2.964874739357596E-2</v>
      </c>
      <c r="G56" s="18">
        <v>3.521625461086178E-2</v>
      </c>
      <c r="H56" s="18">
        <v>2.8817185472645449E-2</v>
      </c>
      <c r="I56" s="18">
        <v>2.4963700603750191E-2</v>
      </c>
    </row>
    <row r="57" spans="1:9" x14ac:dyDescent="0.35">
      <c r="A57" s="14" t="s">
        <v>203</v>
      </c>
      <c r="B57" s="18">
        <v>0</v>
      </c>
      <c r="C57" s="18">
        <v>0</v>
      </c>
      <c r="D57" s="18">
        <v>0</v>
      </c>
      <c r="E57" s="18">
        <v>0</v>
      </c>
      <c r="F57" s="18">
        <v>0</v>
      </c>
      <c r="G57" s="18">
        <v>4.982963119424466E-3</v>
      </c>
      <c r="H57" s="18">
        <v>4.0775197136244477E-3</v>
      </c>
      <c r="I57" s="18">
        <v>4.0790172574800719E-3</v>
      </c>
    </row>
    <row r="58" spans="1:9" x14ac:dyDescent="0.35">
      <c r="A58" s="14" t="s">
        <v>204</v>
      </c>
      <c r="B58" s="18">
        <v>1.3637262424407961E-2</v>
      </c>
      <c r="C58" s="18">
        <v>0</v>
      </c>
      <c r="D58" s="18">
        <v>1.033969465657596E-2</v>
      </c>
      <c r="E58" s="18">
        <v>7.5027670947829033E-3</v>
      </c>
      <c r="F58" s="18">
        <v>1.3637262424407961E-2</v>
      </c>
      <c r="G58" s="18">
        <v>1.1374937652937451E-2</v>
      </c>
      <c r="H58" s="18">
        <v>9.3080224375528871E-3</v>
      </c>
      <c r="I58" s="18">
        <v>9.3114409794088082E-3</v>
      </c>
    </row>
    <row r="59" spans="1:9" x14ac:dyDescent="0.35">
      <c r="A59" s="14" t="s">
        <v>213</v>
      </c>
      <c r="B59" s="1">
        <f t="shared" ref="B59:F59" si="2">(B45-B47)*100</f>
        <v>23.888985812790921</v>
      </c>
      <c r="C59" s="1">
        <f t="shared" si="2"/>
        <v>27.961407250818311</v>
      </c>
      <c r="D59" s="1">
        <f t="shared" si="2"/>
        <v>21.482840860396092</v>
      </c>
      <c r="E59" s="1">
        <f t="shared" si="2"/>
        <v>22.13800174089711</v>
      </c>
      <c r="F59" s="1">
        <f t="shared" si="2"/>
        <v>23.888985812790935</v>
      </c>
      <c r="G59" s="1">
        <v>22.486678241554522</v>
      </c>
      <c r="H59" s="1">
        <v>23.11837878615361</v>
      </c>
      <c r="I59" s="1">
        <v>22.281993158377261</v>
      </c>
    </row>
    <row r="61" spans="1:9" x14ac:dyDescent="0.35">
      <c r="C61" s="187"/>
      <c r="D61" s="187"/>
      <c r="E61" s="187"/>
      <c r="F61" s="187"/>
      <c r="G61" s="170"/>
      <c r="H61" s="170"/>
      <c r="I61" s="170"/>
    </row>
    <row r="62" spans="1:9" ht="29" x14ac:dyDescent="0.35">
      <c r="A62" s="12" t="s">
        <v>528</v>
      </c>
      <c r="B62" s="13" t="s">
        <v>208</v>
      </c>
      <c r="C62" s="13" t="s">
        <v>458</v>
      </c>
      <c r="D62" s="13" t="s">
        <v>466</v>
      </c>
      <c r="E62" s="13" t="s">
        <v>467</v>
      </c>
      <c r="F62" s="13" t="s">
        <v>468</v>
      </c>
      <c r="G62" s="13" t="s">
        <v>636</v>
      </c>
      <c r="H62" s="13" t="s">
        <v>641</v>
      </c>
      <c r="I62" s="13" t="s">
        <v>647</v>
      </c>
    </row>
    <row r="63" spans="1:9" x14ac:dyDescent="0.35">
      <c r="A63" s="14" t="s">
        <v>209</v>
      </c>
      <c r="B63" s="15">
        <v>53</v>
      </c>
      <c r="C63" s="15">
        <v>15</v>
      </c>
      <c r="D63" s="15">
        <v>21</v>
      </c>
      <c r="E63" s="15">
        <v>39</v>
      </c>
      <c r="F63" s="15">
        <v>53</v>
      </c>
      <c r="G63" s="15">
        <v>61</v>
      </c>
      <c r="H63" s="15">
        <v>70</v>
      </c>
      <c r="I63" s="15">
        <v>59</v>
      </c>
    </row>
    <row r="64" spans="1:9" x14ac:dyDescent="0.35">
      <c r="A64" s="16" t="s">
        <v>336</v>
      </c>
      <c r="B64" s="17">
        <v>0.34681604024203749</v>
      </c>
      <c r="C64" s="17">
        <v>0.3521907079368567</v>
      </c>
      <c r="D64" s="17">
        <v>0.3773167691772486</v>
      </c>
      <c r="E64" s="17">
        <v>0.33946183513057449</v>
      </c>
      <c r="F64" s="152">
        <v>0.34681604024203749</v>
      </c>
      <c r="G64" s="17">
        <v>0.38567754270329663</v>
      </c>
      <c r="H64" s="17">
        <v>0.34968941405824888</v>
      </c>
      <c r="I64" s="17">
        <v>0.37368835901202802</v>
      </c>
    </row>
    <row r="65" spans="1:9" x14ac:dyDescent="0.35">
      <c r="A65" s="16" t="s">
        <v>194</v>
      </c>
      <c r="B65" s="17">
        <v>0.29296143681733</v>
      </c>
      <c r="C65" s="17">
        <v>0.32400772604274419</v>
      </c>
      <c r="D65" s="17">
        <v>0.29052044111661512</v>
      </c>
      <c r="E65" s="155">
        <v>0.22024148199671029</v>
      </c>
      <c r="F65" s="17">
        <v>0.29296143681733011</v>
      </c>
      <c r="G65" s="17">
        <v>0.27150148842326188</v>
      </c>
      <c r="H65" s="17">
        <v>0.30839101004101499</v>
      </c>
      <c r="I65" s="17">
        <v>0.30225584668509481</v>
      </c>
    </row>
    <row r="66" spans="1:9" x14ac:dyDescent="0.35">
      <c r="A66" s="16" t="s">
        <v>195</v>
      </c>
      <c r="B66" s="17">
        <v>0.36022252294063262</v>
      </c>
      <c r="C66" s="17">
        <v>0.32380156602039889</v>
      </c>
      <c r="D66" s="17">
        <v>0.33216278970613639</v>
      </c>
      <c r="E66" s="149">
        <v>0.44029668287271551</v>
      </c>
      <c r="F66" s="17">
        <v>0.36022252294063267</v>
      </c>
      <c r="G66" s="17">
        <v>0.34282096887344171</v>
      </c>
      <c r="H66" s="17">
        <v>0.34191957590073607</v>
      </c>
      <c r="I66" s="17">
        <v>0.32405579430287751</v>
      </c>
    </row>
    <row r="67" spans="1:9" x14ac:dyDescent="0.35">
      <c r="A67" s="14" t="s">
        <v>210</v>
      </c>
      <c r="B67" s="18">
        <v>0.21696294643935499</v>
      </c>
      <c r="C67" s="18">
        <v>0.2280206915780548</v>
      </c>
      <c r="D67" s="18">
        <v>0.24298966151193141</v>
      </c>
      <c r="E67" s="18">
        <v>0.18979232497007531</v>
      </c>
      <c r="F67" s="18">
        <v>0.21696294643935499</v>
      </c>
      <c r="G67" s="18">
        <v>0.2441163162372868</v>
      </c>
      <c r="H67" s="25">
        <v>0.2134978232962387</v>
      </c>
      <c r="I67" s="18">
        <v>0.22854563189416771</v>
      </c>
    </row>
    <row r="68" spans="1:9" x14ac:dyDescent="0.35">
      <c r="A68" s="14" t="s">
        <v>197</v>
      </c>
      <c r="B68" s="18">
        <v>0.12985309380268251</v>
      </c>
      <c r="C68" s="18">
        <v>0.1241700163588019</v>
      </c>
      <c r="D68" s="18">
        <v>0.13432710766531719</v>
      </c>
      <c r="E68" s="18">
        <v>0.14966951016049909</v>
      </c>
      <c r="F68" s="18">
        <v>0.12985309380268259</v>
      </c>
      <c r="G68" s="18">
        <v>0.1415612264660098</v>
      </c>
      <c r="H68" s="18">
        <v>0.13619159076201021</v>
      </c>
      <c r="I68" s="18">
        <v>0.1451427271178603</v>
      </c>
    </row>
    <row r="69" spans="1:9" x14ac:dyDescent="0.35">
      <c r="A69" s="14" t="s">
        <v>198</v>
      </c>
      <c r="B69" s="18">
        <v>0.19094070567683469</v>
      </c>
      <c r="C69" s="18">
        <v>0.17211484154784601</v>
      </c>
      <c r="D69" s="18">
        <v>0.18007682460389091</v>
      </c>
      <c r="E69" s="23">
        <v>0.1358648804306159</v>
      </c>
      <c r="F69" s="25">
        <v>0.1909407056768348</v>
      </c>
      <c r="G69" s="18">
        <v>0.18248471867997151</v>
      </c>
      <c r="H69" s="18">
        <v>0.18898902630901901</v>
      </c>
      <c r="I69" s="18">
        <v>0.18097729935304011</v>
      </c>
    </row>
    <row r="70" spans="1:9" x14ac:dyDescent="0.35">
      <c r="A70" s="14" t="s">
        <v>199</v>
      </c>
      <c r="B70" s="18">
        <v>0.1020207311404953</v>
      </c>
      <c r="C70" s="18">
        <v>0.15189288449489821</v>
      </c>
      <c r="D70" s="18">
        <v>0.1104436165127243</v>
      </c>
      <c r="E70" s="18">
        <v>8.4376601566094458E-2</v>
      </c>
      <c r="F70" s="18">
        <v>0.1020207311404953</v>
      </c>
      <c r="G70" s="18">
        <v>8.901676974329048E-2</v>
      </c>
      <c r="H70" s="18">
        <v>0.11940198373199599</v>
      </c>
      <c r="I70" s="18">
        <v>0.12127854733205461</v>
      </c>
    </row>
    <row r="71" spans="1:9" x14ac:dyDescent="0.35">
      <c r="A71" s="14" t="s">
        <v>200</v>
      </c>
      <c r="B71" s="18">
        <v>7.441837867758766E-2</v>
      </c>
      <c r="C71" s="18">
        <v>7.3271437603130068E-2</v>
      </c>
      <c r="D71" s="18">
        <v>9.2039592849293139E-2</v>
      </c>
      <c r="E71" s="18">
        <v>7.2320883255829541E-2</v>
      </c>
      <c r="F71" s="18">
        <v>7.4418378677587688E-2</v>
      </c>
      <c r="G71" s="18">
        <v>6.4932721078905811E-2</v>
      </c>
      <c r="H71" s="18">
        <v>6.8801522537130164E-2</v>
      </c>
      <c r="I71" s="18">
        <v>6.300394231026378E-2</v>
      </c>
    </row>
    <row r="72" spans="1:9" x14ac:dyDescent="0.35">
      <c r="A72" s="14" t="s">
        <v>201</v>
      </c>
      <c r="B72" s="18">
        <v>0.16381384711491809</v>
      </c>
      <c r="C72" s="18">
        <v>0.17725869081413889</v>
      </c>
      <c r="D72" s="18">
        <v>0.12888747841563231</v>
      </c>
      <c r="E72" s="18">
        <v>0.20185336197228759</v>
      </c>
      <c r="F72" s="18">
        <v>0.16381384711491809</v>
      </c>
      <c r="G72" s="18">
        <v>0.14293349348094531</v>
      </c>
      <c r="H72" s="18">
        <v>0.13996203599540691</v>
      </c>
      <c r="I72" s="18">
        <v>0.1205121889247196</v>
      </c>
    </row>
    <row r="73" spans="1:9" x14ac:dyDescent="0.35">
      <c r="A73" s="14" t="s">
        <v>202</v>
      </c>
      <c r="B73" s="18">
        <v>2.0727484692586499E-2</v>
      </c>
      <c r="C73" s="18">
        <v>0</v>
      </c>
      <c r="D73" s="18">
        <v>0</v>
      </c>
      <c r="E73" s="18">
        <v>2.8226017674115009E-2</v>
      </c>
      <c r="F73" s="18">
        <v>2.072748469258651E-2</v>
      </c>
      <c r="G73" s="18">
        <v>1.8085478427875869E-2</v>
      </c>
      <c r="H73" s="18">
        <v>1.581709218432328E-2</v>
      </c>
      <c r="I73" s="18">
        <v>1.9056782995821319E-2</v>
      </c>
    </row>
    <row r="74" spans="1:9" x14ac:dyDescent="0.35">
      <c r="A74" s="14" t="s">
        <v>211</v>
      </c>
      <c r="B74" s="18">
        <v>6.2966307211647435E-2</v>
      </c>
      <c r="C74" s="18">
        <v>7.3271437603130068E-2</v>
      </c>
      <c r="D74" s="18">
        <v>5.3276771870428917E-2</v>
      </c>
      <c r="E74" s="18">
        <v>8.5745478845553808E-2</v>
      </c>
      <c r="F74" s="18">
        <v>6.2966307211647463E-2</v>
      </c>
      <c r="G74" s="18">
        <v>5.4940375431397848E-2</v>
      </c>
      <c r="H74" s="18">
        <v>4.8049432936224122E-2</v>
      </c>
      <c r="I74" s="18">
        <v>3.8001365121881132E-2</v>
      </c>
    </row>
    <row r="75" spans="1:9" x14ac:dyDescent="0.35">
      <c r="A75" s="14" t="s">
        <v>212</v>
      </c>
      <c r="B75" s="18">
        <v>0</v>
      </c>
      <c r="C75" s="18">
        <v>0</v>
      </c>
      <c r="D75" s="18">
        <v>0</v>
      </c>
      <c r="E75" s="18">
        <v>0</v>
      </c>
      <c r="F75" s="18">
        <v>0</v>
      </c>
      <c r="G75" s="18">
        <v>1.421274933990371E-2</v>
      </c>
      <c r="H75" s="18">
        <v>2.755817925708819E-2</v>
      </c>
      <c r="I75" s="18">
        <v>3.3202704753961268E-2</v>
      </c>
    </row>
    <row r="76" spans="1:9" x14ac:dyDescent="0.35">
      <c r="A76" s="14" t="s">
        <v>203</v>
      </c>
      <c r="B76" s="18">
        <v>2.3534602409748692E-2</v>
      </c>
      <c r="C76" s="18">
        <v>0</v>
      </c>
      <c r="D76" s="18">
        <v>5.7958946570782023E-2</v>
      </c>
      <c r="E76" s="18">
        <v>3.2048659710670488E-2</v>
      </c>
      <c r="F76" s="18">
        <v>2.3534602409748692E-2</v>
      </c>
      <c r="G76" s="18">
        <v>2.0534789942089779E-2</v>
      </c>
      <c r="H76" s="18">
        <v>1.7959196755288509E-2</v>
      </c>
      <c r="I76" s="18">
        <v>2.1637638028309581E-2</v>
      </c>
    </row>
    <row r="77" spans="1:9" x14ac:dyDescent="0.35">
      <c r="A77" s="14" t="s">
        <v>204</v>
      </c>
      <c r="B77" s="18">
        <v>1.476190283414414E-2</v>
      </c>
      <c r="C77" s="18">
        <v>0</v>
      </c>
      <c r="D77" s="18">
        <v>0</v>
      </c>
      <c r="E77" s="18">
        <v>2.0102281414259071E-2</v>
      </c>
      <c r="F77" s="18">
        <v>1.476190283414415E-2</v>
      </c>
      <c r="G77" s="18">
        <v>2.718136117232333E-2</v>
      </c>
      <c r="H77" s="18">
        <v>2.377211623527499E-2</v>
      </c>
      <c r="I77" s="18">
        <v>2.8641172167920739E-2</v>
      </c>
    </row>
    <row r="78" spans="1:9" x14ac:dyDescent="0.35">
      <c r="A78" s="14" t="s">
        <v>213</v>
      </c>
      <c r="B78" s="1">
        <f t="shared" ref="B78:F78" si="3">(B64-B66)*100</f>
        <v>-1.3406482698595124</v>
      </c>
      <c r="C78" s="1">
        <f t="shared" si="3"/>
        <v>2.8389141916457805</v>
      </c>
      <c r="D78" s="1">
        <f t="shared" si="3"/>
        <v>4.5153979471112216</v>
      </c>
      <c r="E78" s="1">
        <f t="shared" si="3"/>
        <v>-10.083484774214103</v>
      </c>
      <c r="F78" s="1">
        <f t="shared" si="3"/>
        <v>-1.3406482698595179</v>
      </c>
      <c r="G78" s="1">
        <v>4.2856573829854883</v>
      </c>
      <c r="H78" s="1">
        <v>0.77698381575127995</v>
      </c>
      <c r="I78" s="1">
        <v>4.9632564709150611</v>
      </c>
    </row>
    <row r="80" spans="1:9" x14ac:dyDescent="0.35">
      <c r="C80" s="187"/>
      <c r="D80" s="187"/>
      <c r="E80" s="187"/>
      <c r="F80" s="187"/>
      <c r="G80" s="170"/>
      <c r="H80" s="170"/>
      <c r="I80" s="170"/>
    </row>
    <row r="81" spans="1:9" ht="29" x14ac:dyDescent="0.35">
      <c r="A81" s="12" t="s">
        <v>529</v>
      </c>
      <c r="B81" s="13" t="s">
        <v>208</v>
      </c>
      <c r="C81" s="13" t="s">
        <v>458</v>
      </c>
      <c r="D81" s="13" t="s">
        <v>466</v>
      </c>
      <c r="E81" s="13" t="s">
        <v>467</v>
      </c>
      <c r="F81" s="13" t="s">
        <v>468</v>
      </c>
      <c r="G81" s="13" t="s">
        <v>636</v>
      </c>
      <c r="H81" s="13" t="s">
        <v>641</v>
      </c>
      <c r="I81" s="13" t="s">
        <v>647</v>
      </c>
    </row>
    <row r="82" spans="1:9" x14ac:dyDescent="0.35">
      <c r="A82" s="14" t="s">
        <v>209</v>
      </c>
      <c r="B82" s="15">
        <v>73</v>
      </c>
      <c r="C82" s="15">
        <v>18</v>
      </c>
      <c r="D82" s="15">
        <v>38</v>
      </c>
      <c r="E82" s="15">
        <v>53</v>
      </c>
      <c r="F82" s="15">
        <v>73</v>
      </c>
      <c r="G82" s="15">
        <v>91</v>
      </c>
      <c r="H82" s="15">
        <v>106</v>
      </c>
      <c r="I82" s="15">
        <v>109</v>
      </c>
    </row>
    <row r="83" spans="1:9" x14ac:dyDescent="0.35">
      <c r="A83" s="16" t="s">
        <v>336</v>
      </c>
      <c r="B83" s="17">
        <v>0.4936668308558736</v>
      </c>
      <c r="C83" s="17">
        <v>0.63549805685502925</v>
      </c>
      <c r="D83" s="17">
        <v>0.51242748450216846</v>
      </c>
      <c r="E83" s="17">
        <v>0.46358543556249421</v>
      </c>
      <c r="F83" s="17">
        <v>0.49366683085587371</v>
      </c>
      <c r="G83" s="17">
        <v>0.48493759828461969</v>
      </c>
      <c r="H83" s="17">
        <v>0.49966713942479613</v>
      </c>
      <c r="I83" s="17">
        <v>0.46763512045081851</v>
      </c>
    </row>
    <row r="84" spans="1:9" x14ac:dyDescent="0.35">
      <c r="A84" s="16" t="s">
        <v>194</v>
      </c>
      <c r="B84" s="17">
        <v>0.29008265418006779</v>
      </c>
      <c r="C84" s="17">
        <v>0.20551758839194759</v>
      </c>
      <c r="D84" s="17">
        <v>0.30578420151314478</v>
      </c>
      <c r="E84" s="17">
        <v>0.30929027657987229</v>
      </c>
      <c r="F84" s="17">
        <v>0.29008265418006779</v>
      </c>
      <c r="G84" s="152">
        <v>0.27790265929925889</v>
      </c>
      <c r="H84" s="17">
        <v>0.27836970132502359</v>
      </c>
      <c r="I84" s="17">
        <v>0.31585386440968011</v>
      </c>
    </row>
    <row r="85" spans="1:9" x14ac:dyDescent="0.35">
      <c r="A85" s="16" t="s">
        <v>195</v>
      </c>
      <c r="B85" s="17">
        <v>0.21625051496405859</v>
      </c>
      <c r="C85" s="17">
        <v>0.15898435475302311</v>
      </c>
      <c r="D85" s="17">
        <v>0.18178831398468681</v>
      </c>
      <c r="E85" s="17">
        <v>0.22712428785763331</v>
      </c>
      <c r="F85" s="17">
        <v>0.21625051496405859</v>
      </c>
      <c r="G85" s="17">
        <v>0.23715974241612151</v>
      </c>
      <c r="H85" s="17">
        <v>0.22196315925018051</v>
      </c>
      <c r="I85" s="17">
        <v>0.21651101513950149</v>
      </c>
    </row>
    <row r="86" spans="1:9" x14ac:dyDescent="0.35">
      <c r="A86" s="14" t="s">
        <v>210</v>
      </c>
      <c r="B86" s="18">
        <v>0.22859720308270021</v>
      </c>
      <c r="C86" s="18">
        <v>0.11499920773758041</v>
      </c>
      <c r="D86" s="18">
        <v>0.21892166396148791</v>
      </c>
      <c r="E86" s="18">
        <v>0.20533664607529861</v>
      </c>
      <c r="F86" s="18">
        <v>0.22859720308270021</v>
      </c>
      <c r="G86" s="18">
        <v>0.226659842105467</v>
      </c>
      <c r="H86" s="18">
        <v>0.25197319796905898</v>
      </c>
      <c r="I86" s="18">
        <v>0.26665739863044058</v>
      </c>
    </row>
    <row r="87" spans="1:9" x14ac:dyDescent="0.35">
      <c r="A87" s="14" t="s">
        <v>197</v>
      </c>
      <c r="B87" s="18">
        <v>0.26506962777317339</v>
      </c>
      <c r="C87" s="22">
        <v>0.52049884911744881</v>
      </c>
      <c r="D87" s="18">
        <v>0.29350582054068047</v>
      </c>
      <c r="E87" s="18">
        <v>0.2582487894871956</v>
      </c>
      <c r="F87" s="18">
        <v>0.26506962777317339</v>
      </c>
      <c r="G87" s="18">
        <v>0.25827775617915261</v>
      </c>
      <c r="H87" s="18">
        <v>0.24769394145573709</v>
      </c>
      <c r="I87" s="24">
        <v>0.2009777218203779</v>
      </c>
    </row>
    <row r="88" spans="1:9" x14ac:dyDescent="0.35">
      <c r="A88" s="14" t="s">
        <v>198</v>
      </c>
      <c r="B88" s="18">
        <v>0.1124619528282383</v>
      </c>
      <c r="C88" s="18">
        <v>5.6748477774890671E-2</v>
      </c>
      <c r="D88" s="18">
        <v>0.1244145556906259</v>
      </c>
      <c r="E88" s="18">
        <v>0.1230237661591576</v>
      </c>
      <c r="F88" s="18">
        <v>0.1124619528282383</v>
      </c>
      <c r="G88" s="18">
        <v>0.1257571822811053</v>
      </c>
      <c r="H88" s="18">
        <v>0.1396273987213805</v>
      </c>
      <c r="I88" s="18">
        <v>0.18333383290888811</v>
      </c>
    </row>
    <row r="89" spans="1:9" x14ac:dyDescent="0.35">
      <c r="A89" s="14" t="s">
        <v>199</v>
      </c>
      <c r="B89" s="18">
        <v>0.1776207013518295</v>
      </c>
      <c r="C89" s="18">
        <v>0.14876911061705689</v>
      </c>
      <c r="D89" s="18">
        <v>0.18136964582251891</v>
      </c>
      <c r="E89" s="18">
        <v>0.18626651042071479</v>
      </c>
      <c r="F89" s="18">
        <v>0.17762070135182961</v>
      </c>
      <c r="G89" s="18">
        <v>0.15214547701815359</v>
      </c>
      <c r="H89" s="18">
        <v>0.13874230260364309</v>
      </c>
      <c r="I89" s="18">
        <v>0.132520031500792</v>
      </c>
    </row>
    <row r="90" spans="1:9" x14ac:dyDescent="0.35">
      <c r="A90" s="14" t="s">
        <v>200</v>
      </c>
      <c r="B90" s="18">
        <v>6.017433379393642E-2</v>
      </c>
      <c r="C90" s="18">
        <v>0</v>
      </c>
      <c r="D90" s="18">
        <v>7.2885071968450538E-2</v>
      </c>
      <c r="E90" s="18">
        <v>6.9642122553632349E-2</v>
      </c>
      <c r="F90" s="18">
        <v>6.0174333793936427E-2</v>
      </c>
      <c r="G90" s="18">
        <v>6.8168996085633385E-2</v>
      </c>
      <c r="H90" s="18">
        <v>5.8508876671076453E-2</v>
      </c>
      <c r="I90" s="18">
        <v>6.4514409672567413E-2</v>
      </c>
    </row>
    <row r="91" spans="1:9" x14ac:dyDescent="0.35">
      <c r="A91" s="14" t="s">
        <v>201</v>
      </c>
      <c r="B91" s="18">
        <v>0.1053336454667525</v>
      </c>
      <c r="C91" s="18">
        <v>4.6613093774723412E-2</v>
      </c>
      <c r="D91" s="18">
        <v>5.6136219804808998E-2</v>
      </c>
      <c r="E91" s="18">
        <v>8.5375642951893413E-2</v>
      </c>
      <c r="F91" s="25">
        <v>0.1053336454667525</v>
      </c>
      <c r="G91" s="18">
        <v>0.1043518736180537</v>
      </c>
      <c r="H91" s="18">
        <v>8.9564336494625224E-2</v>
      </c>
      <c r="I91" s="18">
        <v>9.8267875730224205E-2</v>
      </c>
    </row>
    <row r="92" spans="1:9" x14ac:dyDescent="0.35">
      <c r="A92" s="14" t="s">
        <v>202</v>
      </c>
      <c r="B92" s="18">
        <v>1.0310915723013731E-2</v>
      </c>
      <c r="C92" s="18">
        <v>4.3235293173742882E-2</v>
      </c>
      <c r="D92" s="18">
        <v>2.0302323346331641E-2</v>
      </c>
      <c r="E92" s="18">
        <v>1.465209147998519E-2</v>
      </c>
      <c r="F92" s="18">
        <v>1.0310915723013731E-2</v>
      </c>
      <c r="G92" s="18">
        <v>8.261388117602542E-3</v>
      </c>
      <c r="H92" s="18">
        <v>7.090680019660324E-3</v>
      </c>
      <c r="I92" s="21">
        <v>0</v>
      </c>
    </row>
    <row r="93" spans="1:9" x14ac:dyDescent="0.35">
      <c r="A93" s="14" t="s">
        <v>211</v>
      </c>
      <c r="B93" s="18">
        <v>1.1992246467669689E-2</v>
      </c>
      <c r="C93" s="18">
        <v>0</v>
      </c>
      <c r="D93" s="18">
        <v>0</v>
      </c>
      <c r="E93" s="18">
        <v>1.7041308164573731E-2</v>
      </c>
      <c r="F93" s="18">
        <v>1.1992246467669689E-2</v>
      </c>
      <c r="G93" s="18">
        <v>2.310658482880629E-2</v>
      </c>
      <c r="H93" s="18">
        <v>1.9832187646420609E-2</v>
      </c>
      <c r="I93" s="18">
        <v>1.921281084257509E-2</v>
      </c>
    </row>
    <row r="94" spans="1:9" x14ac:dyDescent="0.35">
      <c r="A94" s="14" t="s">
        <v>212</v>
      </c>
      <c r="B94" s="18">
        <v>0</v>
      </c>
      <c r="C94" s="18">
        <v>0</v>
      </c>
      <c r="D94" s="18">
        <v>0</v>
      </c>
      <c r="E94" s="18">
        <v>0</v>
      </c>
      <c r="F94" s="18">
        <v>0</v>
      </c>
      <c r="G94" s="18">
        <v>0</v>
      </c>
      <c r="H94" s="18">
        <v>1.0272293610969509E-2</v>
      </c>
      <c r="I94" s="18">
        <v>9.9514807738605663E-3</v>
      </c>
    </row>
    <row r="95" spans="1:9" x14ac:dyDescent="0.35">
      <c r="A95" s="14" t="s">
        <v>203</v>
      </c>
      <c r="B95" s="18">
        <v>0</v>
      </c>
      <c r="C95" s="18">
        <v>0</v>
      </c>
      <c r="D95" s="18">
        <v>0</v>
      </c>
      <c r="E95" s="18">
        <v>0</v>
      </c>
      <c r="F95" s="18">
        <v>0</v>
      </c>
      <c r="G95" s="18">
        <v>0</v>
      </c>
      <c r="H95" s="18">
        <v>0</v>
      </c>
      <c r="I95" s="18">
        <v>0</v>
      </c>
    </row>
    <row r="96" spans="1:9" x14ac:dyDescent="0.35">
      <c r="A96" s="14" t="s">
        <v>204</v>
      </c>
      <c r="B96" s="18">
        <v>2.843937351268621E-2</v>
      </c>
      <c r="C96" s="18">
        <v>6.9135967804556803E-2</v>
      </c>
      <c r="D96" s="18">
        <v>3.2464698865095613E-2</v>
      </c>
      <c r="E96" s="18">
        <v>4.0413122707548613E-2</v>
      </c>
      <c r="F96" s="18">
        <v>2.843937351268622E-2</v>
      </c>
      <c r="G96" s="18">
        <v>3.327089976602559E-2</v>
      </c>
      <c r="H96" s="18">
        <v>3.6694784807428382E-2</v>
      </c>
      <c r="I96" s="18">
        <v>2.4564438120274239E-2</v>
      </c>
    </row>
    <row r="97" spans="1:9" x14ac:dyDescent="0.35">
      <c r="A97" s="14" t="s">
        <v>213</v>
      </c>
      <c r="B97" s="1">
        <f t="shared" ref="B97:F97" si="4">(B83-B85)*100</f>
        <v>27.741631589181502</v>
      </c>
      <c r="C97" s="1">
        <f t="shared" si="4"/>
        <v>47.651370210200618</v>
      </c>
      <c r="D97" s="1">
        <f t="shared" si="4"/>
        <v>33.063917051748163</v>
      </c>
      <c r="E97" s="1">
        <f t="shared" si="4"/>
        <v>23.64611477048609</v>
      </c>
      <c r="F97" s="1">
        <f t="shared" si="4"/>
        <v>27.741631589181516</v>
      </c>
      <c r="G97" s="1">
        <v>24.77778558684982</v>
      </c>
      <c r="H97" s="1">
        <v>27.770398017461559</v>
      </c>
      <c r="I97" s="1">
        <v>25.112410531131701</v>
      </c>
    </row>
    <row r="99" spans="1:9" x14ac:dyDescent="0.35">
      <c r="C99" s="187"/>
      <c r="D99" s="187"/>
      <c r="E99" s="187"/>
      <c r="F99" s="187"/>
      <c r="G99" s="170"/>
      <c r="H99" s="170"/>
      <c r="I99" s="170"/>
    </row>
    <row r="100" spans="1:9" ht="29" x14ac:dyDescent="0.35">
      <c r="A100" s="12" t="s">
        <v>478</v>
      </c>
      <c r="B100" s="13" t="s">
        <v>208</v>
      </c>
      <c r="C100" s="13" t="s">
        <v>458</v>
      </c>
      <c r="D100" s="13" t="s">
        <v>466</v>
      </c>
      <c r="E100" s="13" t="s">
        <v>467</v>
      </c>
      <c r="F100" s="13" t="s">
        <v>468</v>
      </c>
      <c r="G100" s="13" t="s">
        <v>636</v>
      </c>
      <c r="H100" s="13" t="s">
        <v>641</v>
      </c>
      <c r="I100" s="13" t="s">
        <v>647</v>
      </c>
    </row>
    <row r="101" spans="1:9" x14ac:dyDescent="0.35">
      <c r="A101" s="14" t="s">
        <v>209</v>
      </c>
      <c r="B101" s="15">
        <v>0</v>
      </c>
      <c r="C101" s="15">
        <v>0</v>
      </c>
      <c r="D101" s="15">
        <v>0</v>
      </c>
      <c r="E101" s="15">
        <v>0</v>
      </c>
      <c r="F101" s="15">
        <v>0</v>
      </c>
      <c r="G101" s="15">
        <v>0</v>
      </c>
      <c r="H101" s="15">
        <v>0</v>
      </c>
      <c r="I101" s="15">
        <v>0</v>
      </c>
    </row>
    <row r="102" spans="1:9" x14ac:dyDescent="0.35">
      <c r="A102" s="16" t="s">
        <v>336</v>
      </c>
      <c r="B102" s="17" t="s">
        <v>214</v>
      </c>
      <c r="C102" s="168" t="s">
        <v>214</v>
      </c>
      <c r="D102" s="168" t="s">
        <v>214</v>
      </c>
      <c r="E102" s="168" t="s">
        <v>214</v>
      </c>
      <c r="F102" s="168" t="s">
        <v>214</v>
      </c>
      <c r="G102" s="168" t="s">
        <v>214</v>
      </c>
      <c r="H102" s="168" t="s">
        <v>214</v>
      </c>
      <c r="I102" s="168" t="s">
        <v>214</v>
      </c>
    </row>
    <row r="103" spans="1:9" x14ac:dyDescent="0.35">
      <c r="A103" s="16" t="s">
        <v>194</v>
      </c>
      <c r="B103" s="17" t="s">
        <v>214</v>
      </c>
      <c r="C103" s="168" t="s">
        <v>214</v>
      </c>
      <c r="D103" s="168" t="s">
        <v>214</v>
      </c>
      <c r="E103" s="168" t="s">
        <v>214</v>
      </c>
      <c r="F103" s="168" t="s">
        <v>214</v>
      </c>
      <c r="G103" s="168" t="s">
        <v>214</v>
      </c>
      <c r="H103" s="168" t="s">
        <v>214</v>
      </c>
      <c r="I103" s="168" t="s">
        <v>214</v>
      </c>
    </row>
    <row r="104" spans="1:9" x14ac:dyDescent="0.35">
      <c r="A104" s="16" t="s">
        <v>195</v>
      </c>
      <c r="B104" s="17" t="s">
        <v>214</v>
      </c>
      <c r="C104" s="168" t="s">
        <v>214</v>
      </c>
      <c r="D104" s="168" t="s">
        <v>214</v>
      </c>
      <c r="E104" s="168" t="s">
        <v>214</v>
      </c>
      <c r="F104" s="168" t="s">
        <v>214</v>
      </c>
      <c r="G104" s="168" t="s">
        <v>214</v>
      </c>
      <c r="H104" s="168" t="s">
        <v>214</v>
      </c>
      <c r="I104" s="168" t="s">
        <v>214</v>
      </c>
    </row>
    <row r="105" spans="1:9" x14ac:dyDescent="0.35">
      <c r="A105" s="14" t="s">
        <v>210</v>
      </c>
      <c r="B105" s="18" t="s">
        <v>214</v>
      </c>
      <c r="C105" s="18" t="s">
        <v>214</v>
      </c>
      <c r="D105" s="18" t="s">
        <v>214</v>
      </c>
      <c r="E105" s="18" t="s">
        <v>214</v>
      </c>
      <c r="F105" s="18" t="s">
        <v>214</v>
      </c>
      <c r="G105" s="18" t="s">
        <v>214</v>
      </c>
      <c r="H105" s="18" t="s">
        <v>214</v>
      </c>
      <c r="I105" s="18" t="s">
        <v>214</v>
      </c>
    </row>
    <row r="106" spans="1:9" x14ac:dyDescent="0.35">
      <c r="A106" s="14" t="s">
        <v>197</v>
      </c>
      <c r="B106" s="18" t="s">
        <v>214</v>
      </c>
      <c r="C106" s="18" t="s">
        <v>214</v>
      </c>
      <c r="D106" s="18" t="s">
        <v>214</v>
      </c>
      <c r="E106" s="18" t="s">
        <v>214</v>
      </c>
      <c r="F106" s="18" t="s">
        <v>214</v>
      </c>
      <c r="G106" s="18" t="s">
        <v>214</v>
      </c>
      <c r="H106" s="18" t="s">
        <v>214</v>
      </c>
      <c r="I106" s="18" t="s">
        <v>214</v>
      </c>
    </row>
    <row r="107" spans="1:9" x14ac:dyDescent="0.35">
      <c r="A107" s="14" t="s">
        <v>198</v>
      </c>
      <c r="B107" s="18" t="s">
        <v>214</v>
      </c>
      <c r="C107" s="18" t="s">
        <v>214</v>
      </c>
      <c r="D107" s="18" t="s">
        <v>214</v>
      </c>
      <c r="E107" s="18" t="s">
        <v>214</v>
      </c>
      <c r="F107" s="18" t="s">
        <v>214</v>
      </c>
      <c r="G107" s="18" t="s">
        <v>214</v>
      </c>
      <c r="H107" s="18" t="s">
        <v>214</v>
      </c>
      <c r="I107" s="18" t="s">
        <v>214</v>
      </c>
    </row>
    <row r="108" spans="1:9" x14ac:dyDescent="0.35">
      <c r="A108" s="14" t="s">
        <v>199</v>
      </c>
      <c r="B108" s="18" t="s">
        <v>214</v>
      </c>
      <c r="C108" s="18" t="s">
        <v>214</v>
      </c>
      <c r="D108" s="18" t="s">
        <v>214</v>
      </c>
      <c r="E108" s="18" t="s">
        <v>214</v>
      </c>
      <c r="F108" s="18" t="s">
        <v>214</v>
      </c>
      <c r="G108" s="18" t="s">
        <v>214</v>
      </c>
      <c r="H108" s="18" t="s">
        <v>214</v>
      </c>
      <c r="I108" s="18" t="s">
        <v>214</v>
      </c>
    </row>
    <row r="109" spans="1:9" x14ac:dyDescent="0.35">
      <c r="A109" s="14" t="s">
        <v>200</v>
      </c>
      <c r="B109" s="18" t="s">
        <v>214</v>
      </c>
      <c r="C109" s="18" t="s">
        <v>214</v>
      </c>
      <c r="D109" s="18" t="s">
        <v>214</v>
      </c>
      <c r="E109" s="18" t="s">
        <v>214</v>
      </c>
      <c r="F109" s="18" t="s">
        <v>214</v>
      </c>
      <c r="G109" s="18" t="s">
        <v>214</v>
      </c>
      <c r="H109" s="18" t="s">
        <v>214</v>
      </c>
      <c r="I109" s="18" t="s">
        <v>214</v>
      </c>
    </row>
    <row r="110" spans="1:9" x14ac:dyDescent="0.35">
      <c r="A110" s="14" t="s">
        <v>201</v>
      </c>
      <c r="B110" s="18" t="s">
        <v>214</v>
      </c>
      <c r="C110" s="18" t="s">
        <v>214</v>
      </c>
      <c r="D110" s="18" t="s">
        <v>214</v>
      </c>
      <c r="E110" s="18" t="s">
        <v>214</v>
      </c>
      <c r="F110" s="18" t="s">
        <v>214</v>
      </c>
      <c r="G110" s="18" t="s">
        <v>214</v>
      </c>
      <c r="H110" s="18" t="s">
        <v>214</v>
      </c>
      <c r="I110" s="18" t="s">
        <v>214</v>
      </c>
    </row>
    <row r="111" spans="1:9" x14ac:dyDescent="0.35">
      <c r="A111" s="14" t="s">
        <v>202</v>
      </c>
      <c r="B111" s="18" t="s">
        <v>214</v>
      </c>
      <c r="C111" s="18" t="s">
        <v>214</v>
      </c>
      <c r="D111" s="18" t="s">
        <v>214</v>
      </c>
      <c r="E111" s="18" t="s">
        <v>214</v>
      </c>
      <c r="F111" s="18" t="s">
        <v>214</v>
      </c>
      <c r="G111" s="18" t="s">
        <v>214</v>
      </c>
      <c r="H111" s="18" t="s">
        <v>214</v>
      </c>
      <c r="I111" s="18" t="s">
        <v>214</v>
      </c>
    </row>
    <row r="112" spans="1:9" x14ac:dyDescent="0.35">
      <c r="A112" s="14" t="s">
        <v>211</v>
      </c>
      <c r="B112" s="18" t="s">
        <v>214</v>
      </c>
      <c r="C112" s="18" t="s">
        <v>214</v>
      </c>
      <c r="D112" s="18" t="s">
        <v>214</v>
      </c>
      <c r="E112" s="18" t="s">
        <v>214</v>
      </c>
      <c r="F112" s="18" t="s">
        <v>214</v>
      </c>
      <c r="G112" s="18" t="s">
        <v>214</v>
      </c>
      <c r="H112" s="18" t="s">
        <v>214</v>
      </c>
      <c r="I112" s="18" t="s">
        <v>214</v>
      </c>
    </row>
    <row r="113" spans="1:9" x14ac:dyDescent="0.35">
      <c r="A113" s="14" t="s">
        <v>212</v>
      </c>
      <c r="B113" s="18" t="s">
        <v>214</v>
      </c>
      <c r="C113" s="18" t="s">
        <v>214</v>
      </c>
      <c r="D113" s="18" t="s">
        <v>214</v>
      </c>
      <c r="E113" s="18" t="s">
        <v>214</v>
      </c>
      <c r="F113" s="18" t="s">
        <v>214</v>
      </c>
      <c r="G113" s="18" t="s">
        <v>214</v>
      </c>
      <c r="H113" s="18" t="s">
        <v>214</v>
      </c>
      <c r="I113" s="18" t="s">
        <v>214</v>
      </c>
    </row>
    <row r="114" spans="1:9" x14ac:dyDescent="0.35">
      <c r="A114" s="14" t="s">
        <v>203</v>
      </c>
      <c r="B114" s="18" t="s">
        <v>214</v>
      </c>
      <c r="C114" s="18" t="s">
        <v>214</v>
      </c>
      <c r="D114" s="18" t="s">
        <v>214</v>
      </c>
      <c r="E114" s="18" t="s">
        <v>214</v>
      </c>
      <c r="F114" s="18" t="s">
        <v>214</v>
      </c>
      <c r="G114" s="18" t="s">
        <v>214</v>
      </c>
      <c r="H114" s="18" t="s">
        <v>214</v>
      </c>
      <c r="I114" s="18" t="s">
        <v>214</v>
      </c>
    </row>
    <row r="115" spans="1:9" x14ac:dyDescent="0.35">
      <c r="A115" s="14" t="s">
        <v>204</v>
      </c>
      <c r="B115" s="18" t="s">
        <v>214</v>
      </c>
      <c r="C115" s="18" t="s">
        <v>214</v>
      </c>
      <c r="D115" s="18" t="s">
        <v>214</v>
      </c>
      <c r="E115" s="18" t="s">
        <v>214</v>
      </c>
      <c r="F115" s="18" t="s">
        <v>214</v>
      </c>
      <c r="G115" s="18" t="s">
        <v>214</v>
      </c>
      <c r="H115" s="18" t="s">
        <v>214</v>
      </c>
      <c r="I115" s="18" t="s">
        <v>214</v>
      </c>
    </row>
    <row r="117" spans="1:9" x14ac:dyDescent="0.35">
      <c r="C117" s="187"/>
      <c r="D117" s="187"/>
      <c r="E117" s="187"/>
      <c r="F117" s="187"/>
      <c r="G117" s="170"/>
      <c r="H117" s="170"/>
      <c r="I117" s="170"/>
    </row>
    <row r="118" spans="1:9" ht="29" x14ac:dyDescent="0.35">
      <c r="A118" s="12" t="s">
        <v>530</v>
      </c>
      <c r="B118" s="13" t="s">
        <v>208</v>
      </c>
      <c r="C118" s="13" t="s">
        <v>458</v>
      </c>
      <c r="D118" s="13" t="s">
        <v>466</v>
      </c>
      <c r="E118" s="13" t="s">
        <v>467</v>
      </c>
      <c r="F118" s="13" t="s">
        <v>468</v>
      </c>
      <c r="G118" s="13" t="s">
        <v>636</v>
      </c>
      <c r="H118" s="13" t="s">
        <v>641</v>
      </c>
      <c r="I118" s="13" t="s">
        <v>647</v>
      </c>
    </row>
    <row r="119" spans="1:9" x14ac:dyDescent="0.35">
      <c r="A119" s="14" t="s">
        <v>209</v>
      </c>
      <c r="B119" s="15">
        <v>71</v>
      </c>
      <c r="C119" s="15">
        <v>12</v>
      </c>
      <c r="D119" s="15">
        <v>34</v>
      </c>
      <c r="E119" s="15">
        <v>45</v>
      </c>
      <c r="F119" s="15">
        <v>71</v>
      </c>
      <c r="G119" s="15">
        <v>87</v>
      </c>
      <c r="H119" s="15">
        <v>97</v>
      </c>
      <c r="I119" s="15">
        <v>108</v>
      </c>
    </row>
    <row r="120" spans="1:9" x14ac:dyDescent="0.35">
      <c r="A120" s="16" t="s">
        <v>336</v>
      </c>
      <c r="B120" s="17">
        <v>0.40358775247100409</v>
      </c>
      <c r="C120" s="17">
        <v>0.49195873034754511</v>
      </c>
      <c r="D120" s="17">
        <v>0.40222340407937468</v>
      </c>
      <c r="E120" s="17">
        <v>0.36385166737558472</v>
      </c>
      <c r="F120" s="17">
        <v>0.40358775247100409</v>
      </c>
      <c r="G120" s="17">
        <v>0.44013511101053188</v>
      </c>
      <c r="H120" s="17">
        <v>0.43731214016922498</v>
      </c>
      <c r="I120" s="17">
        <v>0.43711340110966618</v>
      </c>
    </row>
    <row r="121" spans="1:9" x14ac:dyDescent="0.35">
      <c r="A121" s="16" t="s">
        <v>194</v>
      </c>
      <c r="B121" s="17">
        <v>0.36627938495622592</v>
      </c>
      <c r="C121" s="17">
        <v>0.32905964664035159</v>
      </c>
      <c r="D121" s="17">
        <v>0.38258893410176009</v>
      </c>
      <c r="E121" s="17">
        <v>0.3628566087531675</v>
      </c>
      <c r="F121" s="17">
        <v>0.36627938495622592</v>
      </c>
      <c r="G121" s="17">
        <v>0.37540830426036198</v>
      </c>
      <c r="H121" s="17">
        <v>0.37575386719101089</v>
      </c>
      <c r="I121" s="17">
        <v>0.38019594318918848</v>
      </c>
    </row>
    <row r="122" spans="1:9" x14ac:dyDescent="0.35">
      <c r="A122" s="16" t="s">
        <v>195</v>
      </c>
      <c r="B122" s="17">
        <v>0.23013286257276999</v>
      </c>
      <c r="C122" s="17">
        <v>0.1789816230121033</v>
      </c>
      <c r="D122" s="17">
        <v>0.2151876618188652</v>
      </c>
      <c r="E122" s="17">
        <v>0.27329172387124762</v>
      </c>
      <c r="F122" s="152">
        <v>0.2301328625727701</v>
      </c>
      <c r="G122" s="17">
        <v>0.18445658472910609</v>
      </c>
      <c r="H122" s="17">
        <v>0.1869339926397641</v>
      </c>
      <c r="I122" s="17">
        <v>0.18269065570114509</v>
      </c>
    </row>
    <row r="123" spans="1:9" x14ac:dyDescent="0.35">
      <c r="A123" s="14" t="s">
        <v>210</v>
      </c>
      <c r="B123" s="18">
        <v>0.16877817962923</v>
      </c>
      <c r="C123" s="18">
        <v>0.1453576040385712</v>
      </c>
      <c r="D123" s="21">
        <v>7.6406663078576423E-2</v>
      </c>
      <c r="E123" s="21">
        <v>9.8959594432528469E-2</v>
      </c>
      <c r="F123" s="18">
        <v>0.16877817962923</v>
      </c>
      <c r="G123" s="18">
        <v>0.22483396832486061</v>
      </c>
      <c r="H123" s="18">
        <v>0.2121917638124996</v>
      </c>
      <c r="I123" s="18">
        <v>0.23777858725299469</v>
      </c>
    </row>
    <row r="124" spans="1:9" x14ac:dyDescent="0.35">
      <c r="A124" s="14" t="s">
        <v>197</v>
      </c>
      <c r="B124" s="18">
        <v>0.2348095728417742</v>
      </c>
      <c r="C124" s="18">
        <v>0.34660112630897377</v>
      </c>
      <c r="D124" s="20">
        <v>0.32581674100079833</v>
      </c>
      <c r="E124" s="18">
        <v>0.26489207294305622</v>
      </c>
      <c r="F124" s="18">
        <v>0.23480957284177409</v>
      </c>
      <c r="G124" s="18">
        <v>0.21530114268567141</v>
      </c>
      <c r="H124" s="18">
        <v>0.22512037635672541</v>
      </c>
      <c r="I124" s="18">
        <v>0.19933481385667151</v>
      </c>
    </row>
    <row r="125" spans="1:9" x14ac:dyDescent="0.35">
      <c r="A125" s="14" t="s">
        <v>198</v>
      </c>
      <c r="B125" s="18">
        <v>0.25673020301374933</v>
      </c>
      <c r="C125" s="18">
        <v>0.32905964664035159</v>
      </c>
      <c r="D125" s="18">
        <v>0.29749007416626749</v>
      </c>
      <c r="E125" s="18">
        <v>0.27403724694848991</v>
      </c>
      <c r="F125" s="18">
        <v>0.25673020301374933</v>
      </c>
      <c r="G125" s="18">
        <v>0.27338092321806412</v>
      </c>
      <c r="H125" s="25">
        <v>0.27525707351256162</v>
      </c>
      <c r="I125" s="18">
        <v>0.26569072365973789</v>
      </c>
    </row>
    <row r="126" spans="1:9" x14ac:dyDescent="0.35">
      <c r="A126" s="14" t="s">
        <v>199</v>
      </c>
      <c r="B126" s="18">
        <v>0.10954918194247661</v>
      </c>
      <c r="C126" s="18">
        <v>0</v>
      </c>
      <c r="D126" s="18">
        <v>8.5098859935492599E-2</v>
      </c>
      <c r="E126" s="18">
        <v>8.8819361804677643E-2</v>
      </c>
      <c r="F126" s="18">
        <v>0.10954918194247661</v>
      </c>
      <c r="G126" s="18">
        <v>0.102027381042298</v>
      </c>
      <c r="H126" s="18">
        <v>0.1004967936784493</v>
      </c>
      <c r="I126" s="18">
        <v>0.1145052195294506</v>
      </c>
    </row>
    <row r="127" spans="1:9" x14ac:dyDescent="0.35">
      <c r="A127" s="14" t="s">
        <v>200</v>
      </c>
      <c r="B127" s="18">
        <v>7.6333239681211029E-2</v>
      </c>
      <c r="C127" s="18">
        <v>0.10857352710108931</v>
      </c>
      <c r="D127" s="18">
        <v>9.8601910201153636E-2</v>
      </c>
      <c r="E127" s="18">
        <v>9.9532995255750281E-2</v>
      </c>
      <c r="F127" s="18">
        <v>7.6333239681211029E-2</v>
      </c>
      <c r="G127" s="18">
        <v>6.1182781700515228E-2</v>
      </c>
      <c r="H127" s="18">
        <v>6.7452589530966875E-2</v>
      </c>
      <c r="I127" s="18">
        <v>5.9356779971598737E-2</v>
      </c>
    </row>
    <row r="128" spans="1:9" x14ac:dyDescent="0.35">
      <c r="A128" s="14" t="s">
        <v>201</v>
      </c>
      <c r="B128" s="18">
        <v>0.11078186041437391</v>
      </c>
      <c r="C128" s="18">
        <v>0</v>
      </c>
      <c r="D128" s="18">
        <v>5.5112995212916287E-2</v>
      </c>
      <c r="E128" s="18">
        <v>0.1069971468042019</v>
      </c>
      <c r="F128" s="18">
        <v>0.11078186041437391</v>
      </c>
      <c r="G128" s="18">
        <v>8.8794113945853376E-2</v>
      </c>
      <c r="H128" s="18">
        <v>8.8672289417187994E-2</v>
      </c>
      <c r="I128" s="18">
        <v>7.9086297324193727E-2</v>
      </c>
    </row>
    <row r="129" spans="1:9" x14ac:dyDescent="0.35">
      <c r="A129" s="14" t="s">
        <v>202</v>
      </c>
      <c r="B129" s="18">
        <v>1.170777242084502E-2</v>
      </c>
      <c r="C129" s="19">
        <v>7.040809591101399E-2</v>
      </c>
      <c r="D129" s="18">
        <v>2.43052275753073E-2</v>
      </c>
      <c r="E129" s="18">
        <v>1.816992240628083E-2</v>
      </c>
      <c r="F129" s="18">
        <v>1.170777242084502E-2</v>
      </c>
      <c r="G129" s="25">
        <v>9.3840388173671366E-3</v>
      </c>
      <c r="H129" s="18">
        <v>8.3850500541632171E-3</v>
      </c>
      <c r="I129" s="18">
        <v>1.308098259382188E-2</v>
      </c>
    </row>
    <row r="130" spans="1:9" x14ac:dyDescent="0.35">
      <c r="A130" s="14" t="s">
        <v>211</v>
      </c>
      <c r="B130" s="18">
        <v>1.790351345744761E-2</v>
      </c>
      <c r="C130" s="18">
        <v>0</v>
      </c>
      <c r="D130" s="18">
        <v>3.7167528829487928E-2</v>
      </c>
      <c r="E130" s="18">
        <v>2.7785426520799121E-2</v>
      </c>
      <c r="F130" s="18">
        <v>1.790351345744761E-2</v>
      </c>
      <c r="G130" s="18">
        <v>1.435006243824965E-2</v>
      </c>
      <c r="H130" s="18">
        <v>1.282240985644712E-2</v>
      </c>
      <c r="I130" s="18">
        <v>1.143623250267725E-2</v>
      </c>
    </row>
    <row r="131" spans="1:9" x14ac:dyDescent="0.35">
      <c r="A131" s="14" t="s">
        <v>212</v>
      </c>
      <c r="B131" s="18">
        <v>0</v>
      </c>
      <c r="C131" s="18">
        <v>0</v>
      </c>
      <c r="D131" s="18">
        <v>0</v>
      </c>
      <c r="E131" s="18">
        <v>0</v>
      </c>
      <c r="F131" s="18">
        <v>0</v>
      </c>
      <c r="G131" s="18">
        <v>0</v>
      </c>
      <c r="H131" s="18">
        <v>0</v>
      </c>
      <c r="I131" s="18">
        <v>0</v>
      </c>
    </row>
    <row r="132" spans="1:9" x14ac:dyDescent="0.35">
      <c r="A132" s="14" t="s">
        <v>203</v>
      </c>
      <c r="B132" s="18">
        <v>0</v>
      </c>
      <c r="C132" s="18">
        <v>0</v>
      </c>
      <c r="D132" s="18">
        <v>0</v>
      </c>
      <c r="E132" s="18">
        <v>0</v>
      </c>
      <c r="F132" s="18">
        <v>0</v>
      </c>
      <c r="G132" s="18">
        <v>0</v>
      </c>
      <c r="H132" s="18">
        <v>0</v>
      </c>
      <c r="I132" s="18">
        <v>0</v>
      </c>
    </row>
    <row r="133" spans="1:9" x14ac:dyDescent="0.35">
      <c r="A133" s="14" t="s">
        <v>204</v>
      </c>
      <c r="B133" s="18">
        <v>1.3406476598892511E-2</v>
      </c>
      <c r="C133" s="18">
        <v>0</v>
      </c>
      <c r="D133" s="18">
        <v>0</v>
      </c>
      <c r="E133" s="18">
        <v>2.0806232884215469E-2</v>
      </c>
      <c r="F133" s="18">
        <v>1.3406476598892511E-2</v>
      </c>
      <c r="G133" s="18">
        <v>1.074558782712068E-2</v>
      </c>
      <c r="H133" s="18">
        <v>9.6016537809989252E-3</v>
      </c>
      <c r="I133" s="18">
        <v>1.9730363308853589E-2</v>
      </c>
    </row>
    <row r="134" spans="1:9" x14ac:dyDescent="0.35">
      <c r="A134" s="14" t="s">
        <v>213</v>
      </c>
      <c r="B134" s="1">
        <f t="shared" ref="B134:F134" si="5">(B120-B122)*100</f>
        <v>17.345488989823409</v>
      </c>
      <c r="C134" s="1">
        <f t="shared" si="5"/>
        <v>31.297710733544182</v>
      </c>
      <c r="D134" s="1">
        <f t="shared" si="5"/>
        <v>18.703574226050947</v>
      </c>
      <c r="E134" s="1">
        <f t="shared" si="5"/>
        <v>9.0559943504337106</v>
      </c>
      <c r="F134" s="1">
        <f t="shared" si="5"/>
        <v>17.345488989823398</v>
      </c>
      <c r="G134" s="1">
        <v>25.567852628142582</v>
      </c>
      <c r="H134" s="1">
        <v>25.03781475294609</v>
      </c>
      <c r="I134" s="1">
        <v>25.4422745408521</v>
      </c>
    </row>
    <row r="136" spans="1:9" x14ac:dyDescent="0.35">
      <c r="C136" s="187"/>
      <c r="D136" s="187"/>
      <c r="E136" s="187"/>
      <c r="F136" s="187"/>
      <c r="G136" s="170"/>
      <c r="H136" s="170"/>
      <c r="I136" s="170"/>
    </row>
    <row r="137" spans="1:9" ht="29" x14ac:dyDescent="0.35">
      <c r="A137" s="12" t="s">
        <v>531</v>
      </c>
      <c r="B137" s="13" t="s">
        <v>208</v>
      </c>
      <c r="C137" s="13" t="s">
        <v>458</v>
      </c>
      <c r="D137" s="13" t="s">
        <v>466</v>
      </c>
      <c r="E137" s="13" t="s">
        <v>467</v>
      </c>
      <c r="F137" s="13" t="s">
        <v>468</v>
      </c>
      <c r="G137" s="13" t="s">
        <v>636</v>
      </c>
      <c r="H137" s="13" t="s">
        <v>641</v>
      </c>
      <c r="I137" s="13" t="s">
        <v>647</v>
      </c>
    </row>
    <row r="138" spans="1:9" x14ac:dyDescent="0.35">
      <c r="A138" s="14" t="s">
        <v>209</v>
      </c>
      <c r="B138" s="15">
        <v>64</v>
      </c>
      <c r="C138" s="15">
        <v>14</v>
      </c>
      <c r="D138" s="15">
        <v>31</v>
      </c>
      <c r="E138" s="15">
        <v>43</v>
      </c>
      <c r="F138" s="15">
        <v>64</v>
      </c>
      <c r="G138" s="15">
        <v>77</v>
      </c>
      <c r="H138" s="15">
        <v>96</v>
      </c>
      <c r="I138" s="15">
        <v>94</v>
      </c>
    </row>
    <row r="139" spans="1:9" x14ac:dyDescent="0.35">
      <c r="A139" s="16" t="s">
        <v>336</v>
      </c>
      <c r="B139" s="17">
        <v>0.44186862083634337</v>
      </c>
      <c r="C139" s="17">
        <v>0.52887752800785082</v>
      </c>
      <c r="D139" s="17">
        <v>0.49366210886187228</v>
      </c>
      <c r="E139" s="17">
        <v>0.44316614116214142</v>
      </c>
      <c r="F139" s="17">
        <v>0.44186862083634337</v>
      </c>
      <c r="G139" s="17">
        <v>0.4205604924847855</v>
      </c>
      <c r="H139" s="17">
        <v>0.44860627440665579</v>
      </c>
      <c r="I139" s="17">
        <v>0.46267839823147189</v>
      </c>
    </row>
    <row r="140" spans="1:9" x14ac:dyDescent="0.35">
      <c r="A140" s="16" t="s">
        <v>194</v>
      </c>
      <c r="B140" s="17">
        <v>0.39833523354373951</v>
      </c>
      <c r="C140" s="17">
        <v>0.47112247199214918</v>
      </c>
      <c r="D140" s="17">
        <v>0.32269723644679649</v>
      </c>
      <c r="E140" s="17">
        <v>0.37054056604817848</v>
      </c>
      <c r="F140" s="17">
        <v>0.39833523354373962</v>
      </c>
      <c r="G140" s="17">
        <v>0.4222064325739146</v>
      </c>
      <c r="H140" s="17">
        <v>0.41509622739680913</v>
      </c>
      <c r="I140" s="17">
        <v>0.38683694797863299</v>
      </c>
    </row>
    <row r="141" spans="1:9" x14ac:dyDescent="0.35">
      <c r="A141" s="16" t="s">
        <v>195</v>
      </c>
      <c r="B141" s="17">
        <v>0.15979614561991701</v>
      </c>
      <c r="C141" s="154">
        <v>0</v>
      </c>
      <c r="D141" s="17">
        <v>0.1836406546913312</v>
      </c>
      <c r="E141" s="17">
        <v>0.1862932927896801</v>
      </c>
      <c r="F141" s="17">
        <v>0.15979614561991709</v>
      </c>
      <c r="G141" s="17">
        <v>0.15723307494129979</v>
      </c>
      <c r="H141" s="17">
        <v>0.13629749819653511</v>
      </c>
      <c r="I141" s="17">
        <v>0.15048465378989509</v>
      </c>
    </row>
    <row r="142" spans="1:9" x14ac:dyDescent="0.35">
      <c r="A142" s="14" t="s">
        <v>210</v>
      </c>
      <c r="B142" s="18">
        <v>0.22485068594129939</v>
      </c>
      <c r="C142" s="18">
        <v>0.33385471901932451</v>
      </c>
      <c r="D142" s="18">
        <v>0.3036834763495232</v>
      </c>
      <c r="E142" s="18">
        <v>0.25163130893650149</v>
      </c>
      <c r="F142" s="18">
        <v>0.22485068594129951</v>
      </c>
      <c r="G142" s="18">
        <v>0.22570562725888399</v>
      </c>
      <c r="H142" s="18">
        <v>0.26313952895068521</v>
      </c>
      <c r="I142" s="18">
        <v>0.26203474792893638</v>
      </c>
    </row>
    <row r="143" spans="1:9" x14ac:dyDescent="0.35">
      <c r="A143" s="14" t="s">
        <v>197</v>
      </c>
      <c r="B143" s="18">
        <v>0.2170179348950439</v>
      </c>
      <c r="C143" s="18">
        <v>0.19502280898852631</v>
      </c>
      <c r="D143" s="18">
        <v>0.1899786325123492</v>
      </c>
      <c r="E143" s="18">
        <v>0.19153483222563991</v>
      </c>
      <c r="F143" s="18">
        <v>0.21701793489504401</v>
      </c>
      <c r="G143" s="18">
        <v>0.19485486522590151</v>
      </c>
      <c r="H143" s="18">
        <v>0.18546674545597061</v>
      </c>
      <c r="I143" s="18">
        <v>0.20064365030253559</v>
      </c>
    </row>
    <row r="144" spans="1:9" x14ac:dyDescent="0.35">
      <c r="A144" s="14" t="s">
        <v>198</v>
      </c>
      <c r="B144" s="18">
        <v>0.26861995131295358</v>
      </c>
      <c r="C144" s="19">
        <v>0.47112247199214918</v>
      </c>
      <c r="D144" s="18">
        <v>0.29429840222669551</v>
      </c>
      <c r="E144" s="18">
        <v>0.27148537731507127</v>
      </c>
      <c r="F144" s="18">
        <v>0.26861995131295358</v>
      </c>
      <c r="G144" s="18">
        <v>0.28323568431854401</v>
      </c>
      <c r="H144" s="18">
        <v>0.29154306595566881</v>
      </c>
      <c r="I144" s="23">
        <v>0.24048935896450191</v>
      </c>
    </row>
    <row r="145" spans="1:9" x14ac:dyDescent="0.35">
      <c r="A145" s="14" t="s">
        <v>199</v>
      </c>
      <c r="B145" s="18">
        <v>0.12971528223078591</v>
      </c>
      <c r="C145" s="23">
        <v>0</v>
      </c>
      <c r="D145" s="21">
        <v>2.8398834220101109E-2</v>
      </c>
      <c r="E145" s="18">
        <v>9.9055188733107175E-2</v>
      </c>
      <c r="F145" s="18">
        <v>0.12971528223078599</v>
      </c>
      <c r="G145" s="18">
        <v>0.13897074825537059</v>
      </c>
      <c r="H145" s="18">
        <v>0.1235531614411403</v>
      </c>
      <c r="I145" s="18">
        <v>0.14634758901413111</v>
      </c>
    </row>
    <row r="146" spans="1:9" x14ac:dyDescent="0.35">
      <c r="A146" s="14" t="s">
        <v>200</v>
      </c>
      <c r="B146" s="18">
        <v>3.8053350003852321E-2</v>
      </c>
      <c r="C146" s="18">
        <v>0</v>
      </c>
      <c r="D146" s="20">
        <v>7.804751625673971E-2</v>
      </c>
      <c r="E146" s="18">
        <v>5.4938786645252341E-2</v>
      </c>
      <c r="F146" s="18">
        <v>3.8053350003852328E-2</v>
      </c>
      <c r="G146" s="18">
        <v>4.342461440347857E-2</v>
      </c>
      <c r="H146" s="18">
        <v>3.5096565750084879E-2</v>
      </c>
      <c r="I146" s="18">
        <v>4.5873655454556947E-2</v>
      </c>
    </row>
    <row r="147" spans="1:9" x14ac:dyDescent="0.35">
      <c r="A147" s="14" t="s">
        <v>201</v>
      </c>
      <c r="B147" s="18">
        <v>9.952459397177639E-2</v>
      </c>
      <c r="C147" s="18">
        <v>0</v>
      </c>
      <c r="D147" s="18">
        <v>0.1055931384345915</v>
      </c>
      <c r="E147" s="18">
        <v>9.9277408079390742E-2</v>
      </c>
      <c r="F147" s="18">
        <v>9.9524593971776404E-2</v>
      </c>
      <c r="G147" s="18">
        <v>9.5122681530997608E-2</v>
      </c>
      <c r="H147" s="25">
        <v>7.6879886961290098E-2</v>
      </c>
      <c r="I147" s="18">
        <v>7.9470431077145742E-2</v>
      </c>
    </row>
    <row r="148" spans="1:9" x14ac:dyDescent="0.35">
      <c r="A148" s="14" t="s">
        <v>202</v>
      </c>
      <c r="B148" s="18">
        <v>0</v>
      </c>
      <c r="C148" s="18">
        <v>0</v>
      </c>
      <c r="D148" s="18">
        <v>0</v>
      </c>
      <c r="E148" s="18">
        <v>0</v>
      </c>
      <c r="F148" s="18">
        <v>0</v>
      </c>
      <c r="G148" s="18">
        <v>0</v>
      </c>
      <c r="H148" s="18">
        <v>0</v>
      </c>
      <c r="I148" s="18">
        <v>0</v>
      </c>
    </row>
    <row r="149" spans="1:9" x14ac:dyDescent="0.35">
      <c r="A149" s="14" t="s">
        <v>211</v>
      </c>
      <c r="B149" s="18">
        <v>0</v>
      </c>
      <c r="C149" s="18">
        <v>0</v>
      </c>
      <c r="D149" s="18">
        <v>0</v>
      </c>
      <c r="E149" s="18">
        <v>0</v>
      </c>
      <c r="F149" s="18">
        <v>0</v>
      </c>
      <c r="G149" s="18">
        <v>0</v>
      </c>
      <c r="H149" s="18">
        <v>9.2188579237201251E-3</v>
      </c>
      <c r="I149" s="18">
        <v>9.5294964937433502E-3</v>
      </c>
    </row>
    <row r="150" spans="1:9" x14ac:dyDescent="0.35">
      <c r="A150" s="14" t="s">
        <v>212</v>
      </c>
      <c r="B150" s="18">
        <v>2.2218201644288289E-2</v>
      </c>
      <c r="C150" s="18">
        <v>0</v>
      </c>
      <c r="D150" s="18">
        <v>0</v>
      </c>
      <c r="E150" s="18">
        <v>3.207709806503705E-2</v>
      </c>
      <c r="F150" s="18">
        <v>2.2218201644288289E-2</v>
      </c>
      <c r="G150" s="18">
        <v>1.8685779006823638E-2</v>
      </c>
      <c r="H150" s="18">
        <v>1.5102187561439979E-2</v>
      </c>
      <c r="I150" s="18">
        <v>1.561107076444905E-2</v>
      </c>
    </row>
    <row r="151" spans="1:9" x14ac:dyDescent="0.35">
      <c r="A151" s="14" t="s">
        <v>203</v>
      </c>
      <c r="B151" s="18">
        <v>0</v>
      </c>
      <c r="C151" s="18">
        <v>0</v>
      </c>
      <c r="D151" s="18">
        <v>0</v>
      </c>
      <c r="E151" s="18">
        <v>0</v>
      </c>
      <c r="F151" s="18">
        <v>0</v>
      </c>
      <c r="G151" s="18">
        <v>0</v>
      </c>
      <c r="H151" s="18">
        <v>0</v>
      </c>
      <c r="I151" s="18">
        <v>0</v>
      </c>
    </row>
    <row r="152" spans="1:9" x14ac:dyDescent="0.35">
      <c r="A152" s="14" t="s">
        <v>204</v>
      </c>
      <c r="B152" s="18">
        <v>0</v>
      </c>
      <c r="C152" s="18">
        <v>0</v>
      </c>
      <c r="D152" s="18">
        <v>0</v>
      </c>
      <c r="E152" s="18">
        <v>0</v>
      </c>
      <c r="F152" s="18">
        <v>0</v>
      </c>
      <c r="G152" s="18">
        <v>0</v>
      </c>
      <c r="H152" s="18">
        <v>0</v>
      </c>
      <c r="I152" s="18">
        <v>0</v>
      </c>
    </row>
    <row r="153" spans="1:9" x14ac:dyDescent="0.35">
      <c r="A153" s="14" t="s">
        <v>213</v>
      </c>
      <c r="B153" s="1">
        <f t="shared" ref="B153:F153" si="6">(B139-B141)*100</f>
        <v>28.207247521642635</v>
      </c>
      <c r="C153" s="1">
        <f t="shared" si="6"/>
        <v>52.88775280078508</v>
      </c>
      <c r="D153" s="1">
        <f t="shared" si="6"/>
        <v>31.002145417054106</v>
      </c>
      <c r="E153" s="1">
        <f t="shared" si="6"/>
        <v>25.687284837246132</v>
      </c>
      <c r="F153" s="1">
        <f t="shared" si="6"/>
        <v>28.207247521642632</v>
      </c>
      <c r="G153" s="1">
        <v>26.332741754348561</v>
      </c>
      <c r="H153" s="1">
        <v>31.23087762101207</v>
      </c>
      <c r="I153" s="1">
        <v>31.21937444415768</v>
      </c>
    </row>
    <row r="155" spans="1:9" x14ac:dyDescent="0.35">
      <c r="C155" s="187"/>
      <c r="D155" s="187"/>
      <c r="E155" s="187"/>
      <c r="F155" s="187"/>
      <c r="G155" s="170"/>
      <c r="H155" s="170"/>
      <c r="I155" s="170"/>
    </row>
    <row r="156" spans="1:9" ht="29" x14ac:dyDescent="0.35">
      <c r="A156" s="12" t="s">
        <v>532</v>
      </c>
      <c r="B156" s="13" t="s">
        <v>208</v>
      </c>
      <c r="C156" s="13" t="s">
        <v>458</v>
      </c>
      <c r="D156" s="13" t="s">
        <v>466</v>
      </c>
      <c r="E156" s="13" t="s">
        <v>467</v>
      </c>
      <c r="F156" s="13" t="s">
        <v>468</v>
      </c>
      <c r="G156" s="13" t="s">
        <v>636</v>
      </c>
      <c r="H156" s="13" t="s">
        <v>641</v>
      </c>
      <c r="I156" s="13" t="s">
        <v>647</v>
      </c>
    </row>
    <row r="157" spans="1:9" x14ac:dyDescent="0.35">
      <c r="A157" s="14" t="s">
        <v>209</v>
      </c>
      <c r="B157" s="15">
        <v>40</v>
      </c>
      <c r="C157" s="15">
        <v>11</v>
      </c>
      <c r="D157" s="15">
        <v>19</v>
      </c>
      <c r="E157" s="15">
        <v>23</v>
      </c>
      <c r="F157" s="15">
        <v>40</v>
      </c>
      <c r="G157" s="15">
        <v>47</v>
      </c>
      <c r="H157" s="15">
        <v>52</v>
      </c>
      <c r="I157" s="15">
        <v>60</v>
      </c>
    </row>
    <row r="158" spans="1:9" x14ac:dyDescent="0.35">
      <c r="A158" s="16" t="s">
        <v>336</v>
      </c>
      <c r="B158" s="17">
        <v>0.36221691578473197</v>
      </c>
      <c r="C158" s="17">
        <v>0.44545480395970782</v>
      </c>
      <c r="D158" s="17">
        <v>0.37404232745151561</v>
      </c>
      <c r="E158" s="17">
        <v>0.35478275325282183</v>
      </c>
      <c r="F158" s="17">
        <v>0.36221691578473197</v>
      </c>
      <c r="G158" s="17">
        <v>0.39419731185929591</v>
      </c>
      <c r="H158" s="152">
        <v>0.41517928750274108</v>
      </c>
      <c r="I158" s="17">
        <v>0.36871247367453858</v>
      </c>
    </row>
    <row r="159" spans="1:9" x14ac:dyDescent="0.35">
      <c r="A159" s="16" t="s">
        <v>194</v>
      </c>
      <c r="B159" s="17">
        <v>0.51019877208706588</v>
      </c>
      <c r="C159" s="17">
        <v>0.55454519604029218</v>
      </c>
      <c r="D159" s="17">
        <v>0.58086446329291086</v>
      </c>
      <c r="E159" s="17">
        <v>0.60729688501372692</v>
      </c>
      <c r="F159" s="17">
        <v>0.51019877208706588</v>
      </c>
      <c r="G159" s="17">
        <v>0.47825240084370418</v>
      </c>
      <c r="H159" s="152">
        <v>0.431844000817386</v>
      </c>
      <c r="I159" s="17">
        <v>0.39614729890470118</v>
      </c>
    </row>
    <row r="160" spans="1:9" x14ac:dyDescent="0.35">
      <c r="A160" s="16" t="s">
        <v>195</v>
      </c>
      <c r="B160" s="17">
        <v>0.12758431212820201</v>
      </c>
      <c r="C160" s="17">
        <v>0</v>
      </c>
      <c r="D160" s="17">
        <v>4.5093209255573467E-2</v>
      </c>
      <c r="E160" s="154">
        <v>3.7920361733451237E-2</v>
      </c>
      <c r="F160" s="17">
        <v>0.12758431212820201</v>
      </c>
      <c r="G160" s="17">
        <v>0.12755028729699999</v>
      </c>
      <c r="H160" s="17">
        <v>0.15297671167987301</v>
      </c>
      <c r="I160" s="153">
        <v>0.2351402274207601</v>
      </c>
    </row>
    <row r="161" spans="1:9" x14ac:dyDescent="0.35">
      <c r="A161" s="14" t="s">
        <v>210</v>
      </c>
      <c r="B161" s="18">
        <v>0.1330787243434178</v>
      </c>
      <c r="C161" s="18">
        <v>0.21002318603638609</v>
      </c>
      <c r="D161" s="18">
        <v>0.12924284077837411</v>
      </c>
      <c r="E161" s="18">
        <v>0.14892281912845359</v>
      </c>
      <c r="F161" s="18">
        <v>0.1330787243434178</v>
      </c>
      <c r="G161" s="18">
        <v>0.16070019612026989</v>
      </c>
      <c r="H161" s="18">
        <v>0.18524483324662949</v>
      </c>
      <c r="I161" s="18">
        <v>0.15069121380418449</v>
      </c>
    </row>
    <row r="162" spans="1:9" x14ac:dyDescent="0.35">
      <c r="A162" s="14" t="s">
        <v>197</v>
      </c>
      <c r="B162" s="18">
        <v>0.22913819144131431</v>
      </c>
      <c r="C162" s="18">
        <v>0.23543161792332171</v>
      </c>
      <c r="D162" s="18">
        <v>0.2447994866731415</v>
      </c>
      <c r="E162" s="18">
        <v>0.20585993412436809</v>
      </c>
      <c r="F162" s="18">
        <v>0.22913819144131431</v>
      </c>
      <c r="G162" s="18">
        <v>0.23349711573902601</v>
      </c>
      <c r="H162" s="18">
        <v>0.22993445425611159</v>
      </c>
      <c r="I162" s="18">
        <v>0.21802125987035401</v>
      </c>
    </row>
    <row r="163" spans="1:9" x14ac:dyDescent="0.35">
      <c r="A163" s="14" t="s">
        <v>198</v>
      </c>
      <c r="B163" s="18">
        <v>0.33339142050907261</v>
      </c>
      <c r="C163" s="18">
        <v>0.39875036143215248</v>
      </c>
      <c r="D163" s="18">
        <v>0.43989913923252483</v>
      </c>
      <c r="E163" s="20">
        <v>0.45087578729900812</v>
      </c>
      <c r="F163" s="25">
        <v>0.33339142050907261</v>
      </c>
      <c r="G163" s="18">
        <v>0.30508289295827767</v>
      </c>
      <c r="H163" s="18">
        <v>0.27547842278182538</v>
      </c>
      <c r="I163" s="18">
        <v>0.22926112125668111</v>
      </c>
    </row>
    <row r="164" spans="1:9" x14ac:dyDescent="0.35">
      <c r="A164" s="14" t="s">
        <v>199</v>
      </c>
      <c r="B164" s="18">
        <v>0.17680735157799321</v>
      </c>
      <c r="C164" s="18">
        <v>0.15579483460813959</v>
      </c>
      <c r="D164" s="18">
        <v>0.14096532406038609</v>
      </c>
      <c r="E164" s="18">
        <v>0.15642109771471879</v>
      </c>
      <c r="F164" s="18">
        <v>0.17680735157799321</v>
      </c>
      <c r="G164" s="18">
        <v>0.17316950788542651</v>
      </c>
      <c r="H164" s="18">
        <v>0.15636557803556059</v>
      </c>
      <c r="I164" s="18">
        <v>0.16688617764802019</v>
      </c>
    </row>
    <row r="165" spans="1:9" x14ac:dyDescent="0.35">
      <c r="A165" s="14" t="s">
        <v>200</v>
      </c>
      <c r="B165" s="18">
        <v>3.0062657084853169E-2</v>
      </c>
      <c r="C165" s="18">
        <v>0</v>
      </c>
      <c r="D165" s="18">
        <v>0</v>
      </c>
      <c r="E165" s="18">
        <v>0</v>
      </c>
      <c r="F165" s="18">
        <v>3.0062657084853169E-2</v>
      </c>
      <c r="G165" s="18">
        <v>2.532611962007968E-2</v>
      </c>
      <c r="H165" s="18">
        <v>6.0672117971716337E-2</v>
      </c>
      <c r="I165" s="18">
        <v>0.10292451071608361</v>
      </c>
    </row>
    <row r="166" spans="1:9" x14ac:dyDescent="0.35">
      <c r="A166" s="14" t="s">
        <v>201</v>
      </c>
      <c r="B166" s="18">
        <v>3.0825797642966491E-2</v>
      </c>
      <c r="C166" s="18">
        <v>0</v>
      </c>
      <c r="D166" s="18">
        <v>0</v>
      </c>
      <c r="E166" s="18">
        <v>0</v>
      </c>
      <c r="F166" s="18">
        <v>3.0825797642966491E-2</v>
      </c>
      <c r="G166" s="18">
        <v>4.6036610538568591E-2</v>
      </c>
      <c r="H166" s="18">
        <v>4.1569334610709913E-2</v>
      </c>
      <c r="I166" s="18">
        <v>8.7402814547006547E-2</v>
      </c>
    </row>
    <row r="167" spans="1:9" x14ac:dyDescent="0.35">
      <c r="A167" s="14" t="s">
        <v>202</v>
      </c>
      <c r="B167" s="18">
        <v>1.9247326640614092E-2</v>
      </c>
      <c r="C167" s="18">
        <v>0</v>
      </c>
      <c r="D167" s="18">
        <v>0</v>
      </c>
      <c r="E167" s="18">
        <v>0</v>
      </c>
      <c r="F167" s="18">
        <v>1.9247326640614092E-2</v>
      </c>
      <c r="G167" s="18">
        <v>1.621480415024731E-2</v>
      </c>
      <c r="H167" s="18">
        <v>1.4641360679758591E-2</v>
      </c>
      <c r="I167" s="18">
        <v>1.293226594816381E-2</v>
      </c>
    </row>
    <row r="168" spans="1:9" x14ac:dyDescent="0.35">
      <c r="A168" s="14" t="s">
        <v>211</v>
      </c>
      <c r="B168" s="18">
        <v>2.6144782124396609E-2</v>
      </c>
      <c r="C168" s="18">
        <v>0</v>
      </c>
      <c r="D168" s="18">
        <v>0</v>
      </c>
      <c r="E168" s="18">
        <v>0</v>
      </c>
      <c r="F168" s="18">
        <v>2.6144782124396609E-2</v>
      </c>
      <c r="G168" s="18">
        <v>2.2025527472653319E-2</v>
      </c>
      <c r="H168" s="18">
        <v>1.9888226148209769E-2</v>
      </c>
      <c r="I168" s="18">
        <v>1.7566661692956471E-2</v>
      </c>
    </row>
    <row r="169" spans="1:9" x14ac:dyDescent="0.35">
      <c r="A169" s="14" t="s">
        <v>212</v>
      </c>
      <c r="B169" s="18">
        <v>2.130374863537168E-2</v>
      </c>
      <c r="C169" s="18">
        <v>0</v>
      </c>
      <c r="D169" s="18">
        <v>4.5093209255573467E-2</v>
      </c>
      <c r="E169" s="18">
        <v>3.7920361733451237E-2</v>
      </c>
      <c r="F169" s="18">
        <v>2.130374863537168E-2</v>
      </c>
      <c r="G169" s="18">
        <v>1.7947225515451061E-2</v>
      </c>
      <c r="H169" s="18">
        <v>1.620567226947834E-2</v>
      </c>
      <c r="I169" s="18">
        <v>1.4313974516549701E-2</v>
      </c>
    </row>
    <row r="170" spans="1:9" x14ac:dyDescent="0.35">
      <c r="A170" s="14" t="s">
        <v>203</v>
      </c>
      <c r="B170" s="18">
        <v>0</v>
      </c>
      <c r="C170" s="18">
        <v>0</v>
      </c>
      <c r="D170" s="18">
        <v>0</v>
      </c>
      <c r="E170" s="18">
        <v>0</v>
      </c>
      <c r="F170" s="18">
        <v>0</v>
      </c>
      <c r="G170" s="18">
        <v>0</v>
      </c>
      <c r="H170" s="18">
        <v>0</v>
      </c>
      <c r="I170" s="18">
        <v>0</v>
      </c>
    </row>
    <row r="171" spans="1:9" x14ac:dyDescent="0.35">
      <c r="A171" s="14" t="s">
        <v>204</v>
      </c>
      <c r="B171" s="18">
        <v>0</v>
      </c>
      <c r="C171" s="18">
        <v>0</v>
      </c>
      <c r="D171" s="18">
        <v>0</v>
      </c>
      <c r="E171" s="18">
        <v>0</v>
      </c>
      <c r="F171" s="18">
        <v>0</v>
      </c>
      <c r="G171" s="18">
        <v>0</v>
      </c>
      <c r="H171" s="18">
        <v>0</v>
      </c>
      <c r="I171" s="18">
        <v>0</v>
      </c>
    </row>
    <row r="172" spans="1:9" x14ac:dyDescent="0.35">
      <c r="A172" s="14" t="s">
        <v>213</v>
      </c>
      <c r="B172" s="1">
        <f t="shared" ref="B172:F172" si="7">(B158-B160)*100</f>
        <v>23.463260365652996</v>
      </c>
      <c r="C172" s="1">
        <f t="shared" si="7"/>
        <v>44.545480395970785</v>
      </c>
      <c r="D172" s="1">
        <f t="shared" si="7"/>
        <v>32.894911819594213</v>
      </c>
      <c r="E172" s="1">
        <f t="shared" si="7"/>
        <v>31.686239151937055</v>
      </c>
      <c r="F172" s="1">
        <f t="shared" si="7"/>
        <v>23.463260365652996</v>
      </c>
      <c r="G172" s="1">
        <v>26.664702456229591</v>
      </c>
      <c r="H172" s="1">
        <v>26.220257582286809</v>
      </c>
      <c r="I172" s="1">
        <v>13.357224625377841</v>
      </c>
    </row>
    <row r="174" spans="1:9" x14ac:dyDescent="0.35">
      <c r="C174" s="187"/>
      <c r="D174" s="187"/>
      <c r="E174" s="187"/>
      <c r="F174" s="187"/>
      <c r="G174" s="170"/>
      <c r="H174" s="170"/>
      <c r="I174" s="170"/>
    </row>
    <row r="175" spans="1:9" ht="29" x14ac:dyDescent="0.35">
      <c r="A175" s="12" t="s">
        <v>533</v>
      </c>
      <c r="B175" s="13" t="s">
        <v>208</v>
      </c>
      <c r="C175" s="13" t="s">
        <v>458</v>
      </c>
      <c r="D175" s="13" t="s">
        <v>466</v>
      </c>
      <c r="E175" s="13" t="s">
        <v>467</v>
      </c>
      <c r="F175" s="13" t="s">
        <v>468</v>
      </c>
      <c r="G175" s="13" t="s">
        <v>636</v>
      </c>
      <c r="H175" s="13" t="s">
        <v>641</v>
      </c>
      <c r="I175" s="13" t="s">
        <v>647</v>
      </c>
    </row>
    <row r="176" spans="1:9" x14ac:dyDescent="0.35">
      <c r="A176" s="14" t="s">
        <v>209</v>
      </c>
      <c r="B176" s="15">
        <v>119</v>
      </c>
      <c r="C176" s="15">
        <v>31</v>
      </c>
      <c r="D176" s="15">
        <v>60</v>
      </c>
      <c r="E176" s="15">
        <v>93</v>
      </c>
      <c r="F176" s="15">
        <v>119</v>
      </c>
      <c r="G176" s="15">
        <v>136</v>
      </c>
      <c r="H176" s="15">
        <v>157</v>
      </c>
      <c r="I176" s="15">
        <v>149</v>
      </c>
    </row>
    <row r="177" spans="1:9" x14ac:dyDescent="0.35">
      <c r="A177" s="16" t="s">
        <v>336</v>
      </c>
      <c r="B177" s="17">
        <v>0.41492425998592608</v>
      </c>
      <c r="C177" s="17">
        <v>0.37821587425847081</v>
      </c>
      <c r="D177" s="17">
        <v>0.4265207829651701</v>
      </c>
      <c r="E177" s="17">
        <v>0.41184723506079862</v>
      </c>
      <c r="F177" s="17">
        <v>0.41492425998592608</v>
      </c>
      <c r="G177" s="17">
        <v>0.41106757192482257</v>
      </c>
      <c r="H177" s="17">
        <v>0.40003396980107853</v>
      </c>
      <c r="I177" s="17">
        <v>0.42262796944035252</v>
      </c>
    </row>
    <row r="178" spans="1:9" x14ac:dyDescent="0.35">
      <c r="A178" s="16" t="s">
        <v>194</v>
      </c>
      <c r="B178" s="17">
        <v>0.41003415534581572</v>
      </c>
      <c r="C178" s="17">
        <v>0.53135116959795381</v>
      </c>
      <c r="D178" s="17">
        <v>0.4525467736948825</v>
      </c>
      <c r="E178" s="17">
        <v>0.42879810115165429</v>
      </c>
      <c r="F178" s="17">
        <v>0.41003415534581578</v>
      </c>
      <c r="G178" s="17">
        <v>0.42797492032022089</v>
      </c>
      <c r="H178" s="17">
        <v>0.4358220559644746</v>
      </c>
      <c r="I178" s="17">
        <v>0.38646864440750178</v>
      </c>
    </row>
    <row r="179" spans="1:9" x14ac:dyDescent="0.35">
      <c r="A179" s="16" t="s">
        <v>195</v>
      </c>
      <c r="B179" s="17">
        <v>0.1750415846682582</v>
      </c>
      <c r="C179" s="17">
        <v>9.0432956143575424E-2</v>
      </c>
      <c r="D179" s="17">
        <v>0.1209324433399474</v>
      </c>
      <c r="E179" s="17">
        <v>0.1593546637875469</v>
      </c>
      <c r="F179" s="17">
        <v>0.1750415846682582</v>
      </c>
      <c r="G179" s="17">
        <v>0.16095750775495671</v>
      </c>
      <c r="H179" s="17">
        <v>0.1641439742344469</v>
      </c>
      <c r="I179" s="17">
        <v>0.19090338615214589</v>
      </c>
    </row>
    <row r="180" spans="1:9" x14ac:dyDescent="0.35">
      <c r="A180" s="14" t="s">
        <v>210</v>
      </c>
      <c r="B180" s="18">
        <v>0.27050215419993789</v>
      </c>
      <c r="C180" s="18">
        <v>0.29816848468936458</v>
      </c>
      <c r="D180" s="18">
        <v>0.3182312663501265</v>
      </c>
      <c r="E180" s="18">
        <v>0.26497931271667491</v>
      </c>
      <c r="F180" s="18">
        <v>0.27050215419993789</v>
      </c>
      <c r="G180" s="18">
        <v>0.27068094662779618</v>
      </c>
      <c r="H180" s="18">
        <v>0.27072754112818459</v>
      </c>
      <c r="I180" s="18">
        <v>0.27828840257923337</v>
      </c>
    </row>
    <row r="181" spans="1:9" x14ac:dyDescent="0.35">
      <c r="A181" s="14" t="s">
        <v>197</v>
      </c>
      <c r="B181" s="18">
        <v>0.14442210578598819</v>
      </c>
      <c r="C181" s="18">
        <v>8.0047389569106217E-2</v>
      </c>
      <c r="D181" s="18">
        <v>0.1082895166150437</v>
      </c>
      <c r="E181" s="18">
        <v>0.14686792234412371</v>
      </c>
      <c r="F181" s="18">
        <v>0.14442210578598819</v>
      </c>
      <c r="G181" s="18">
        <v>0.14038662529702639</v>
      </c>
      <c r="H181" s="18">
        <v>0.12930642867289391</v>
      </c>
      <c r="I181" s="18">
        <v>0.1443395668611191</v>
      </c>
    </row>
    <row r="182" spans="1:9" x14ac:dyDescent="0.35">
      <c r="A182" s="14" t="s">
        <v>198</v>
      </c>
      <c r="B182" s="18">
        <v>0.29388028123241011</v>
      </c>
      <c r="C182" s="18">
        <v>0.31328107783943149</v>
      </c>
      <c r="D182" s="18">
        <v>0.29011551871713548</v>
      </c>
      <c r="E182" s="18">
        <v>0.2894170146269176</v>
      </c>
      <c r="F182" s="18">
        <v>0.29388028123241011</v>
      </c>
      <c r="G182" s="18">
        <v>0.31925080229073788</v>
      </c>
      <c r="H182" s="18">
        <v>0.32830576906858949</v>
      </c>
      <c r="I182" s="18">
        <v>0.29331587312220408</v>
      </c>
    </row>
    <row r="183" spans="1:9" x14ac:dyDescent="0.35">
      <c r="A183" s="14" t="s">
        <v>199</v>
      </c>
      <c r="B183" s="18">
        <v>0.11615387411340559</v>
      </c>
      <c r="C183" s="19">
        <v>0.21807009175852229</v>
      </c>
      <c r="D183" s="18">
        <v>0.16243125497774699</v>
      </c>
      <c r="E183" s="18">
        <v>0.13938108652473671</v>
      </c>
      <c r="F183" s="18">
        <v>0.11615387411340559</v>
      </c>
      <c r="G183" s="18">
        <v>0.10872411802948299</v>
      </c>
      <c r="H183" s="18">
        <v>0.1075162868958851</v>
      </c>
      <c r="I183" s="21">
        <v>9.3152771285297628E-2</v>
      </c>
    </row>
    <row r="184" spans="1:9" x14ac:dyDescent="0.35">
      <c r="A184" s="14" t="s">
        <v>200</v>
      </c>
      <c r="B184" s="18">
        <v>8.2528572223362004E-2</v>
      </c>
      <c r="C184" s="23">
        <v>0</v>
      </c>
      <c r="D184" s="18">
        <v>5.9836755272642199E-2</v>
      </c>
      <c r="E184" s="18">
        <v>7.501793760802189E-2</v>
      </c>
      <c r="F184" s="18">
        <v>8.2528572223362004E-2</v>
      </c>
      <c r="G184" s="18">
        <v>7.2505897253716339E-2</v>
      </c>
      <c r="H184" s="18">
        <v>6.8683504561327935E-2</v>
      </c>
      <c r="I184" s="18">
        <v>8.1390784826491619E-2</v>
      </c>
    </row>
    <row r="185" spans="1:9" x14ac:dyDescent="0.35">
      <c r="A185" s="14" t="s">
        <v>201</v>
      </c>
      <c r="B185" s="18">
        <v>3.8589707792960483E-2</v>
      </c>
      <c r="C185" s="18">
        <v>5.784754943603624E-2</v>
      </c>
      <c r="D185" s="18">
        <v>4.4410419262594328E-2</v>
      </c>
      <c r="E185" s="18">
        <v>3.8076773917000623E-2</v>
      </c>
      <c r="F185" s="18">
        <v>3.8589707792960483E-2</v>
      </c>
      <c r="G185" s="18">
        <v>3.3903184229513217E-2</v>
      </c>
      <c r="H185" s="18">
        <v>4.1347600834947228E-2</v>
      </c>
      <c r="I185" s="18">
        <v>4.5517777198926059E-2</v>
      </c>
    </row>
    <row r="186" spans="1:9" x14ac:dyDescent="0.35">
      <c r="A186" s="14" t="s">
        <v>202</v>
      </c>
      <c r="B186" s="18">
        <v>7.3049802911303759E-3</v>
      </c>
      <c r="C186" s="18">
        <v>0</v>
      </c>
      <c r="D186" s="18">
        <v>0</v>
      </c>
      <c r="E186" s="23">
        <v>0</v>
      </c>
      <c r="F186" s="18">
        <v>7.3049802911303759E-3</v>
      </c>
      <c r="G186" s="18">
        <v>6.4178276221188348E-3</v>
      </c>
      <c r="H186" s="18">
        <v>5.5878621723070964E-3</v>
      </c>
      <c r="I186" s="18">
        <v>5.8466536502876131E-3</v>
      </c>
    </row>
    <row r="187" spans="1:9" x14ac:dyDescent="0.35">
      <c r="A187" s="14" t="s">
        <v>211</v>
      </c>
      <c r="B187" s="18">
        <v>1.854899831343464E-2</v>
      </c>
      <c r="C187" s="18">
        <v>3.2585406707539177E-2</v>
      </c>
      <c r="D187" s="18">
        <v>1.6685268804710909E-2</v>
      </c>
      <c r="E187" s="18">
        <v>2.3667196333431159E-2</v>
      </c>
      <c r="F187" s="18">
        <v>1.854899831343464E-2</v>
      </c>
      <c r="G187" s="18">
        <v>1.6296316895356822E-2</v>
      </c>
      <c r="H187" s="18">
        <v>1.4188846770152041E-2</v>
      </c>
      <c r="I187" s="18">
        <v>1.4682109303646419E-2</v>
      </c>
    </row>
    <row r="188" spans="1:9" x14ac:dyDescent="0.35">
      <c r="A188" s="14" t="s">
        <v>212</v>
      </c>
      <c r="B188" s="18">
        <v>8.8534566097427398E-3</v>
      </c>
      <c r="C188" s="18">
        <v>0</v>
      </c>
      <c r="D188" s="18">
        <v>0</v>
      </c>
      <c r="E188" s="18">
        <v>1.1296377964546611E-2</v>
      </c>
      <c r="F188" s="18">
        <v>8.8534566097427398E-3</v>
      </c>
      <c r="G188" s="18">
        <v>7.778249374639337E-3</v>
      </c>
      <c r="H188" s="18">
        <v>6.7723516439615727E-3</v>
      </c>
      <c r="I188" s="18">
        <v>7.0860005560679671E-3</v>
      </c>
    </row>
    <row r="189" spans="1:9" x14ac:dyDescent="0.35">
      <c r="A189" s="14" t="s">
        <v>203</v>
      </c>
      <c r="B189" s="18">
        <v>0</v>
      </c>
      <c r="C189" s="18">
        <v>0</v>
      </c>
      <c r="D189" s="18">
        <v>0</v>
      </c>
      <c r="E189" s="18">
        <v>0</v>
      </c>
      <c r="F189" s="18">
        <v>0</v>
      </c>
      <c r="G189" s="18">
        <v>0</v>
      </c>
      <c r="H189" s="18">
        <v>0</v>
      </c>
      <c r="I189" s="18">
        <v>7.5396856823546953E-3</v>
      </c>
    </row>
    <row r="190" spans="1:9" x14ac:dyDescent="0.35">
      <c r="A190" s="14" t="s">
        <v>204</v>
      </c>
      <c r="B190" s="18">
        <v>1.921586943762792E-2</v>
      </c>
      <c r="C190" s="18">
        <v>0</v>
      </c>
      <c r="D190" s="18">
        <v>0</v>
      </c>
      <c r="E190" s="18">
        <v>1.1296377964546611E-2</v>
      </c>
      <c r="F190" s="18">
        <v>1.921586943762792E-2</v>
      </c>
      <c r="G190" s="18">
        <v>2.4056032379612121E-2</v>
      </c>
      <c r="H190" s="18">
        <v>2.756380825175106E-2</v>
      </c>
      <c r="I190" s="18">
        <v>2.8840374934371481E-2</v>
      </c>
    </row>
    <row r="191" spans="1:9" x14ac:dyDescent="0.35">
      <c r="A191" s="14" t="s">
        <v>213</v>
      </c>
      <c r="B191" s="1">
        <f t="shared" ref="B191:F191" si="8">(B177-B179)*100</f>
        <v>23.988267531766787</v>
      </c>
      <c r="C191" s="1">
        <f t="shared" si="8"/>
        <v>28.778291811489538</v>
      </c>
      <c r="D191" s="1">
        <f t="shared" si="8"/>
        <v>30.558833962522268</v>
      </c>
      <c r="E191" s="1">
        <f t="shared" si="8"/>
        <v>25.249257127325176</v>
      </c>
      <c r="F191" s="1">
        <f t="shared" si="8"/>
        <v>23.988267531766787</v>
      </c>
      <c r="G191" s="1">
        <v>25.0110064169866</v>
      </c>
      <c r="H191" s="1">
        <v>23.588999556663151</v>
      </c>
      <c r="I191" s="1">
        <v>23.17245832882066</v>
      </c>
    </row>
    <row r="193" spans="1:9" x14ac:dyDescent="0.35">
      <c r="C193" s="187"/>
      <c r="D193" s="187"/>
      <c r="E193" s="187"/>
      <c r="F193" s="187"/>
      <c r="G193" s="170"/>
      <c r="H193" s="170"/>
      <c r="I193" s="170"/>
    </row>
    <row r="194" spans="1:9" ht="29" x14ac:dyDescent="0.35">
      <c r="A194" s="12" t="s">
        <v>486</v>
      </c>
      <c r="B194" s="13" t="s">
        <v>208</v>
      </c>
      <c r="C194" s="13" t="s">
        <v>458</v>
      </c>
      <c r="D194" s="13" t="s">
        <v>466</v>
      </c>
      <c r="E194" s="13" t="s">
        <v>467</v>
      </c>
      <c r="F194" s="13" t="s">
        <v>468</v>
      </c>
      <c r="G194" s="13" t="s">
        <v>636</v>
      </c>
      <c r="H194" s="13" t="s">
        <v>641</v>
      </c>
      <c r="I194" s="13" t="s">
        <v>647</v>
      </c>
    </row>
    <row r="195" spans="1:9" x14ac:dyDescent="0.35">
      <c r="A195" s="14" t="s">
        <v>209</v>
      </c>
      <c r="B195" s="15">
        <v>0</v>
      </c>
      <c r="C195" s="15">
        <v>0</v>
      </c>
      <c r="D195" s="15">
        <v>0</v>
      </c>
      <c r="E195" s="15">
        <v>0</v>
      </c>
      <c r="F195" s="15">
        <v>0</v>
      </c>
      <c r="G195" s="15">
        <v>0</v>
      </c>
      <c r="H195" s="15">
        <v>0</v>
      </c>
      <c r="I195" s="15">
        <v>0</v>
      </c>
    </row>
    <row r="196" spans="1:9" x14ac:dyDescent="0.35">
      <c r="A196" s="16" t="s">
        <v>336</v>
      </c>
      <c r="B196" s="17" t="s">
        <v>214</v>
      </c>
      <c r="C196" s="168" t="s">
        <v>214</v>
      </c>
      <c r="D196" s="168" t="s">
        <v>214</v>
      </c>
      <c r="E196" s="168" t="s">
        <v>214</v>
      </c>
      <c r="F196" s="168" t="s">
        <v>214</v>
      </c>
      <c r="G196" s="168" t="s">
        <v>214</v>
      </c>
      <c r="H196" s="168" t="s">
        <v>214</v>
      </c>
      <c r="I196" s="168" t="s">
        <v>214</v>
      </c>
    </row>
    <row r="197" spans="1:9" x14ac:dyDescent="0.35">
      <c r="A197" s="16" t="s">
        <v>194</v>
      </c>
      <c r="B197" s="17" t="s">
        <v>214</v>
      </c>
      <c r="C197" s="168" t="s">
        <v>214</v>
      </c>
      <c r="D197" s="168" t="s">
        <v>214</v>
      </c>
      <c r="E197" s="168" t="s">
        <v>214</v>
      </c>
      <c r="F197" s="168" t="s">
        <v>214</v>
      </c>
      <c r="G197" s="168" t="s">
        <v>214</v>
      </c>
      <c r="H197" s="168" t="s">
        <v>214</v>
      </c>
      <c r="I197" s="168" t="s">
        <v>214</v>
      </c>
    </row>
    <row r="198" spans="1:9" x14ac:dyDescent="0.35">
      <c r="A198" s="16" t="s">
        <v>195</v>
      </c>
      <c r="B198" s="17" t="s">
        <v>214</v>
      </c>
      <c r="C198" s="168" t="s">
        <v>214</v>
      </c>
      <c r="D198" s="168" t="s">
        <v>214</v>
      </c>
      <c r="E198" s="168" t="s">
        <v>214</v>
      </c>
      <c r="F198" s="168" t="s">
        <v>214</v>
      </c>
      <c r="G198" s="168" t="s">
        <v>214</v>
      </c>
      <c r="H198" s="168" t="s">
        <v>214</v>
      </c>
      <c r="I198" s="168" t="s">
        <v>214</v>
      </c>
    </row>
    <row r="199" spans="1:9" x14ac:dyDescent="0.35">
      <c r="A199" s="14" t="s">
        <v>210</v>
      </c>
      <c r="B199" s="18" t="s">
        <v>214</v>
      </c>
      <c r="C199" s="18" t="s">
        <v>214</v>
      </c>
      <c r="D199" s="18" t="s">
        <v>214</v>
      </c>
      <c r="E199" s="18" t="s">
        <v>214</v>
      </c>
      <c r="F199" s="18" t="s">
        <v>214</v>
      </c>
      <c r="G199" s="18" t="s">
        <v>214</v>
      </c>
      <c r="H199" s="18" t="s">
        <v>214</v>
      </c>
      <c r="I199" s="18" t="s">
        <v>214</v>
      </c>
    </row>
    <row r="200" spans="1:9" x14ac:dyDescent="0.35">
      <c r="A200" s="14" t="s">
        <v>197</v>
      </c>
      <c r="B200" s="18" t="s">
        <v>214</v>
      </c>
      <c r="C200" s="18" t="s">
        <v>214</v>
      </c>
      <c r="D200" s="18" t="s">
        <v>214</v>
      </c>
      <c r="E200" s="18" t="s">
        <v>214</v>
      </c>
      <c r="F200" s="18" t="s">
        <v>214</v>
      </c>
      <c r="G200" s="18" t="s">
        <v>214</v>
      </c>
      <c r="H200" s="18" t="s">
        <v>214</v>
      </c>
      <c r="I200" s="18" t="s">
        <v>214</v>
      </c>
    </row>
    <row r="201" spans="1:9" x14ac:dyDescent="0.35">
      <c r="A201" s="14" t="s">
        <v>198</v>
      </c>
      <c r="B201" s="18" t="s">
        <v>214</v>
      </c>
      <c r="C201" s="18" t="s">
        <v>214</v>
      </c>
      <c r="D201" s="18" t="s">
        <v>214</v>
      </c>
      <c r="E201" s="18" t="s">
        <v>214</v>
      </c>
      <c r="F201" s="18" t="s">
        <v>214</v>
      </c>
      <c r="G201" s="18" t="s">
        <v>214</v>
      </c>
      <c r="H201" s="18" t="s">
        <v>214</v>
      </c>
      <c r="I201" s="18" t="s">
        <v>214</v>
      </c>
    </row>
    <row r="202" spans="1:9" x14ac:dyDescent="0.35">
      <c r="A202" s="14" t="s">
        <v>199</v>
      </c>
      <c r="B202" s="18" t="s">
        <v>214</v>
      </c>
      <c r="C202" s="18" t="s">
        <v>214</v>
      </c>
      <c r="D202" s="18" t="s">
        <v>214</v>
      </c>
      <c r="E202" s="18" t="s">
        <v>214</v>
      </c>
      <c r="F202" s="18" t="s">
        <v>214</v>
      </c>
      <c r="G202" s="18" t="s">
        <v>214</v>
      </c>
      <c r="H202" s="18" t="s">
        <v>214</v>
      </c>
      <c r="I202" s="18" t="s">
        <v>214</v>
      </c>
    </row>
    <row r="203" spans="1:9" x14ac:dyDescent="0.35">
      <c r="A203" s="14" t="s">
        <v>200</v>
      </c>
      <c r="B203" s="18" t="s">
        <v>214</v>
      </c>
      <c r="C203" s="18" t="s">
        <v>214</v>
      </c>
      <c r="D203" s="18" t="s">
        <v>214</v>
      </c>
      <c r="E203" s="18" t="s">
        <v>214</v>
      </c>
      <c r="F203" s="18" t="s">
        <v>214</v>
      </c>
      <c r="G203" s="18" t="s">
        <v>214</v>
      </c>
      <c r="H203" s="18" t="s">
        <v>214</v>
      </c>
      <c r="I203" s="18" t="s">
        <v>214</v>
      </c>
    </row>
    <row r="204" spans="1:9" x14ac:dyDescent="0.35">
      <c r="A204" s="14" t="s">
        <v>201</v>
      </c>
      <c r="B204" s="18" t="s">
        <v>214</v>
      </c>
      <c r="C204" s="18" t="s">
        <v>214</v>
      </c>
      <c r="D204" s="18" t="s">
        <v>214</v>
      </c>
      <c r="E204" s="18" t="s">
        <v>214</v>
      </c>
      <c r="F204" s="18" t="s">
        <v>214</v>
      </c>
      <c r="G204" s="18" t="s">
        <v>214</v>
      </c>
      <c r="H204" s="18" t="s">
        <v>214</v>
      </c>
      <c r="I204" s="18" t="s">
        <v>214</v>
      </c>
    </row>
    <row r="205" spans="1:9" x14ac:dyDescent="0.35">
      <c r="A205" s="14" t="s">
        <v>202</v>
      </c>
      <c r="B205" s="18" t="s">
        <v>214</v>
      </c>
      <c r="C205" s="18" t="s">
        <v>214</v>
      </c>
      <c r="D205" s="18" t="s">
        <v>214</v>
      </c>
      <c r="E205" s="18" t="s">
        <v>214</v>
      </c>
      <c r="F205" s="18" t="s">
        <v>214</v>
      </c>
      <c r="G205" s="18" t="s">
        <v>214</v>
      </c>
      <c r="H205" s="18" t="s">
        <v>214</v>
      </c>
      <c r="I205" s="18" t="s">
        <v>214</v>
      </c>
    </row>
    <row r="206" spans="1:9" x14ac:dyDescent="0.35">
      <c r="A206" s="14" t="s">
        <v>211</v>
      </c>
      <c r="B206" s="18" t="s">
        <v>214</v>
      </c>
      <c r="C206" s="18" t="s">
        <v>214</v>
      </c>
      <c r="D206" s="18" t="s">
        <v>214</v>
      </c>
      <c r="E206" s="18" t="s">
        <v>214</v>
      </c>
      <c r="F206" s="18" t="s">
        <v>214</v>
      </c>
      <c r="G206" s="18" t="s">
        <v>214</v>
      </c>
      <c r="H206" s="18" t="s">
        <v>214</v>
      </c>
      <c r="I206" s="18" t="s">
        <v>214</v>
      </c>
    </row>
    <row r="207" spans="1:9" x14ac:dyDescent="0.35">
      <c r="A207" s="14" t="s">
        <v>212</v>
      </c>
      <c r="B207" s="18" t="s">
        <v>214</v>
      </c>
      <c r="C207" s="18" t="s">
        <v>214</v>
      </c>
      <c r="D207" s="18" t="s">
        <v>214</v>
      </c>
      <c r="E207" s="18" t="s">
        <v>214</v>
      </c>
      <c r="F207" s="18" t="s">
        <v>214</v>
      </c>
      <c r="G207" s="18" t="s">
        <v>214</v>
      </c>
      <c r="H207" s="18" t="s">
        <v>214</v>
      </c>
      <c r="I207" s="18" t="s">
        <v>214</v>
      </c>
    </row>
    <row r="208" spans="1:9" x14ac:dyDescent="0.35">
      <c r="A208" s="14" t="s">
        <v>203</v>
      </c>
      <c r="B208" s="18" t="s">
        <v>214</v>
      </c>
      <c r="C208" s="18" t="s">
        <v>214</v>
      </c>
      <c r="D208" s="18" t="s">
        <v>214</v>
      </c>
      <c r="E208" s="18" t="s">
        <v>214</v>
      </c>
      <c r="F208" s="18" t="s">
        <v>214</v>
      </c>
      <c r="G208" s="18" t="s">
        <v>214</v>
      </c>
      <c r="H208" s="18" t="s">
        <v>214</v>
      </c>
      <c r="I208" s="18" t="s">
        <v>214</v>
      </c>
    </row>
    <row r="209" spans="1:9" x14ac:dyDescent="0.35">
      <c r="A209" s="14" t="s">
        <v>204</v>
      </c>
      <c r="B209" s="18" t="s">
        <v>214</v>
      </c>
      <c r="C209" s="18" t="s">
        <v>214</v>
      </c>
      <c r="D209" s="18" t="s">
        <v>214</v>
      </c>
      <c r="E209" s="18" t="s">
        <v>214</v>
      </c>
      <c r="F209" s="18" t="s">
        <v>214</v>
      </c>
      <c r="G209" s="18" t="s">
        <v>214</v>
      </c>
      <c r="H209" s="18" t="s">
        <v>214</v>
      </c>
      <c r="I209" s="18" t="s">
        <v>214</v>
      </c>
    </row>
    <row r="211" spans="1:9" x14ac:dyDescent="0.35">
      <c r="C211" s="187"/>
      <c r="D211" s="187"/>
      <c r="E211" s="187"/>
      <c r="F211" s="187"/>
      <c r="G211" s="170"/>
      <c r="H211" s="170"/>
      <c r="I211" s="170"/>
    </row>
    <row r="212" spans="1:9" ht="29" x14ac:dyDescent="0.35">
      <c r="A212" s="12" t="s">
        <v>488</v>
      </c>
      <c r="B212" s="13" t="s">
        <v>208</v>
      </c>
      <c r="C212" s="13" t="s">
        <v>458</v>
      </c>
      <c r="D212" s="13" t="s">
        <v>466</v>
      </c>
      <c r="E212" s="13" t="s">
        <v>467</v>
      </c>
      <c r="F212" s="13" t="s">
        <v>468</v>
      </c>
      <c r="G212" s="13" t="s">
        <v>636</v>
      </c>
      <c r="H212" s="13" t="s">
        <v>641</v>
      </c>
      <c r="I212" s="13" t="s">
        <v>647</v>
      </c>
    </row>
    <row r="213" spans="1:9" x14ac:dyDescent="0.35">
      <c r="A213" s="14" t="s">
        <v>209</v>
      </c>
      <c r="B213" s="15">
        <v>0</v>
      </c>
      <c r="C213" s="15">
        <v>0</v>
      </c>
      <c r="D213" s="15">
        <v>0</v>
      </c>
      <c r="E213" s="15">
        <v>0</v>
      </c>
      <c r="F213" s="15">
        <v>0</v>
      </c>
      <c r="G213" s="15">
        <v>0</v>
      </c>
      <c r="H213" s="15">
        <v>0</v>
      </c>
      <c r="I213" s="15">
        <v>0</v>
      </c>
    </row>
    <row r="214" spans="1:9" x14ac:dyDescent="0.35">
      <c r="A214" s="16" t="s">
        <v>336</v>
      </c>
      <c r="B214" s="17" t="s">
        <v>214</v>
      </c>
      <c r="C214" s="168" t="s">
        <v>214</v>
      </c>
      <c r="D214" s="168" t="s">
        <v>214</v>
      </c>
      <c r="E214" s="168" t="s">
        <v>214</v>
      </c>
      <c r="F214" s="168" t="s">
        <v>214</v>
      </c>
      <c r="G214" s="168" t="s">
        <v>214</v>
      </c>
      <c r="H214" s="168" t="s">
        <v>214</v>
      </c>
      <c r="I214" s="168" t="s">
        <v>214</v>
      </c>
    </row>
    <row r="215" spans="1:9" x14ac:dyDescent="0.35">
      <c r="A215" s="16" t="s">
        <v>194</v>
      </c>
      <c r="B215" s="17" t="s">
        <v>214</v>
      </c>
      <c r="C215" s="168" t="s">
        <v>214</v>
      </c>
      <c r="D215" s="168" t="s">
        <v>214</v>
      </c>
      <c r="E215" s="168" t="s">
        <v>214</v>
      </c>
      <c r="F215" s="168" t="s">
        <v>214</v>
      </c>
      <c r="G215" s="168" t="s">
        <v>214</v>
      </c>
      <c r="H215" s="168" t="s">
        <v>214</v>
      </c>
      <c r="I215" s="168" t="s">
        <v>214</v>
      </c>
    </row>
    <row r="216" spans="1:9" x14ac:dyDescent="0.35">
      <c r="A216" s="16" t="s">
        <v>195</v>
      </c>
      <c r="B216" s="17" t="s">
        <v>214</v>
      </c>
      <c r="C216" s="168" t="s">
        <v>214</v>
      </c>
      <c r="D216" s="168" t="s">
        <v>214</v>
      </c>
      <c r="E216" s="168" t="s">
        <v>214</v>
      </c>
      <c r="F216" s="168" t="s">
        <v>214</v>
      </c>
      <c r="G216" s="168" t="s">
        <v>214</v>
      </c>
      <c r="H216" s="168" t="s">
        <v>214</v>
      </c>
      <c r="I216" s="168" t="s">
        <v>214</v>
      </c>
    </row>
    <row r="217" spans="1:9" x14ac:dyDescent="0.35">
      <c r="A217" s="14" t="s">
        <v>210</v>
      </c>
      <c r="B217" s="18" t="s">
        <v>214</v>
      </c>
      <c r="C217" s="18" t="s">
        <v>214</v>
      </c>
      <c r="D217" s="18" t="s">
        <v>214</v>
      </c>
      <c r="E217" s="18" t="s">
        <v>214</v>
      </c>
      <c r="F217" s="18" t="s">
        <v>214</v>
      </c>
      <c r="G217" s="18" t="s">
        <v>214</v>
      </c>
      <c r="H217" s="18" t="s">
        <v>214</v>
      </c>
      <c r="I217" s="18" t="s">
        <v>214</v>
      </c>
    </row>
    <row r="218" spans="1:9" x14ac:dyDescent="0.35">
      <c r="A218" s="14" t="s">
        <v>197</v>
      </c>
      <c r="B218" s="18" t="s">
        <v>214</v>
      </c>
      <c r="C218" s="18" t="s">
        <v>214</v>
      </c>
      <c r="D218" s="18" t="s">
        <v>214</v>
      </c>
      <c r="E218" s="18" t="s">
        <v>214</v>
      </c>
      <c r="F218" s="18" t="s">
        <v>214</v>
      </c>
      <c r="G218" s="18" t="s">
        <v>214</v>
      </c>
      <c r="H218" s="18" t="s">
        <v>214</v>
      </c>
      <c r="I218" s="18" t="s">
        <v>214</v>
      </c>
    </row>
    <row r="219" spans="1:9" x14ac:dyDescent="0.35">
      <c r="A219" s="14" t="s">
        <v>198</v>
      </c>
      <c r="B219" s="18" t="s">
        <v>214</v>
      </c>
      <c r="C219" s="18" t="s">
        <v>214</v>
      </c>
      <c r="D219" s="18" t="s">
        <v>214</v>
      </c>
      <c r="E219" s="18" t="s">
        <v>214</v>
      </c>
      <c r="F219" s="18" t="s">
        <v>214</v>
      </c>
      <c r="G219" s="18" t="s">
        <v>214</v>
      </c>
      <c r="H219" s="18" t="s">
        <v>214</v>
      </c>
      <c r="I219" s="18" t="s">
        <v>214</v>
      </c>
    </row>
    <row r="220" spans="1:9" x14ac:dyDescent="0.35">
      <c r="A220" s="14" t="s">
        <v>199</v>
      </c>
      <c r="B220" s="18" t="s">
        <v>214</v>
      </c>
      <c r="C220" s="18" t="s">
        <v>214</v>
      </c>
      <c r="D220" s="18" t="s">
        <v>214</v>
      </c>
      <c r="E220" s="18" t="s">
        <v>214</v>
      </c>
      <c r="F220" s="18" t="s">
        <v>214</v>
      </c>
      <c r="G220" s="18" t="s">
        <v>214</v>
      </c>
      <c r="H220" s="18" t="s">
        <v>214</v>
      </c>
      <c r="I220" s="18" t="s">
        <v>214</v>
      </c>
    </row>
    <row r="221" spans="1:9" x14ac:dyDescent="0.35">
      <c r="A221" s="14" t="s">
        <v>200</v>
      </c>
      <c r="B221" s="18" t="s">
        <v>214</v>
      </c>
      <c r="C221" s="18" t="s">
        <v>214</v>
      </c>
      <c r="D221" s="18" t="s">
        <v>214</v>
      </c>
      <c r="E221" s="18" t="s">
        <v>214</v>
      </c>
      <c r="F221" s="18" t="s">
        <v>214</v>
      </c>
      <c r="G221" s="18" t="s">
        <v>214</v>
      </c>
      <c r="H221" s="18" t="s">
        <v>214</v>
      </c>
      <c r="I221" s="18" t="s">
        <v>214</v>
      </c>
    </row>
    <row r="222" spans="1:9" x14ac:dyDescent="0.35">
      <c r="A222" s="14" t="s">
        <v>201</v>
      </c>
      <c r="B222" s="18" t="s">
        <v>214</v>
      </c>
      <c r="C222" s="18" t="s">
        <v>214</v>
      </c>
      <c r="D222" s="18" t="s">
        <v>214</v>
      </c>
      <c r="E222" s="18" t="s">
        <v>214</v>
      </c>
      <c r="F222" s="18" t="s">
        <v>214</v>
      </c>
      <c r="G222" s="18" t="s">
        <v>214</v>
      </c>
      <c r="H222" s="18" t="s">
        <v>214</v>
      </c>
      <c r="I222" s="18" t="s">
        <v>214</v>
      </c>
    </row>
    <row r="223" spans="1:9" x14ac:dyDescent="0.35">
      <c r="A223" s="14" t="s">
        <v>202</v>
      </c>
      <c r="B223" s="18" t="s">
        <v>214</v>
      </c>
      <c r="C223" s="18" t="s">
        <v>214</v>
      </c>
      <c r="D223" s="18" t="s">
        <v>214</v>
      </c>
      <c r="E223" s="18" t="s">
        <v>214</v>
      </c>
      <c r="F223" s="18" t="s">
        <v>214</v>
      </c>
      <c r="G223" s="18" t="s">
        <v>214</v>
      </c>
      <c r="H223" s="18" t="s">
        <v>214</v>
      </c>
      <c r="I223" s="18" t="s">
        <v>214</v>
      </c>
    </row>
    <row r="224" spans="1:9" x14ac:dyDescent="0.35">
      <c r="A224" s="14" t="s">
        <v>211</v>
      </c>
      <c r="B224" s="18" t="s">
        <v>214</v>
      </c>
      <c r="C224" s="18" t="s">
        <v>214</v>
      </c>
      <c r="D224" s="18" t="s">
        <v>214</v>
      </c>
      <c r="E224" s="18" t="s">
        <v>214</v>
      </c>
      <c r="F224" s="18" t="s">
        <v>214</v>
      </c>
      <c r="G224" s="18" t="s">
        <v>214</v>
      </c>
      <c r="H224" s="18" t="s">
        <v>214</v>
      </c>
      <c r="I224" s="18" t="s">
        <v>214</v>
      </c>
    </row>
    <row r="225" spans="1:9" x14ac:dyDescent="0.35">
      <c r="A225" s="14" t="s">
        <v>212</v>
      </c>
      <c r="B225" s="18" t="s">
        <v>214</v>
      </c>
      <c r="C225" s="18" t="s">
        <v>214</v>
      </c>
      <c r="D225" s="18" t="s">
        <v>214</v>
      </c>
      <c r="E225" s="18" t="s">
        <v>214</v>
      </c>
      <c r="F225" s="18" t="s">
        <v>214</v>
      </c>
      <c r="G225" s="18" t="s">
        <v>214</v>
      </c>
      <c r="H225" s="18" t="s">
        <v>214</v>
      </c>
      <c r="I225" s="18" t="s">
        <v>214</v>
      </c>
    </row>
    <row r="226" spans="1:9" x14ac:dyDescent="0.35">
      <c r="A226" s="14" t="s">
        <v>203</v>
      </c>
      <c r="B226" s="18" t="s">
        <v>214</v>
      </c>
      <c r="C226" s="18" t="s">
        <v>214</v>
      </c>
      <c r="D226" s="18" t="s">
        <v>214</v>
      </c>
      <c r="E226" s="18" t="s">
        <v>214</v>
      </c>
      <c r="F226" s="18" t="s">
        <v>214</v>
      </c>
      <c r="G226" s="18" t="s">
        <v>214</v>
      </c>
      <c r="H226" s="18" t="s">
        <v>214</v>
      </c>
      <c r="I226" s="18" t="s">
        <v>214</v>
      </c>
    </row>
    <row r="227" spans="1:9" x14ac:dyDescent="0.35">
      <c r="A227" s="14" t="s">
        <v>204</v>
      </c>
      <c r="B227" s="18" t="s">
        <v>214</v>
      </c>
      <c r="C227" s="18" t="s">
        <v>214</v>
      </c>
      <c r="D227" s="18" t="s">
        <v>214</v>
      </c>
      <c r="E227" s="18" t="s">
        <v>214</v>
      </c>
      <c r="F227" s="18" t="s">
        <v>214</v>
      </c>
      <c r="G227" s="18" t="s">
        <v>214</v>
      </c>
      <c r="H227" s="18" t="s">
        <v>214</v>
      </c>
      <c r="I227" s="18" t="s">
        <v>214</v>
      </c>
    </row>
    <row r="229" spans="1:9" x14ac:dyDescent="0.35">
      <c r="C229" s="187"/>
      <c r="D229" s="187"/>
      <c r="E229" s="187"/>
      <c r="F229" s="187"/>
      <c r="G229" s="170"/>
      <c r="H229" s="170"/>
      <c r="I229" s="170"/>
    </row>
    <row r="230" spans="1:9" ht="29" x14ac:dyDescent="0.35">
      <c r="A230" s="12" t="s">
        <v>502</v>
      </c>
      <c r="B230" s="13" t="s">
        <v>208</v>
      </c>
      <c r="C230" s="13" t="s">
        <v>458</v>
      </c>
      <c r="D230" s="13" t="s">
        <v>466</v>
      </c>
      <c r="E230" s="13" t="s">
        <v>467</v>
      </c>
      <c r="F230" s="13" t="s">
        <v>468</v>
      </c>
      <c r="G230" s="13" t="s">
        <v>636</v>
      </c>
      <c r="H230" s="13" t="s">
        <v>641</v>
      </c>
      <c r="I230" s="13" t="s">
        <v>647</v>
      </c>
    </row>
    <row r="231" spans="1:9" x14ac:dyDescent="0.35">
      <c r="A231" s="14" t="s">
        <v>209</v>
      </c>
      <c r="B231" s="15">
        <v>0</v>
      </c>
      <c r="C231" s="15">
        <v>0</v>
      </c>
      <c r="D231" s="15">
        <v>0</v>
      </c>
      <c r="E231" s="15">
        <v>0</v>
      </c>
      <c r="F231" s="15">
        <v>0</v>
      </c>
      <c r="G231" s="15">
        <v>0</v>
      </c>
      <c r="H231" s="15">
        <v>0</v>
      </c>
      <c r="I231" s="15">
        <v>0</v>
      </c>
    </row>
    <row r="232" spans="1:9" x14ac:dyDescent="0.35">
      <c r="A232" s="16" t="s">
        <v>336</v>
      </c>
      <c r="B232" s="17" t="s">
        <v>214</v>
      </c>
      <c r="C232" s="168" t="s">
        <v>214</v>
      </c>
      <c r="D232" s="168" t="s">
        <v>214</v>
      </c>
      <c r="E232" s="168" t="s">
        <v>214</v>
      </c>
      <c r="F232" s="168" t="s">
        <v>214</v>
      </c>
      <c r="G232" s="168" t="s">
        <v>214</v>
      </c>
      <c r="H232" s="168" t="s">
        <v>214</v>
      </c>
      <c r="I232" s="168" t="s">
        <v>214</v>
      </c>
    </row>
    <row r="233" spans="1:9" x14ac:dyDescent="0.35">
      <c r="A233" s="16" t="s">
        <v>194</v>
      </c>
      <c r="B233" s="17" t="s">
        <v>214</v>
      </c>
      <c r="C233" s="168" t="s">
        <v>214</v>
      </c>
      <c r="D233" s="168" t="s">
        <v>214</v>
      </c>
      <c r="E233" s="168" t="s">
        <v>214</v>
      </c>
      <c r="F233" s="168" t="s">
        <v>214</v>
      </c>
      <c r="G233" s="168" t="s">
        <v>214</v>
      </c>
      <c r="H233" s="168" t="s">
        <v>214</v>
      </c>
      <c r="I233" s="168" t="s">
        <v>214</v>
      </c>
    </row>
    <row r="234" spans="1:9" x14ac:dyDescent="0.35">
      <c r="A234" s="16" t="s">
        <v>195</v>
      </c>
      <c r="B234" s="17" t="s">
        <v>214</v>
      </c>
      <c r="C234" s="168" t="s">
        <v>214</v>
      </c>
      <c r="D234" s="168" t="s">
        <v>214</v>
      </c>
      <c r="E234" s="168" t="s">
        <v>214</v>
      </c>
      <c r="F234" s="168" t="s">
        <v>214</v>
      </c>
      <c r="G234" s="168" t="s">
        <v>214</v>
      </c>
      <c r="H234" s="168" t="s">
        <v>214</v>
      </c>
      <c r="I234" s="168" t="s">
        <v>214</v>
      </c>
    </row>
    <row r="235" spans="1:9" x14ac:dyDescent="0.35">
      <c r="A235" s="14" t="s">
        <v>210</v>
      </c>
      <c r="B235" s="18" t="s">
        <v>214</v>
      </c>
      <c r="C235" s="18" t="s">
        <v>214</v>
      </c>
      <c r="D235" s="18" t="s">
        <v>214</v>
      </c>
      <c r="E235" s="18" t="s">
        <v>214</v>
      </c>
      <c r="F235" s="18" t="s">
        <v>214</v>
      </c>
      <c r="G235" s="18" t="s">
        <v>214</v>
      </c>
      <c r="H235" s="18" t="s">
        <v>214</v>
      </c>
      <c r="I235" s="18" t="s">
        <v>214</v>
      </c>
    </row>
    <row r="236" spans="1:9" x14ac:dyDescent="0.35">
      <c r="A236" s="14" t="s">
        <v>197</v>
      </c>
      <c r="B236" s="18" t="s">
        <v>214</v>
      </c>
      <c r="C236" s="18" t="s">
        <v>214</v>
      </c>
      <c r="D236" s="18" t="s">
        <v>214</v>
      </c>
      <c r="E236" s="18" t="s">
        <v>214</v>
      </c>
      <c r="F236" s="18" t="s">
        <v>214</v>
      </c>
      <c r="G236" s="18" t="s">
        <v>214</v>
      </c>
      <c r="H236" s="18" t="s">
        <v>214</v>
      </c>
      <c r="I236" s="18" t="s">
        <v>214</v>
      </c>
    </row>
    <row r="237" spans="1:9" x14ac:dyDescent="0.35">
      <c r="A237" s="14" t="s">
        <v>198</v>
      </c>
      <c r="B237" s="18" t="s">
        <v>214</v>
      </c>
      <c r="C237" s="18" t="s">
        <v>214</v>
      </c>
      <c r="D237" s="18" t="s">
        <v>214</v>
      </c>
      <c r="E237" s="18" t="s">
        <v>214</v>
      </c>
      <c r="F237" s="18" t="s">
        <v>214</v>
      </c>
      <c r="G237" s="18" t="s">
        <v>214</v>
      </c>
      <c r="H237" s="18" t="s">
        <v>214</v>
      </c>
      <c r="I237" s="18" t="s">
        <v>214</v>
      </c>
    </row>
    <row r="238" spans="1:9" x14ac:dyDescent="0.35">
      <c r="A238" s="14" t="s">
        <v>199</v>
      </c>
      <c r="B238" s="18" t="s">
        <v>214</v>
      </c>
      <c r="C238" s="18" t="s">
        <v>214</v>
      </c>
      <c r="D238" s="18" t="s">
        <v>214</v>
      </c>
      <c r="E238" s="18" t="s">
        <v>214</v>
      </c>
      <c r="F238" s="18" t="s">
        <v>214</v>
      </c>
      <c r="G238" s="18" t="s">
        <v>214</v>
      </c>
      <c r="H238" s="18" t="s">
        <v>214</v>
      </c>
      <c r="I238" s="18" t="s">
        <v>214</v>
      </c>
    </row>
    <row r="239" spans="1:9" x14ac:dyDescent="0.35">
      <c r="A239" s="14" t="s">
        <v>200</v>
      </c>
      <c r="B239" s="18" t="s">
        <v>214</v>
      </c>
      <c r="C239" s="18" t="s">
        <v>214</v>
      </c>
      <c r="D239" s="18" t="s">
        <v>214</v>
      </c>
      <c r="E239" s="18" t="s">
        <v>214</v>
      </c>
      <c r="F239" s="18" t="s">
        <v>214</v>
      </c>
      <c r="G239" s="18" t="s">
        <v>214</v>
      </c>
      <c r="H239" s="18" t="s">
        <v>214</v>
      </c>
      <c r="I239" s="18" t="s">
        <v>214</v>
      </c>
    </row>
    <row r="240" spans="1:9" x14ac:dyDescent="0.35">
      <c r="A240" s="14" t="s">
        <v>201</v>
      </c>
      <c r="B240" s="18" t="s">
        <v>214</v>
      </c>
      <c r="C240" s="18" t="s">
        <v>214</v>
      </c>
      <c r="D240" s="18" t="s">
        <v>214</v>
      </c>
      <c r="E240" s="18" t="s">
        <v>214</v>
      </c>
      <c r="F240" s="18" t="s">
        <v>214</v>
      </c>
      <c r="G240" s="18" t="s">
        <v>214</v>
      </c>
      <c r="H240" s="18" t="s">
        <v>214</v>
      </c>
      <c r="I240" s="18" t="s">
        <v>214</v>
      </c>
    </row>
    <row r="241" spans="1:9" x14ac:dyDescent="0.35">
      <c r="A241" s="14" t="s">
        <v>202</v>
      </c>
      <c r="B241" s="18" t="s">
        <v>214</v>
      </c>
      <c r="C241" s="18" t="s">
        <v>214</v>
      </c>
      <c r="D241" s="18" t="s">
        <v>214</v>
      </c>
      <c r="E241" s="18" t="s">
        <v>214</v>
      </c>
      <c r="F241" s="18" t="s">
        <v>214</v>
      </c>
      <c r="G241" s="18" t="s">
        <v>214</v>
      </c>
      <c r="H241" s="18" t="s">
        <v>214</v>
      </c>
      <c r="I241" s="18" t="s">
        <v>214</v>
      </c>
    </row>
    <row r="242" spans="1:9" x14ac:dyDescent="0.35">
      <c r="A242" s="14" t="s">
        <v>211</v>
      </c>
      <c r="B242" s="18" t="s">
        <v>214</v>
      </c>
      <c r="C242" s="18" t="s">
        <v>214</v>
      </c>
      <c r="D242" s="18" t="s">
        <v>214</v>
      </c>
      <c r="E242" s="18" t="s">
        <v>214</v>
      </c>
      <c r="F242" s="18" t="s">
        <v>214</v>
      </c>
      <c r="G242" s="18" t="s">
        <v>214</v>
      </c>
      <c r="H242" s="18" t="s">
        <v>214</v>
      </c>
      <c r="I242" s="18" t="s">
        <v>214</v>
      </c>
    </row>
    <row r="243" spans="1:9" x14ac:dyDescent="0.35">
      <c r="A243" s="14" t="s">
        <v>212</v>
      </c>
      <c r="B243" s="18" t="s">
        <v>214</v>
      </c>
      <c r="C243" s="18" t="s">
        <v>214</v>
      </c>
      <c r="D243" s="18" t="s">
        <v>214</v>
      </c>
      <c r="E243" s="18" t="s">
        <v>214</v>
      </c>
      <c r="F243" s="18" t="s">
        <v>214</v>
      </c>
      <c r="G243" s="18" t="s">
        <v>214</v>
      </c>
      <c r="H243" s="18" t="s">
        <v>214</v>
      </c>
      <c r="I243" s="18" t="s">
        <v>214</v>
      </c>
    </row>
    <row r="244" spans="1:9" x14ac:dyDescent="0.35">
      <c r="A244" s="14" t="s">
        <v>203</v>
      </c>
      <c r="B244" s="18" t="s">
        <v>214</v>
      </c>
      <c r="C244" s="18" t="s">
        <v>214</v>
      </c>
      <c r="D244" s="18" t="s">
        <v>214</v>
      </c>
      <c r="E244" s="18" t="s">
        <v>214</v>
      </c>
      <c r="F244" s="18" t="s">
        <v>214</v>
      </c>
      <c r="G244" s="18" t="s">
        <v>214</v>
      </c>
      <c r="H244" s="18" t="s">
        <v>214</v>
      </c>
      <c r="I244" s="18" t="s">
        <v>214</v>
      </c>
    </row>
    <row r="245" spans="1:9" x14ac:dyDescent="0.35">
      <c r="A245" s="14" t="s">
        <v>204</v>
      </c>
      <c r="B245" s="18" t="s">
        <v>214</v>
      </c>
      <c r="C245" s="18" t="s">
        <v>214</v>
      </c>
      <c r="D245" s="18" t="s">
        <v>214</v>
      </c>
      <c r="E245" s="18" t="s">
        <v>214</v>
      </c>
      <c r="F245" s="18" t="s">
        <v>214</v>
      </c>
      <c r="G245" s="18" t="s">
        <v>214</v>
      </c>
      <c r="H245" s="18" t="s">
        <v>214</v>
      </c>
      <c r="I245" s="18" t="s">
        <v>214</v>
      </c>
    </row>
    <row r="247" spans="1:9" x14ac:dyDescent="0.35">
      <c r="C247" s="187"/>
      <c r="D247" s="187"/>
      <c r="E247" s="187"/>
      <c r="F247" s="187"/>
      <c r="G247" s="170"/>
      <c r="H247" s="170"/>
      <c r="I247" s="170"/>
    </row>
    <row r="248" spans="1:9" ht="29" x14ac:dyDescent="0.35">
      <c r="A248" s="12" t="s">
        <v>534</v>
      </c>
      <c r="B248" s="13" t="s">
        <v>208</v>
      </c>
      <c r="C248" s="13" t="s">
        <v>458</v>
      </c>
      <c r="D248" s="13" t="s">
        <v>466</v>
      </c>
      <c r="E248" s="13" t="s">
        <v>467</v>
      </c>
      <c r="F248" s="13" t="s">
        <v>468</v>
      </c>
      <c r="G248" s="13" t="s">
        <v>636</v>
      </c>
      <c r="H248" s="13" t="s">
        <v>641</v>
      </c>
      <c r="I248" s="13" t="s">
        <v>647</v>
      </c>
    </row>
    <row r="249" spans="1:9" x14ac:dyDescent="0.35">
      <c r="A249" s="14" t="s">
        <v>209</v>
      </c>
      <c r="B249" s="15">
        <v>21</v>
      </c>
      <c r="C249" s="15">
        <v>4</v>
      </c>
      <c r="D249" s="15">
        <v>11</v>
      </c>
      <c r="E249" s="15">
        <v>20</v>
      </c>
      <c r="F249" s="15">
        <v>21</v>
      </c>
      <c r="G249" s="15">
        <v>24</v>
      </c>
      <c r="H249" s="15">
        <v>33</v>
      </c>
      <c r="I249" s="15">
        <v>36</v>
      </c>
    </row>
    <row r="250" spans="1:9" x14ac:dyDescent="0.35">
      <c r="A250" s="16" t="s">
        <v>336</v>
      </c>
      <c r="B250" s="17">
        <v>0.33668259976621528</v>
      </c>
      <c r="C250" s="17">
        <v>0.503086714356766</v>
      </c>
      <c r="D250" s="17">
        <v>0.28332319067656431</v>
      </c>
      <c r="E250" s="17">
        <v>0.31098479182259492</v>
      </c>
      <c r="F250" s="17">
        <v>0.33668259976621528</v>
      </c>
      <c r="G250" s="17">
        <v>0.33007282301129548</v>
      </c>
      <c r="H250" s="17">
        <v>0.33233466786491328</v>
      </c>
      <c r="I250" s="17">
        <v>0.30651533029019867</v>
      </c>
    </row>
    <row r="251" spans="1:9" x14ac:dyDescent="0.35">
      <c r="A251" s="16" t="s">
        <v>194</v>
      </c>
      <c r="B251" s="17">
        <v>0.45609189415828122</v>
      </c>
      <c r="C251" s="17">
        <v>0.496913285643234</v>
      </c>
      <c r="D251" s="17">
        <v>0.46672736219185568</v>
      </c>
      <c r="E251" s="17">
        <v>0.4737615073729966</v>
      </c>
      <c r="F251" s="17">
        <v>0.45609189415828122</v>
      </c>
      <c r="G251" s="17">
        <v>0.39685834791113861</v>
      </c>
      <c r="H251" s="17">
        <v>0.38378961469426842</v>
      </c>
      <c r="I251" s="17">
        <v>0.38377939079022411</v>
      </c>
    </row>
    <row r="252" spans="1:9" x14ac:dyDescent="0.35">
      <c r="A252" s="16" t="s">
        <v>195</v>
      </c>
      <c r="B252" s="17">
        <v>0.20722550607550361</v>
      </c>
      <c r="C252" s="17">
        <v>0</v>
      </c>
      <c r="D252" s="17">
        <v>0.24994944713157999</v>
      </c>
      <c r="E252" s="17">
        <v>0.2152537008044085</v>
      </c>
      <c r="F252" s="17">
        <v>0.20722550607550361</v>
      </c>
      <c r="G252" s="17">
        <v>0.27306882907756591</v>
      </c>
      <c r="H252" s="17">
        <v>0.28387571744081841</v>
      </c>
      <c r="I252" s="17">
        <v>0.30970527891957739</v>
      </c>
    </row>
    <row r="253" spans="1:9" x14ac:dyDescent="0.35">
      <c r="A253" s="14" t="s">
        <v>210</v>
      </c>
      <c r="B253" s="18">
        <v>0.21512877109307579</v>
      </c>
      <c r="C253" s="18">
        <v>0.2932233712361394</v>
      </c>
      <c r="D253" s="18">
        <v>0.1091923421153794</v>
      </c>
      <c r="E253" s="18">
        <v>0.22346314893503871</v>
      </c>
      <c r="F253" s="18">
        <v>0.21512877109307579</v>
      </c>
      <c r="G253" s="18">
        <v>0.18718957687619631</v>
      </c>
      <c r="H253" s="18">
        <v>0.19549576920526221</v>
      </c>
      <c r="I253" s="18">
        <v>0.20149473026773371</v>
      </c>
    </row>
    <row r="254" spans="1:9" x14ac:dyDescent="0.35">
      <c r="A254" s="14" t="s">
        <v>197</v>
      </c>
      <c r="B254" s="18">
        <v>0.12155382867313951</v>
      </c>
      <c r="C254" s="18">
        <v>0.2098633431206266</v>
      </c>
      <c r="D254" s="18">
        <v>0.17413084856118491</v>
      </c>
      <c r="E254" s="21">
        <v>8.752164288755615E-2</v>
      </c>
      <c r="F254" s="18">
        <v>0.12155382867313951</v>
      </c>
      <c r="G254" s="18">
        <v>0.1428832461350992</v>
      </c>
      <c r="H254" s="18">
        <v>0.1368388986596511</v>
      </c>
      <c r="I254" s="18">
        <v>0.10502060002246499</v>
      </c>
    </row>
    <row r="255" spans="1:9" x14ac:dyDescent="0.35">
      <c r="A255" s="14" t="s">
        <v>198</v>
      </c>
      <c r="B255" s="18">
        <v>0.18875829177395551</v>
      </c>
      <c r="C255" s="18">
        <v>0.20368991440709461</v>
      </c>
      <c r="D255" s="18">
        <v>0.27568162156246478</v>
      </c>
      <c r="E255" s="18">
        <v>0.19607104179086041</v>
      </c>
      <c r="F255" s="18">
        <v>0.18875829177395551</v>
      </c>
      <c r="G255" s="18">
        <v>0.1642438832774869</v>
      </c>
      <c r="H255" s="18">
        <v>0.17884297383946951</v>
      </c>
      <c r="I255" s="18">
        <v>0.19360421065161901</v>
      </c>
    </row>
    <row r="256" spans="1:9" x14ac:dyDescent="0.35">
      <c r="A256" s="14" t="s">
        <v>199</v>
      </c>
      <c r="B256" s="18">
        <v>0.26733360238432569</v>
      </c>
      <c r="C256" s="18">
        <v>0.2932233712361394</v>
      </c>
      <c r="D256" s="18">
        <v>0.19104574062939089</v>
      </c>
      <c r="E256" s="18">
        <v>0.27769046558213611</v>
      </c>
      <c r="F256" s="25">
        <v>0.26733360238432569</v>
      </c>
      <c r="G256" s="18">
        <v>0.23261446463365171</v>
      </c>
      <c r="H256" s="18">
        <v>0.20494664085479891</v>
      </c>
      <c r="I256" s="18">
        <v>0.1901751801386051</v>
      </c>
    </row>
    <row r="257" spans="1:9" x14ac:dyDescent="0.35">
      <c r="A257" s="14" t="s">
        <v>200</v>
      </c>
      <c r="B257" s="18">
        <v>4.0844244560329687E-2</v>
      </c>
      <c r="C257" s="18">
        <v>0</v>
      </c>
      <c r="D257" s="18">
        <v>8.441090198417539E-2</v>
      </c>
      <c r="E257" s="18">
        <v>4.2426605511427427E-2</v>
      </c>
      <c r="F257" s="18">
        <v>4.0844244560329687E-2</v>
      </c>
      <c r="G257" s="18">
        <v>8.1789352085406983E-2</v>
      </c>
      <c r="H257" s="18">
        <v>6.0389764114813747E-2</v>
      </c>
      <c r="I257" s="18">
        <v>5.6352717923732323E-2</v>
      </c>
    </row>
    <row r="258" spans="1:9" x14ac:dyDescent="0.35">
      <c r="A258" s="14" t="s">
        <v>201</v>
      </c>
      <c r="B258" s="18">
        <v>0.11422410724880031</v>
      </c>
      <c r="C258" s="18">
        <v>0</v>
      </c>
      <c r="D258" s="18">
        <v>0.1655385451474046</v>
      </c>
      <c r="E258" s="18">
        <v>0.11864930274280761</v>
      </c>
      <c r="F258" s="18">
        <v>0.11422410724880031</v>
      </c>
      <c r="G258" s="18">
        <v>0.1458960743511199</v>
      </c>
      <c r="H258" s="18">
        <v>0.1648729446964462</v>
      </c>
      <c r="I258" s="18">
        <v>0.1767594207889383</v>
      </c>
    </row>
    <row r="259" spans="1:9" x14ac:dyDescent="0.35">
      <c r="A259" s="14" t="s">
        <v>202</v>
      </c>
      <c r="B259" s="18">
        <v>0</v>
      </c>
      <c r="C259" s="18">
        <v>0</v>
      </c>
      <c r="D259" s="18">
        <v>0</v>
      </c>
      <c r="E259" s="18">
        <v>0</v>
      </c>
      <c r="F259" s="18">
        <v>0</v>
      </c>
      <c r="G259" s="18">
        <v>0</v>
      </c>
      <c r="H259" s="18">
        <v>2.5103842578725308E-2</v>
      </c>
      <c r="I259" s="18">
        <v>2.3425654668084168E-2</v>
      </c>
    </row>
    <row r="260" spans="1:9" x14ac:dyDescent="0.35">
      <c r="A260" s="14" t="s">
        <v>211</v>
      </c>
      <c r="B260" s="18">
        <v>0</v>
      </c>
      <c r="C260" s="18">
        <v>0</v>
      </c>
      <c r="D260" s="18">
        <v>0</v>
      </c>
      <c r="E260" s="18">
        <v>0</v>
      </c>
      <c r="F260" s="18">
        <v>0</v>
      </c>
      <c r="G260" s="18">
        <v>0</v>
      </c>
      <c r="H260" s="18">
        <v>0</v>
      </c>
      <c r="I260" s="18">
        <v>0</v>
      </c>
    </row>
    <row r="261" spans="1:9" x14ac:dyDescent="0.35">
      <c r="A261" s="14" t="s">
        <v>212</v>
      </c>
      <c r="B261" s="18">
        <v>5.2157154266373518E-2</v>
      </c>
      <c r="C261" s="18">
        <v>0</v>
      </c>
      <c r="D261" s="18">
        <v>0</v>
      </c>
      <c r="E261" s="18">
        <v>5.4177792550173479E-2</v>
      </c>
      <c r="F261" s="18">
        <v>5.2157154266373518E-2</v>
      </c>
      <c r="G261" s="18">
        <v>4.5383402641038927E-2</v>
      </c>
      <c r="H261" s="18">
        <v>3.3509166050833122E-2</v>
      </c>
      <c r="I261" s="18">
        <v>3.1269083593901528E-2</v>
      </c>
    </row>
    <row r="262" spans="1:9" x14ac:dyDescent="0.35">
      <c r="A262" s="14" t="s">
        <v>203</v>
      </c>
      <c r="B262" s="18">
        <v>0</v>
      </c>
      <c r="C262" s="18">
        <v>0</v>
      </c>
      <c r="D262" s="18">
        <v>0</v>
      </c>
      <c r="E262" s="18">
        <v>0</v>
      </c>
      <c r="F262" s="18">
        <v>0</v>
      </c>
      <c r="G262" s="18">
        <v>0</v>
      </c>
      <c r="H262" s="18">
        <v>0</v>
      </c>
      <c r="I262" s="18">
        <v>0</v>
      </c>
    </row>
    <row r="263" spans="1:9" x14ac:dyDescent="0.35">
      <c r="A263" s="14" t="s">
        <v>204</v>
      </c>
      <c r="B263" s="18">
        <v>0</v>
      </c>
      <c r="C263" s="18">
        <v>0</v>
      </c>
      <c r="D263" s="18">
        <v>0</v>
      </c>
      <c r="E263" s="18">
        <v>0</v>
      </c>
      <c r="F263" s="18">
        <v>0</v>
      </c>
      <c r="G263" s="18">
        <v>0</v>
      </c>
      <c r="H263" s="18">
        <v>0</v>
      </c>
      <c r="I263" s="18">
        <v>2.189840194492108E-2</v>
      </c>
    </row>
    <row r="264" spans="1:9" x14ac:dyDescent="0.35">
      <c r="A264" s="14" t="s">
        <v>213</v>
      </c>
      <c r="B264" s="1">
        <f t="shared" ref="B264:F264" si="9">(B250-B252)*100</f>
        <v>12.945709369071167</v>
      </c>
      <c r="C264" s="1">
        <f t="shared" si="9"/>
        <v>50.308671435676601</v>
      </c>
      <c r="D264" s="1">
        <f t="shared" si="9"/>
        <v>3.337374354498432</v>
      </c>
      <c r="E264" s="1">
        <f t="shared" si="9"/>
        <v>9.5731091018186412</v>
      </c>
      <c r="F264" s="1">
        <f t="shared" si="9"/>
        <v>12.945709369071167</v>
      </c>
      <c r="G264" s="1">
        <v>5.7003993933729671</v>
      </c>
      <c r="H264" s="1">
        <v>4.8458950424094889</v>
      </c>
      <c r="I264" s="1">
        <v>-0.31899486293787183</v>
      </c>
    </row>
    <row r="266" spans="1:9" x14ac:dyDescent="0.35">
      <c r="C266" s="187"/>
      <c r="D266" s="187"/>
      <c r="E266" s="187"/>
      <c r="F266" s="187"/>
      <c r="G266" s="170"/>
      <c r="H266" s="170"/>
      <c r="I266" s="170"/>
    </row>
    <row r="267" spans="1:9" ht="29" x14ac:dyDescent="0.35">
      <c r="A267" s="12" t="s">
        <v>535</v>
      </c>
      <c r="B267" s="13" t="s">
        <v>208</v>
      </c>
      <c r="C267" s="13" t="s">
        <v>458</v>
      </c>
      <c r="D267" s="13" t="s">
        <v>466</v>
      </c>
      <c r="E267" s="13" t="s">
        <v>467</v>
      </c>
      <c r="F267" s="13" t="s">
        <v>468</v>
      </c>
      <c r="G267" s="13" t="s">
        <v>636</v>
      </c>
      <c r="H267" s="13" t="s">
        <v>641</v>
      </c>
      <c r="I267" s="13" t="s">
        <v>647</v>
      </c>
    </row>
    <row r="268" spans="1:9" x14ac:dyDescent="0.35">
      <c r="A268" s="14" t="s">
        <v>209</v>
      </c>
      <c r="B268" s="15">
        <v>38</v>
      </c>
      <c r="C268" s="15">
        <v>9</v>
      </c>
      <c r="D268" s="15">
        <v>25</v>
      </c>
      <c r="E268" s="15">
        <v>32</v>
      </c>
      <c r="F268" s="15">
        <v>38</v>
      </c>
      <c r="G268" s="15">
        <v>48</v>
      </c>
      <c r="H268" s="15">
        <v>58</v>
      </c>
      <c r="I268" s="15">
        <v>58</v>
      </c>
    </row>
    <row r="269" spans="1:9" x14ac:dyDescent="0.35">
      <c r="A269" s="16" t="s">
        <v>336</v>
      </c>
      <c r="B269" s="17">
        <v>0.47095085793426461</v>
      </c>
      <c r="C269" s="17">
        <v>0.27145773408586882</v>
      </c>
      <c r="D269" s="17">
        <v>0.42080691623154642</v>
      </c>
      <c r="E269" s="17">
        <v>0.47314039859812712</v>
      </c>
      <c r="F269" s="17">
        <v>0.47095085793426461</v>
      </c>
      <c r="G269" s="17">
        <v>0.48194048851260901</v>
      </c>
      <c r="H269" s="17">
        <v>0.50322018240337674</v>
      </c>
      <c r="I269" s="17">
        <v>0.48964402079060132</v>
      </c>
    </row>
    <row r="270" spans="1:9" x14ac:dyDescent="0.35">
      <c r="A270" s="16" t="s">
        <v>194</v>
      </c>
      <c r="B270" s="17">
        <v>0.30306108524723618</v>
      </c>
      <c r="C270" s="153">
        <v>0.54551908396361359</v>
      </c>
      <c r="D270" s="17">
        <v>0.31474854478844821</v>
      </c>
      <c r="E270" s="17">
        <v>0.2914476982072271</v>
      </c>
      <c r="F270" s="17">
        <v>0.30306108524723618</v>
      </c>
      <c r="G270" s="17">
        <v>0.33701078139153789</v>
      </c>
      <c r="H270" s="17">
        <v>0.31637529879502618</v>
      </c>
      <c r="I270" s="17">
        <v>0.33761969355132693</v>
      </c>
    </row>
    <row r="271" spans="1:9" x14ac:dyDescent="0.35">
      <c r="A271" s="16" t="s">
        <v>195</v>
      </c>
      <c r="B271" s="17">
        <v>0.22598805681849929</v>
      </c>
      <c r="C271" s="17">
        <v>0.1830231819505177</v>
      </c>
      <c r="D271" s="17">
        <v>0.26444453898000542</v>
      </c>
      <c r="E271" s="17">
        <v>0.23541190319464569</v>
      </c>
      <c r="F271" s="17">
        <v>0.22598805681849929</v>
      </c>
      <c r="G271" s="17">
        <v>0.18104873009585321</v>
      </c>
      <c r="H271" s="17">
        <v>0.18040451880159711</v>
      </c>
      <c r="I271" s="17">
        <v>0.17273628565807159</v>
      </c>
    </row>
    <row r="272" spans="1:9" x14ac:dyDescent="0.35">
      <c r="A272" s="14" t="s">
        <v>210</v>
      </c>
      <c r="B272" s="18">
        <v>0.23564812880581129</v>
      </c>
      <c r="C272" s="18">
        <v>0.13572886704293441</v>
      </c>
      <c r="D272" s="18">
        <v>0.28025613754430728</v>
      </c>
      <c r="E272" s="18">
        <v>0.27336093442405929</v>
      </c>
      <c r="F272" s="18">
        <v>0.23564812880581129</v>
      </c>
      <c r="G272" s="18">
        <v>0.18878782830555199</v>
      </c>
      <c r="H272" s="18">
        <v>0.22955264389145461</v>
      </c>
      <c r="I272" s="18">
        <v>0.23747810205386369</v>
      </c>
    </row>
    <row r="273" spans="1:9" x14ac:dyDescent="0.35">
      <c r="A273" s="14" t="s">
        <v>197</v>
      </c>
      <c r="B273" s="18">
        <v>0.23530272912845329</v>
      </c>
      <c r="C273" s="18">
        <v>0.13572886704293441</v>
      </c>
      <c r="D273" s="21">
        <v>0.14055077868723909</v>
      </c>
      <c r="E273" s="18">
        <v>0.19977946417406781</v>
      </c>
      <c r="F273" s="18">
        <v>0.23530272912845329</v>
      </c>
      <c r="G273" s="18">
        <v>0.29315266020705699</v>
      </c>
      <c r="H273" s="18">
        <v>0.27366753851192221</v>
      </c>
      <c r="I273" s="18">
        <v>0.25216591873673772</v>
      </c>
    </row>
    <row r="274" spans="1:9" x14ac:dyDescent="0.35">
      <c r="A274" s="14" t="s">
        <v>198</v>
      </c>
      <c r="B274" s="18">
        <v>0.1774820920151787</v>
      </c>
      <c r="C274" s="19">
        <v>0.41295335470083661</v>
      </c>
      <c r="D274" s="18">
        <v>0.1841039366119569</v>
      </c>
      <c r="E274" s="18">
        <v>0.14577121391722631</v>
      </c>
      <c r="F274" s="18">
        <v>0.1774820920151787</v>
      </c>
      <c r="G274" s="18">
        <v>0.217158307574012</v>
      </c>
      <c r="H274" s="18">
        <v>0.21663019199555411</v>
      </c>
      <c r="I274" s="18">
        <v>0.21892639438655959</v>
      </c>
    </row>
    <row r="275" spans="1:9" x14ac:dyDescent="0.35">
      <c r="A275" s="14" t="s">
        <v>199</v>
      </c>
      <c r="B275" s="18">
        <v>0.12557899323205751</v>
      </c>
      <c r="C275" s="18">
        <v>0.13256572926277699</v>
      </c>
      <c r="D275" s="18">
        <v>0.13064460817649129</v>
      </c>
      <c r="E275" s="18">
        <v>0.1456764842900008</v>
      </c>
      <c r="F275" s="18">
        <v>0.12557899323205751</v>
      </c>
      <c r="G275" s="18">
        <v>0.1198524738175258</v>
      </c>
      <c r="H275" s="25">
        <v>9.9745106799472016E-2</v>
      </c>
      <c r="I275" s="18">
        <v>0.1186932991647673</v>
      </c>
    </row>
    <row r="276" spans="1:9" x14ac:dyDescent="0.35">
      <c r="A276" s="14" t="s">
        <v>200</v>
      </c>
      <c r="B276" s="18">
        <v>8.4923944083169528E-2</v>
      </c>
      <c r="C276" s="18">
        <v>0</v>
      </c>
      <c r="D276" s="18">
        <v>0.12442106516764299</v>
      </c>
      <c r="E276" s="18">
        <v>9.851505644113262E-2</v>
      </c>
      <c r="F276" s="18">
        <v>8.4923944083169528E-2</v>
      </c>
      <c r="G276" s="18">
        <v>6.8036215928604205E-2</v>
      </c>
      <c r="H276" s="18">
        <v>7.1418761290931332E-2</v>
      </c>
      <c r="I276" s="18">
        <v>7.1155224398669129E-2</v>
      </c>
    </row>
    <row r="277" spans="1:9" x14ac:dyDescent="0.35">
      <c r="A277" s="14" t="s">
        <v>201</v>
      </c>
      <c r="B277" s="18">
        <v>6.6296544101847377E-2</v>
      </c>
      <c r="C277" s="18">
        <v>9.1511590975258864E-2</v>
      </c>
      <c r="D277" s="18">
        <v>6.3354842040474729E-2</v>
      </c>
      <c r="E277" s="18">
        <v>5.0163578257643421E-2</v>
      </c>
      <c r="F277" s="18">
        <v>6.6296544101847377E-2</v>
      </c>
      <c r="G277" s="18">
        <v>5.3113006449819797E-2</v>
      </c>
      <c r="H277" s="18">
        <v>4.4202362554853172E-2</v>
      </c>
      <c r="I277" s="18">
        <v>5.0852758174507198E-2</v>
      </c>
    </row>
    <row r="278" spans="1:9" x14ac:dyDescent="0.35">
      <c r="A278" s="14" t="s">
        <v>202</v>
      </c>
      <c r="B278" s="18">
        <v>2.079861898142029E-2</v>
      </c>
      <c r="C278" s="20">
        <v>9.1511590975258864E-2</v>
      </c>
      <c r="D278" s="18">
        <v>3.0471810460780568E-2</v>
      </c>
      <c r="E278" s="18">
        <v>2.4127201638746119E-2</v>
      </c>
      <c r="F278" s="18">
        <v>2.079861898142029E-2</v>
      </c>
      <c r="G278" s="18">
        <v>1.6662666192833089E-2</v>
      </c>
      <c r="H278" s="18">
        <v>1.386720996262869E-2</v>
      </c>
      <c r="I278" s="21">
        <v>0</v>
      </c>
    </row>
    <row r="279" spans="1:9" x14ac:dyDescent="0.35">
      <c r="A279" s="14" t="s">
        <v>211</v>
      </c>
      <c r="B279" s="18">
        <v>5.3968949652062073E-2</v>
      </c>
      <c r="C279" s="18">
        <v>0</v>
      </c>
      <c r="D279" s="18">
        <v>4.6196821311107153E-2</v>
      </c>
      <c r="E279" s="18">
        <v>6.2606066857123624E-2</v>
      </c>
      <c r="F279" s="18">
        <v>5.3968949652062073E-2</v>
      </c>
      <c r="G279" s="18">
        <v>4.3236841524596122E-2</v>
      </c>
      <c r="H279" s="18">
        <v>3.5983098539198059E-2</v>
      </c>
      <c r="I279" s="18">
        <v>3.5850320067665128E-2</v>
      </c>
    </row>
    <row r="280" spans="1:9" x14ac:dyDescent="0.35">
      <c r="A280" s="14" t="s">
        <v>212</v>
      </c>
      <c r="B280" s="18">
        <v>0</v>
      </c>
      <c r="C280" s="18">
        <v>0</v>
      </c>
      <c r="D280" s="18">
        <v>0</v>
      </c>
      <c r="E280" s="18">
        <v>0</v>
      </c>
      <c r="F280" s="18">
        <v>0</v>
      </c>
      <c r="G280" s="18">
        <v>0</v>
      </c>
      <c r="H280" s="18">
        <v>1.493308645398587E-2</v>
      </c>
      <c r="I280" s="18">
        <v>1.487798301723015E-2</v>
      </c>
    </row>
    <row r="281" spans="1:9" x14ac:dyDescent="0.35">
      <c r="A281" s="14" t="s">
        <v>203</v>
      </c>
      <c r="B281" s="18">
        <v>0</v>
      </c>
      <c r="C281" s="18">
        <v>0</v>
      </c>
      <c r="D281" s="18">
        <v>0</v>
      </c>
      <c r="E281" s="18">
        <v>0</v>
      </c>
      <c r="F281" s="18">
        <v>0</v>
      </c>
      <c r="G281" s="18">
        <v>0</v>
      </c>
      <c r="H281" s="18">
        <v>0</v>
      </c>
      <c r="I281" s="18">
        <v>0</v>
      </c>
    </row>
    <row r="282" spans="1:9" x14ac:dyDescent="0.35">
      <c r="A282" s="14" t="s">
        <v>204</v>
      </c>
      <c r="B282" s="18">
        <v>0</v>
      </c>
      <c r="C282" s="18">
        <v>0</v>
      </c>
      <c r="D282" s="18">
        <v>0</v>
      </c>
      <c r="E282" s="18">
        <v>0</v>
      </c>
      <c r="F282" s="18">
        <v>0</v>
      </c>
      <c r="G282" s="18">
        <v>0</v>
      </c>
      <c r="H282" s="18">
        <v>0</v>
      </c>
      <c r="I282" s="18">
        <v>0</v>
      </c>
    </row>
    <row r="283" spans="1:9" x14ac:dyDescent="0.35">
      <c r="A283" s="14" t="s">
        <v>213</v>
      </c>
      <c r="B283" s="1">
        <f t="shared" ref="B283:F283" si="10">(B269-B271)*100</f>
        <v>24.496280111576532</v>
      </c>
      <c r="C283" s="1">
        <f t="shared" si="10"/>
        <v>8.8434552135351119</v>
      </c>
      <c r="D283" s="1">
        <f t="shared" si="10"/>
        <v>15.6362377251541</v>
      </c>
      <c r="E283" s="1">
        <f t="shared" si="10"/>
        <v>23.772849540348144</v>
      </c>
      <c r="F283" s="1">
        <f t="shared" si="10"/>
        <v>24.496280111576532</v>
      </c>
      <c r="G283" s="1">
        <v>30.08917584167558</v>
      </c>
      <c r="H283" s="1">
        <v>32.281566360177962</v>
      </c>
      <c r="I283" s="1">
        <v>31.690773513252982</v>
      </c>
    </row>
    <row r="285" spans="1:9" x14ac:dyDescent="0.35">
      <c r="C285" s="187"/>
      <c r="D285" s="187"/>
      <c r="E285" s="187"/>
      <c r="F285" s="187"/>
      <c r="G285" s="170"/>
      <c r="H285" s="170"/>
      <c r="I285" s="170"/>
    </row>
    <row r="286" spans="1:9" ht="29" x14ac:dyDescent="0.35">
      <c r="A286" s="12" t="s">
        <v>536</v>
      </c>
      <c r="B286" s="13" t="s">
        <v>208</v>
      </c>
      <c r="C286" s="13" t="s">
        <v>458</v>
      </c>
      <c r="D286" s="13" t="s">
        <v>466</v>
      </c>
      <c r="E286" s="13" t="s">
        <v>467</v>
      </c>
      <c r="F286" s="13" t="s">
        <v>468</v>
      </c>
      <c r="G286" s="13" t="s">
        <v>636</v>
      </c>
      <c r="H286" s="13" t="s">
        <v>641</v>
      </c>
      <c r="I286" s="13" t="s">
        <v>647</v>
      </c>
    </row>
    <row r="287" spans="1:9" x14ac:dyDescent="0.35">
      <c r="A287" s="14" t="s">
        <v>209</v>
      </c>
      <c r="B287" s="15">
        <v>313</v>
      </c>
      <c r="C287" s="15">
        <v>0</v>
      </c>
      <c r="D287" s="15">
        <v>0</v>
      </c>
      <c r="E287" s="15">
        <v>136</v>
      </c>
      <c r="F287" s="15">
        <v>313</v>
      </c>
      <c r="G287" s="15">
        <v>450</v>
      </c>
      <c r="H287" s="15">
        <v>473</v>
      </c>
      <c r="I287" s="15">
        <v>482</v>
      </c>
    </row>
    <row r="288" spans="1:9" x14ac:dyDescent="0.35">
      <c r="A288" s="16" t="s">
        <v>336</v>
      </c>
      <c r="B288" s="17">
        <v>0.32120824984217811</v>
      </c>
      <c r="C288" s="168" t="s">
        <v>214</v>
      </c>
      <c r="D288" s="168" t="s">
        <v>214</v>
      </c>
      <c r="E288" s="17">
        <v>0.3189301188603676</v>
      </c>
      <c r="F288" s="17">
        <v>0.32120824984217811</v>
      </c>
      <c r="G288" s="17">
        <v>0.34453404050775532</v>
      </c>
      <c r="H288" s="17">
        <v>0.35298601350230752</v>
      </c>
      <c r="I288" s="17">
        <v>0.35644409621432133</v>
      </c>
    </row>
    <row r="289" spans="1:9" x14ac:dyDescent="0.35">
      <c r="A289" s="16" t="s">
        <v>194</v>
      </c>
      <c r="B289" s="17">
        <v>0.3426361632575764</v>
      </c>
      <c r="C289" s="168" t="s">
        <v>214</v>
      </c>
      <c r="D289" s="168" t="s">
        <v>214</v>
      </c>
      <c r="E289" s="17">
        <v>0.37321397541188439</v>
      </c>
      <c r="F289" s="152">
        <v>0.34263616325757629</v>
      </c>
      <c r="G289" s="17">
        <v>0.33652408561942848</v>
      </c>
      <c r="H289" s="17">
        <v>0.33524532780339311</v>
      </c>
      <c r="I289" s="17">
        <v>0.33572354255751008</v>
      </c>
    </row>
    <row r="290" spans="1:9" x14ac:dyDescent="0.35">
      <c r="A290" s="16" t="s">
        <v>195</v>
      </c>
      <c r="B290" s="17">
        <v>0.33615558690024561</v>
      </c>
      <c r="C290" s="168" t="s">
        <v>214</v>
      </c>
      <c r="D290" s="168" t="s">
        <v>214</v>
      </c>
      <c r="E290" s="17">
        <v>0.30785590572774801</v>
      </c>
      <c r="F290" s="17">
        <v>0.33615558690024538</v>
      </c>
      <c r="G290" s="17">
        <v>0.31894187387281631</v>
      </c>
      <c r="H290" s="17">
        <v>0.31176865869429948</v>
      </c>
      <c r="I290" s="17">
        <v>0.30783236122816882</v>
      </c>
    </row>
    <row r="291" spans="1:9" x14ac:dyDescent="0.35">
      <c r="A291" s="14" t="s">
        <v>210</v>
      </c>
      <c r="B291" s="18">
        <v>0.19769108434370619</v>
      </c>
      <c r="C291" s="18" t="s">
        <v>214</v>
      </c>
      <c r="D291" s="18" t="s">
        <v>214</v>
      </c>
      <c r="E291" s="18">
        <v>0.2124819296902147</v>
      </c>
      <c r="F291" s="18">
        <v>0.19769108434370619</v>
      </c>
      <c r="G291" s="18">
        <v>0.211958305431384</v>
      </c>
      <c r="H291" s="18">
        <v>0.21636743682281451</v>
      </c>
      <c r="I291" s="18">
        <v>0.21885142918058731</v>
      </c>
    </row>
    <row r="292" spans="1:9" x14ac:dyDescent="0.35">
      <c r="A292" s="14" t="s">
        <v>197</v>
      </c>
      <c r="B292" s="18">
        <v>0.1235171654984718</v>
      </c>
      <c r="C292" s="18" t="s">
        <v>214</v>
      </c>
      <c r="D292" s="18" t="s">
        <v>214</v>
      </c>
      <c r="E292" s="18">
        <v>0.1064481891701529</v>
      </c>
      <c r="F292" s="18">
        <v>0.1235171654984718</v>
      </c>
      <c r="G292" s="18">
        <v>0.1325757350763713</v>
      </c>
      <c r="H292" s="18">
        <v>0.1366185766794929</v>
      </c>
      <c r="I292" s="18">
        <v>0.1375926670337341</v>
      </c>
    </row>
    <row r="293" spans="1:9" x14ac:dyDescent="0.35">
      <c r="A293" s="14" t="s">
        <v>198</v>
      </c>
      <c r="B293" s="18">
        <v>0.17641257093399701</v>
      </c>
      <c r="C293" s="18" t="s">
        <v>214</v>
      </c>
      <c r="D293" s="18" t="s">
        <v>214</v>
      </c>
      <c r="E293" s="18">
        <v>0.1696926533304931</v>
      </c>
      <c r="F293" s="18">
        <v>0.17641257093399701</v>
      </c>
      <c r="G293" s="18">
        <v>0.1715334623906403</v>
      </c>
      <c r="H293" s="18">
        <v>0.1734202491551762</v>
      </c>
      <c r="I293" s="18">
        <v>0.17467385286288309</v>
      </c>
    </row>
    <row r="294" spans="1:9" x14ac:dyDescent="0.35">
      <c r="A294" s="14" t="s">
        <v>199</v>
      </c>
      <c r="B294" s="18">
        <v>0.16622359232357939</v>
      </c>
      <c r="C294" s="18" t="s">
        <v>214</v>
      </c>
      <c r="D294" s="18" t="s">
        <v>214</v>
      </c>
      <c r="E294" s="20">
        <v>0.20352132208139129</v>
      </c>
      <c r="F294" s="18">
        <v>0.16622359232357931</v>
      </c>
      <c r="G294" s="18">
        <v>0.16499062322878821</v>
      </c>
      <c r="H294" s="18">
        <v>0.1618250786482168</v>
      </c>
      <c r="I294" s="18">
        <v>0.16104968969462691</v>
      </c>
    </row>
    <row r="295" spans="1:9" x14ac:dyDescent="0.35">
      <c r="A295" s="14" t="s">
        <v>200</v>
      </c>
      <c r="B295" s="18">
        <v>0.12062734575030309</v>
      </c>
      <c r="C295" s="18" t="s">
        <v>214</v>
      </c>
      <c r="D295" s="18" t="s">
        <v>214</v>
      </c>
      <c r="E295" s="18">
        <v>0.1128696839051485</v>
      </c>
      <c r="F295" s="18">
        <v>0.12062734575030309</v>
      </c>
      <c r="G295" s="18">
        <v>0.11319227133540979</v>
      </c>
      <c r="H295" s="18">
        <v>0.1097941962341235</v>
      </c>
      <c r="I295" s="18">
        <v>0.107782457362634</v>
      </c>
    </row>
    <row r="296" spans="1:9" x14ac:dyDescent="0.35">
      <c r="A296" s="14" t="s">
        <v>201</v>
      </c>
      <c r="B296" s="18">
        <v>0.12873996449795211</v>
      </c>
      <c r="C296" s="18" t="s">
        <v>214</v>
      </c>
      <c r="D296" s="18" t="s">
        <v>214</v>
      </c>
      <c r="E296" s="18">
        <v>9.8626410093839295E-2</v>
      </c>
      <c r="F296" s="18">
        <v>0.12873996449795211</v>
      </c>
      <c r="G296" s="18">
        <v>0.1170384422219258</v>
      </c>
      <c r="H296" s="18">
        <v>0.1155958042168561</v>
      </c>
      <c r="I296" s="18">
        <v>0.1134777635489482</v>
      </c>
    </row>
    <row r="297" spans="1:9" x14ac:dyDescent="0.35">
      <c r="A297" s="14" t="s">
        <v>202</v>
      </c>
      <c r="B297" s="18">
        <v>3.7510508793777528E-2</v>
      </c>
      <c r="C297" s="18" t="s">
        <v>214</v>
      </c>
      <c r="D297" s="18" t="s">
        <v>214</v>
      </c>
      <c r="E297" s="18">
        <v>2.67052621935518E-2</v>
      </c>
      <c r="F297" s="18">
        <v>3.7510508793777542E-2</v>
      </c>
      <c r="G297" s="18">
        <v>3.5039911483672477E-2</v>
      </c>
      <c r="H297" s="18">
        <v>3.3431693962984177E-2</v>
      </c>
      <c r="I297" s="18">
        <v>3.2819131181052973E-2</v>
      </c>
    </row>
    <row r="298" spans="1:9" x14ac:dyDescent="0.35">
      <c r="A298" s="14" t="s">
        <v>211</v>
      </c>
      <c r="B298" s="18">
        <v>1.5152982698827099E-2</v>
      </c>
      <c r="C298" s="18" t="s">
        <v>214</v>
      </c>
      <c r="D298" s="18" t="s">
        <v>214</v>
      </c>
      <c r="E298" s="18">
        <v>2.0636281856757428E-2</v>
      </c>
      <c r="F298" s="18">
        <v>1.5152982698827099E-2</v>
      </c>
      <c r="G298" s="18">
        <v>2.342502402673198E-2</v>
      </c>
      <c r="H298" s="18">
        <v>2.2349891914029901E-2</v>
      </c>
      <c r="I298" s="18">
        <v>2.1940378953607419E-2</v>
      </c>
    </row>
    <row r="299" spans="1:9" x14ac:dyDescent="0.35">
      <c r="A299" s="14" t="s">
        <v>212</v>
      </c>
      <c r="B299" s="18">
        <v>2.44376776232847E-2</v>
      </c>
      <c r="C299" s="18" t="s">
        <v>214</v>
      </c>
      <c r="D299" s="18" t="s">
        <v>214</v>
      </c>
      <c r="E299" s="18">
        <v>3.4744441446473692E-2</v>
      </c>
      <c r="F299" s="18">
        <v>2.44376776232847E-2</v>
      </c>
      <c r="G299" s="18">
        <v>1.737135019293112E-2</v>
      </c>
      <c r="H299" s="18">
        <v>1.6574061942037518E-2</v>
      </c>
      <c r="I299" s="18">
        <v>1.6270378452282089E-2</v>
      </c>
    </row>
    <row r="300" spans="1:9" x14ac:dyDescent="0.35">
      <c r="A300" s="14" t="s">
        <v>203</v>
      </c>
      <c r="B300" s="18">
        <v>0</v>
      </c>
      <c r="C300" s="18" t="s">
        <v>214</v>
      </c>
      <c r="D300" s="18" t="s">
        <v>214</v>
      </c>
      <c r="E300" s="18">
        <v>0</v>
      </c>
      <c r="F300" s="18">
        <v>0</v>
      </c>
      <c r="G300" s="18">
        <v>2.0503775355985589E-3</v>
      </c>
      <c r="H300" s="18">
        <v>1.9562719018468358E-3</v>
      </c>
      <c r="I300" s="18">
        <v>1.920427491457821E-3</v>
      </c>
    </row>
    <row r="301" spans="1:9" x14ac:dyDescent="0.35">
      <c r="A301" s="14" t="s">
        <v>204</v>
      </c>
      <c r="B301" s="18">
        <v>9.6871075361009591E-3</v>
      </c>
      <c r="C301" s="18" t="s">
        <v>214</v>
      </c>
      <c r="D301" s="18" t="s">
        <v>214</v>
      </c>
      <c r="E301" s="18">
        <v>1.4273826231977319E-2</v>
      </c>
      <c r="F301" s="18">
        <v>9.6871075361009591E-3</v>
      </c>
      <c r="G301" s="18">
        <v>1.082449707654649E-2</v>
      </c>
      <c r="H301" s="18">
        <v>1.206673852242141E-2</v>
      </c>
      <c r="I301" s="18">
        <v>1.36218242381863E-2</v>
      </c>
    </row>
    <row r="302" spans="1:9" x14ac:dyDescent="0.35">
      <c r="A302" s="14" t="s">
        <v>213</v>
      </c>
      <c r="B302" s="1">
        <v>7.2752712821700802</v>
      </c>
      <c r="C302" s="1" t="s">
        <v>214</v>
      </c>
      <c r="D302" s="1" t="s">
        <v>214</v>
      </c>
      <c r="E302" s="1">
        <f>(E288-E290)*100</f>
        <v>1.1074213132619581</v>
      </c>
      <c r="F302" s="1">
        <f>(F288-F290)*100</f>
        <v>-1.4947337058067278</v>
      </c>
      <c r="G302" s="1">
        <v>2.5592166634939062</v>
      </c>
      <c r="H302" s="1">
        <v>4.1217354808007904</v>
      </c>
      <c r="I302" s="1">
        <v>4.8611734986152531</v>
      </c>
    </row>
    <row r="304" spans="1:9" x14ac:dyDescent="0.35">
      <c r="C304" s="187"/>
      <c r="D304" s="187"/>
      <c r="E304" s="187"/>
      <c r="F304" s="187"/>
      <c r="G304" s="170"/>
      <c r="H304" s="170"/>
      <c r="I304" s="170"/>
    </row>
    <row r="305" spans="1:9" ht="29" x14ac:dyDescent="0.35">
      <c r="A305" s="12" t="s">
        <v>537</v>
      </c>
      <c r="B305" s="13" t="s">
        <v>208</v>
      </c>
      <c r="C305" s="13" t="s">
        <v>458</v>
      </c>
      <c r="D305" s="13" t="s">
        <v>466</v>
      </c>
      <c r="E305" s="13" t="s">
        <v>467</v>
      </c>
      <c r="F305" s="13" t="s">
        <v>468</v>
      </c>
      <c r="G305" s="13" t="s">
        <v>636</v>
      </c>
      <c r="H305" s="13" t="s">
        <v>641</v>
      </c>
      <c r="I305" s="13" t="s">
        <v>647</v>
      </c>
    </row>
    <row r="306" spans="1:9" x14ac:dyDescent="0.35">
      <c r="A306" s="14" t="s">
        <v>209</v>
      </c>
      <c r="B306" s="15">
        <v>36</v>
      </c>
      <c r="C306" s="15">
        <v>8</v>
      </c>
      <c r="D306" s="15">
        <v>20</v>
      </c>
      <c r="E306" s="15">
        <v>24</v>
      </c>
      <c r="F306" s="15">
        <v>36</v>
      </c>
      <c r="G306" s="15">
        <v>40</v>
      </c>
      <c r="H306" s="15">
        <v>44</v>
      </c>
      <c r="I306" s="15">
        <v>41</v>
      </c>
    </row>
    <row r="307" spans="1:9" x14ac:dyDescent="0.35">
      <c r="A307" s="16" t="s">
        <v>336</v>
      </c>
      <c r="B307" s="17">
        <v>0.59733377555810963</v>
      </c>
      <c r="C307" s="17">
        <v>0.57496942482539493</v>
      </c>
      <c r="D307" s="17">
        <v>0.53378948495751644</v>
      </c>
      <c r="E307" s="17">
        <v>0.61873083715177135</v>
      </c>
      <c r="F307" s="17">
        <v>0.59733377555810951</v>
      </c>
      <c r="G307" s="17">
        <v>0.58972407318809394</v>
      </c>
      <c r="H307" s="17">
        <v>0.5542495219012834</v>
      </c>
      <c r="I307" s="17">
        <v>0.5326837067233926</v>
      </c>
    </row>
    <row r="308" spans="1:9" x14ac:dyDescent="0.35">
      <c r="A308" s="16" t="s">
        <v>194</v>
      </c>
      <c r="B308" s="17">
        <v>0.32810771792749421</v>
      </c>
      <c r="C308" s="17">
        <v>0.32212048126390891</v>
      </c>
      <c r="D308" s="17">
        <v>0.32781778641916631</v>
      </c>
      <c r="E308" s="17">
        <v>0.26809093523642541</v>
      </c>
      <c r="F308" s="17">
        <v>0.32810771792749399</v>
      </c>
      <c r="G308" s="17">
        <v>0.34250522904865588</v>
      </c>
      <c r="H308" s="17">
        <v>0.35866134548255979</v>
      </c>
      <c r="I308" s="17">
        <v>0.39380233982370177</v>
      </c>
    </row>
    <row r="309" spans="1:9" x14ac:dyDescent="0.35">
      <c r="A309" s="16" t="s">
        <v>195</v>
      </c>
      <c r="B309" s="17">
        <v>7.4558506514396355E-2</v>
      </c>
      <c r="C309" s="17">
        <v>0.10291009391069619</v>
      </c>
      <c r="D309" s="17">
        <v>0.1383927286233172</v>
      </c>
      <c r="E309" s="17">
        <v>0.11317822761180341</v>
      </c>
      <c r="F309" s="17">
        <v>7.4558506514396314E-2</v>
      </c>
      <c r="G309" s="17">
        <v>6.7770697763250065E-2</v>
      </c>
      <c r="H309" s="17">
        <v>8.708913261615682E-2</v>
      </c>
      <c r="I309" s="17">
        <v>7.3513953452905706E-2</v>
      </c>
    </row>
    <row r="310" spans="1:9" x14ac:dyDescent="0.35">
      <c r="A310" s="14" t="s">
        <v>210</v>
      </c>
      <c r="B310" s="18">
        <v>0.38353296942862108</v>
      </c>
      <c r="C310" s="23">
        <v>0.1063254184953256</v>
      </c>
      <c r="D310" s="23">
        <v>0.24907885959775039</v>
      </c>
      <c r="E310" s="18">
        <v>0.3389798259309561</v>
      </c>
      <c r="F310" s="18">
        <v>0.38353296942862108</v>
      </c>
      <c r="G310" s="18">
        <v>0.39538769909584942</v>
      </c>
      <c r="H310" s="18">
        <v>0.3797489062163687</v>
      </c>
      <c r="I310" s="20">
        <v>0.41481265177300819</v>
      </c>
    </row>
    <row r="311" spans="1:9" x14ac:dyDescent="0.35">
      <c r="A311" s="14" t="s">
        <v>197</v>
      </c>
      <c r="B311" s="18">
        <v>0.21380080612948851</v>
      </c>
      <c r="C311" s="19">
        <v>0.46864400633006931</v>
      </c>
      <c r="D311" s="18">
        <v>0.28471062535976599</v>
      </c>
      <c r="E311" s="18">
        <v>0.27975101122081519</v>
      </c>
      <c r="F311" s="18">
        <v>0.2138008061294884</v>
      </c>
      <c r="G311" s="18">
        <v>0.19433637409224461</v>
      </c>
      <c r="H311" s="18">
        <v>0.17450061568491471</v>
      </c>
      <c r="I311" s="21">
        <v>0.1178710549503844</v>
      </c>
    </row>
    <row r="312" spans="1:9" x14ac:dyDescent="0.35">
      <c r="A312" s="14" t="s">
        <v>198</v>
      </c>
      <c r="B312" s="18">
        <v>0.22508464028168931</v>
      </c>
      <c r="C312" s="18">
        <v>0.32212048126390891</v>
      </c>
      <c r="D312" s="18">
        <v>0.23754393308374161</v>
      </c>
      <c r="E312" s="18">
        <v>0.19426455127950251</v>
      </c>
      <c r="F312" s="18">
        <v>0.2250846402816892</v>
      </c>
      <c r="G312" s="18">
        <v>0.2045929276324068</v>
      </c>
      <c r="H312" s="18">
        <v>0.21143519774613659</v>
      </c>
      <c r="I312" s="18">
        <v>0.2134933025390931</v>
      </c>
    </row>
    <row r="313" spans="1:9" x14ac:dyDescent="0.35">
      <c r="A313" s="14" t="s">
        <v>199</v>
      </c>
      <c r="B313" s="18">
        <v>0.1030230776458049</v>
      </c>
      <c r="C313" s="18">
        <v>0</v>
      </c>
      <c r="D313" s="18">
        <v>9.0273853335424703E-2</v>
      </c>
      <c r="E313" s="18">
        <v>7.3826383956922884E-2</v>
      </c>
      <c r="F313" s="18">
        <v>0.1030230776458049</v>
      </c>
      <c r="G313" s="18">
        <v>0.13791230141624899</v>
      </c>
      <c r="H313" s="18">
        <v>0.14722614773642331</v>
      </c>
      <c r="I313" s="18">
        <v>0.18030903728460859</v>
      </c>
    </row>
    <row r="314" spans="1:9" x14ac:dyDescent="0.35">
      <c r="A314" s="14" t="s">
        <v>200</v>
      </c>
      <c r="B314" s="18">
        <v>0</v>
      </c>
      <c r="C314" s="18">
        <v>0</v>
      </c>
      <c r="D314" s="18">
        <v>0</v>
      </c>
      <c r="E314" s="18">
        <v>0</v>
      </c>
      <c r="F314" s="18">
        <v>0</v>
      </c>
      <c r="G314" s="18">
        <v>0</v>
      </c>
      <c r="H314" s="18">
        <v>0</v>
      </c>
      <c r="I314" s="18">
        <v>0</v>
      </c>
    </row>
    <row r="315" spans="1:9" x14ac:dyDescent="0.35">
      <c r="A315" s="14" t="s">
        <v>201</v>
      </c>
      <c r="B315" s="18">
        <v>7.4558506514396355E-2</v>
      </c>
      <c r="C315" s="18">
        <v>0.10291009391069619</v>
      </c>
      <c r="D315" s="18">
        <v>0.1383927286233172</v>
      </c>
      <c r="E315" s="18">
        <v>0.11317822761180341</v>
      </c>
      <c r="F315" s="18">
        <v>7.4558506514396314E-2</v>
      </c>
      <c r="G315" s="18">
        <v>6.7770697763250065E-2</v>
      </c>
      <c r="H315" s="18">
        <v>8.708913261615682E-2</v>
      </c>
      <c r="I315" s="18">
        <v>7.3513953452905706E-2</v>
      </c>
    </row>
    <row r="316" spans="1:9" x14ac:dyDescent="0.35">
      <c r="A316" s="14" t="s">
        <v>202</v>
      </c>
      <c r="B316" s="18">
        <v>0</v>
      </c>
      <c r="C316" s="18">
        <v>0</v>
      </c>
      <c r="D316" s="18">
        <v>0</v>
      </c>
      <c r="E316" s="18">
        <v>0</v>
      </c>
      <c r="F316" s="18">
        <v>0</v>
      </c>
      <c r="G316" s="18">
        <v>0</v>
      </c>
      <c r="H316" s="18">
        <v>0</v>
      </c>
      <c r="I316" s="18">
        <v>0</v>
      </c>
    </row>
    <row r="317" spans="1:9" x14ac:dyDescent="0.35">
      <c r="A317" s="14" t="s">
        <v>211</v>
      </c>
      <c r="B317" s="18">
        <v>0</v>
      </c>
      <c r="C317" s="18">
        <v>0</v>
      </c>
      <c r="D317" s="18">
        <v>0</v>
      </c>
      <c r="E317" s="18">
        <v>0</v>
      </c>
      <c r="F317" s="18">
        <v>0</v>
      </c>
      <c r="G317" s="18">
        <v>0</v>
      </c>
      <c r="H317" s="18">
        <v>0</v>
      </c>
      <c r="I317" s="18">
        <v>0</v>
      </c>
    </row>
    <row r="318" spans="1:9" x14ac:dyDescent="0.35">
      <c r="A318" s="14" t="s">
        <v>212</v>
      </c>
      <c r="B318" s="18">
        <v>0</v>
      </c>
      <c r="C318" s="18">
        <v>0</v>
      </c>
      <c r="D318" s="18">
        <v>0</v>
      </c>
      <c r="E318" s="18">
        <v>0</v>
      </c>
      <c r="F318" s="18">
        <v>0</v>
      </c>
      <c r="G318" s="18">
        <v>0</v>
      </c>
      <c r="H318" s="18">
        <v>0</v>
      </c>
      <c r="I318" s="18">
        <v>0</v>
      </c>
    </row>
    <row r="319" spans="1:9" x14ac:dyDescent="0.35">
      <c r="A319" s="14" t="s">
        <v>203</v>
      </c>
      <c r="B319" s="18">
        <v>0</v>
      </c>
      <c r="C319" s="18">
        <v>0</v>
      </c>
      <c r="D319" s="18">
        <v>0</v>
      </c>
      <c r="E319" s="18">
        <v>0</v>
      </c>
      <c r="F319" s="18">
        <v>0</v>
      </c>
      <c r="G319" s="18">
        <v>0</v>
      </c>
      <c r="H319" s="18">
        <v>0</v>
      </c>
      <c r="I319" s="18">
        <v>0</v>
      </c>
    </row>
    <row r="320" spans="1:9" x14ac:dyDescent="0.35">
      <c r="A320" s="14" t="s">
        <v>204</v>
      </c>
      <c r="B320" s="18">
        <v>0</v>
      </c>
      <c r="C320" s="18">
        <v>0</v>
      </c>
      <c r="D320" s="18">
        <v>0</v>
      </c>
      <c r="E320" s="18">
        <v>0</v>
      </c>
      <c r="F320" s="18">
        <v>0</v>
      </c>
      <c r="G320" s="18">
        <v>0</v>
      </c>
      <c r="H320" s="18">
        <v>0</v>
      </c>
      <c r="I320" s="18">
        <v>0</v>
      </c>
    </row>
    <row r="321" spans="1:9" x14ac:dyDescent="0.35">
      <c r="A321" s="14" t="s">
        <v>213</v>
      </c>
      <c r="B321" s="1">
        <f t="shared" ref="B321:F321" si="11">(B307-B309)*100</f>
        <v>52.277526904371328</v>
      </c>
      <c r="C321" s="1">
        <f t="shared" si="11"/>
        <v>47.205933091469873</v>
      </c>
      <c r="D321" s="1">
        <f t="shared" si="11"/>
        <v>39.539675633419925</v>
      </c>
      <c r="E321" s="1">
        <f t="shared" si="11"/>
        <v>50.555260953996793</v>
      </c>
      <c r="F321" s="1">
        <f t="shared" si="11"/>
        <v>52.277526904371321</v>
      </c>
      <c r="G321" s="1">
        <v>52.195337542484403</v>
      </c>
      <c r="H321" s="1">
        <v>46.716038928512653</v>
      </c>
      <c r="I321" s="1">
        <v>45.916975327048704</v>
      </c>
    </row>
    <row r="323" spans="1:9" x14ac:dyDescent="0.35">
      <c r="C323" s="187"/>
      <c r="D323" s="187"/>
      <c r="E323" s="187"/>
      <c r="F323" s="187"/>
      <c r="G323" s="170"/>
      <c r="H323" s="170"/>
      <c r="I323" s="170"/>
    </row>
    <row r="324" spans="1:9" ht="29" x14ac:dyDescent="0.35">
      <c r="A324" s="12" t="s">
        <v>492</v>
      </c>
      <c r="B324" s="13" t="s">
        <v>208</v>
      </c>
      <c r="C324" s="13" t="s">
        <v>458</v>
      </c>
      <c r="D324" s="13" t="s">
        <v>466</v>
      </c>
      <c r="E324" s="13" t="s">
        <v>467</v>
      </c>
      <c r="F324" s="13" t="s">
        <v>468</v>
      </c>
      <c r="G324" s="13" t="s">
        <v>636</v>
      </c>
      <c r="H324" s="13" t="s">
        <v>641</v>
      </c>
      <c r="I324" s="13" t="s">
        <v>647</v>
      </c>
    </row>
    <row r="325" spans="1:9" x14ac:dyDescent="0.35">
      <c r="A325" s="14" t="s">
        <v>209</v>
      </c>
      <c r="B325" s="15">
        <v>68</v>
      </c>
      <c r="C325" s="15">
        <v>21</v>
      </c>
      <c r="D325" s="15">
        <v>38</v>
      </c>
      <c r="E325" s="15">
        <v>53</v>
      </c>
      <c r="F325" s="15">
        <v>68</v>
      </c>
      <c r="G325" s="15">
        <v>92</v>
      </c>
      <c r="H325" s="15">
        <v>116</v>
      </c>
      <c r="I325" s="15">
        <v>106</v>
      </c>
    </row>
    <row r="326" spans="1:9" x14ac:dyDescent="0.35">
      <c r="A326" s="16" t="s">
        <v>336</v>
      </c>
      <c r="B326" s="17">
        <v>0.64494899304291919</v>
      </c>
      <c r="C326" s="17">
        <v>0.5972965824837001</v>
      </c>
      <c r="D326" s="17">
        <v>0.66935712472410391</v>
      </c>
      <c r="E326" s="17">
        <v>0.67416233649265256</v>
      </c>
      <c r="F326" s="17">
        <v>0.64494899304291931</v>
      </c>
      <c r="G326" s="17">
        <v>0.65520235093529966</v>
      </c>
      <c r="H326" s="17">
        <v>0.61904704075316597</v>
      </c>
      <c r="I326" s="17">
        <v>0.59706333147325574</v>
      </c>
    </row>
    <row r="327" spans="1:9" x14ac:dyDescent="0.35">
      <c r="A327" s="16" t="s">
        <v>194</v>
      </c>
      <c r="B327" s="17">
        <v>0.30616411705162422</v>
      </c>
      <c r="C327" s="17">
        <v>0.40270341751630001</v>
      </c>
      <c r="D327" s="17">
        <v>0.29447997417369948</v>
      </c>
      <c r="E327" s="17">
        <v>0.29975452722381718</v>
      </c>
      <c r="F327" s="17">
        <v>0.30616411705162427</v>
      </c>
      <c r="G327" s="17">
        <v>0.30941120094568109</v>
      </c>
      <c r="H327" s="17">
        <v>0.32463210676355547</v>
      </c>
      <c r="I327" s="17">
        <v>0.31483862186320039</v>
      </c>
    </row>
    <row r="328" spans="1:9" x14ac:dyDescent="0.35">
      <c r="A328" s="16" t="s">
        <v>195</v>
      </c>
      <c r="B328" s="17">
        <v>4.8886889905456532E-2</v>
      </c>
      <c r="C328" s="17">
        <v>0</v>
      </c>
      <c r="D328" s="17">
        <v>3.6162901102196568E-2</v>
      </c>
      <c r="E328" s="17">
        <v>2.608313628353006E-2</v>
      </c>
      <c r="F328" s="17">
        <v>4.8886889905456532E-2</v>
      </c>
      <c r="G328" s="17">
        <v>3.5386448119019198E-2</v>
      </c>
      <c r="H328" s="17">
        <v>5.6320852483278491E-2</v>
      </c>
      <c r="I328" s="17">
        <v>8.8098046663543789E-2</v>
      </c>
    </row>
    <row r="329" spans="1:9" x14ac:dyDescent="0.35">
      <c r="A329" s="14" t="s">
        <v>210</v>
      </c>
      <c r="B329" s="18">
        <v>0.46542183328704539</v>
      </c>
      <c r="C329" s="23">
        <v>0.28039063690997962</v>
      </c>
      <c r="D329" s="18">
        <v>0.43998399978088831</v>
      </c>
      <c r="E329" s="18">
        <v>0.48963388004091712</v>
      </c>
      <c r="F329" s="18">
        <v>0.46542183328704539</v>
      </c>
      <c r="G329" s="18">
        <v>0.44110790048322462</v>
      </c>
      <c r="H329" s="18">
        <v>0.40688261269857329</v>
      </c>
      <c r="I329" s="18">
        <v>0.41637100294691781</v>
      </c>
    </row>
    <row r="330" spans="1:9" x14ac:dyDescent="0.35">
      <c r="A330" s="14" t="s">
        <v>197</v>
      </c>
      <c r="B330" s="18">
        <v>0.1795271597558738</v>
      </c>
      <c r="C330" s="20">
        <v>0.31690594557372048</v>
      </c>
      <c r="D330" s="18">
        <v>0.2293731249432156</v>
      </c>
      <c r="E330" s="18">
        <v>0.18452845645173541</v>
      </c>
      <c r="F330" s="18">
        <v>0.1795271597558738</v>
      </c>
      <c r="G330" s="18">
        <v>0.21409445045207501</v>
      </c>
      <c r="H330" s="18">
        <v>0.2121644280545926</v>
      </c>
      <c r="I330" s="18">
        <v>0.1806923285263379</v>
      </c>
    </row>
    <row r="331" spans="1:9" x14ac:dyDescent="0.35">
      <c r="A331" s="14" t="s">
        <v>198</v>
      </c>
      <c r="B331" s="18">
        <v>0.17573370668232879</v>
      </c>
      <c r="C331" s="18">
        <v>0.28214334739120722</v>
      </c>
      <c r="D331" s="18">
        <v>0.19610247414304649</v>
      </c>
      <c r="E331" s="18">
        <v>0.1889297808948768</v>
      </c>
      <c r="F331" s="18">
        <v>0.17573370668232879</v>
      </c>
      <c r="G331" s="25">
        <v>0.17231947050884239</v>
      </c>
      <c r="H331" s="18">
        <v>0.20065138330599239</v>
      </c>
      <c r="I331" s="18">
        <v>0.1950678591537027</v>
      </c>
    </row>
    <row r="332" spans="1:9" x14ac:dyDescent="0.35">
      <c r="A332" s="14" t="s">
        <v>199</v>
      </c>
      <c r="B332" s="18">
        <v>0.1304304103692954</v>
      </c>
      <c r="C332" s="18">
        <v>0.12056007012509271</v>
      </c>
      <c r="D332" s="18">
        <v>9.8377500030653015E-2</v>
      </c>
      <c r="E332" s="18">
        <v>0.1108247463289404</v>
      </c>
      <c r="F332" s="18">
        <v>0.1304304103692954</v>
      </c>
      <c r="G332" s="18">
        <v>0.13709173043683881</v>
      </c>
      <c r="H332" s="18">
        <v>0.1239807234575631</v>
      </c>
      <c r="I332" s="18">
        <v>0.1197707627094977</v>
      </c>
    </row>
    <row r="333" spans="1:9" x14ac:dyDescent="0.35">
      <c r="A333" s="14" t="s">
        <v>200</v>
      </c>
      <c r="B333" s="18">
        <v>1.999722921968802E-2</v>
      </c>
      <c r="C333" s="18">
        <v>0</v>
      </c>
      <c r="D333" s="18">
        <v>3.6162901102196568E-2</v>
      </c>
      <c r="E333" s="18">
        <v>2.608313628353006E-2</v>
      </c>
      <c r="F333" s="18">
        <v>1.999722921968803E-2</v>
      </c>
      <c r="G333" s="18">
        <v>1.447486055413074E-2</v>
      </c>
      <c r="H333" s="18">
        <v>1.128665915652095E-2</v>
      </c>
      <c r="I333" s="18">
        <v>2.2853528438362289E-2</v>
      </c>
    </row>
    <row r="334" spans="1:9" x14ac:dyDescent="0.35">
      <c r="A334" s="14" t="s">
        <v>201</v>
      </c>
      <c r="B334" s="18">
        <v>2.8889660685768499E-2</v>
      </c>
      <c r="C334" s="18">
        <v>0</v>
      </c>
      <c r="D334" s="18">
        <v>0</v>
      </c>
      <c r="E334" s="21">
        <v>0</v>
      </c>
      <c r="F334" s="18">
        <v>2.8889660685768499E-2</v>
      </c>
      <c r="G334" s="18">
        <v>2.0911587564888451E-2</v>
      </c>
      <c r="H334" s="25">
        <v>3.4627759042325762E-2</v>
      </c>
      <c r="I334" s="18">
        <v>5.4064805557063028E-2</v>
      </c>
    </row>
    <row r="335" spans="1:9" x14ac:dyDescent="0.35">
      <c r="A335" s="14" t="s">
        <v>202</v>
      </c>
      <c r="B335" s="18">
        <v>0</v>
      </c>
      <c r="C335" s="18">
        <v>0</v>
      </c>
      <c r="D335" s="18">
        <v>0</v>
      </c>
      <c r="E335" s="18">
        <v>0</v>
      </c>
      <c r="F335" s="18">
        <v>0</v>
      </c>
      <c r="G335" s="18">
        <v>0</v>
      </c>
      <c r="H335" s="18">
        <v>0</v>
      </c>
      <c r="I335" s="18">
        <v>0</v>
      </c>
    </row>
    <row r="336" spans="1:9" x14ac:dyDescent="0.35">
      <c r="A336" s="14" t="s">
        <v>211</v>
      </c>
      <c r="B336" s="18">
        <v>0</v>
      </c>
      <c r="C336" s="18">
        <v>0</v>
      </c>
      <c r="D336" s="18">
        <v>0</v>
      </c>
      <c r="E336" s="18">
        <v>0</v>
      </c>
      <c r="F336" s="18">
        <v>0</v>
      </c>
      <c r="G336" s="18">
        <v>0</v>
      </c>
      <c r="H336" s="18">
        <v>0</v>
      </c>
      <c r="I336" s="18">
        <v>0</v>
      </c>
    </row>
    <row r="337" spans="1:9" x14ac:dyDescent="0.35">
      <c r="A337" s="14" t="s">
        <v>212</v>
      </c>
      <c r="B337" s="18">
        <v>0</v>
      </c>
      <c r="C337" s="18">
        <v>0</v>
      </c>
      <c r="D337" s="18">
        <v>0</v>
      </c>
      <c r="E337" s="18">
        <v>0</v>
      </c>
      <c r="F337" s="18">
        <v>0</v>
      </c>
      <c r="G337" s="18">
        <v>0</v>
      </c>
      <c r="H337" s="18">
        <v>0</v>
      </c>
      <c r="I337" s="18">
        <v>0</v>
      </c>
    </row>
    <row r="338" spans="1:9" x14ac:dyDescent="0.35">
      <c r="A338" s="14" t="s">
        <v>203</v>
      </c>
      <c r="B338" s="18">
        <v>0</v>
      </c>
      <c r="C338" s="18">
        <v>0</v>
      </c>
      <c r="D338" s="18">
        <v>0</v>
      </c>
      <c r="E338" s="18">
        <v>0</v>
      </c>
      <c r="F338" s="18">
        <v>0</v>
      </c>
      <c r="G338" s="18">
        <v>0</v>
      </c>
      <c r="H338" s="18">
        <v>1.0406434284431779E-2</v>
      </c>
      <c r="I338" s="18">
        <v>1.117971266811847E-2</v>
      </c>
    </row>
    <row r="339" spans="1:9" x14ac:dyDescent="0.35">
      <c r="A339" s="14" t="s">
        <v>204</v>
      </c>
      <c r="B339" s="18">
        <v>0</v>
      </c>
      <c r="C339" s="18">
        <v>0</v>
      </c>
      <c r="D339" s="18">
        <v>0</v>
      </c>
      <c r="E339" s="18">
        <v>0</v>
      </c>
      <c r="F339" s="18">
        <v>0</v>
      </c>
      <c r="G339" s="18">
        <v>0</v>
      </c>
      <c r="H339" s="18">
        <v>0</v>
      </c>
      <c r="I339" s="18">
        <v>0</v>
      </c>
    </row>
    <row r="340" spans="1:9" x14ac:dyDescent="0.35">
      <c r="A340" s="14" t="s">
        <v>213</v>
      </c>
      <c r="B340" s="1">
        <f t="shared" ref="B340:F340" si="12">(B326-B328)*100</f>
        <v>59.606210313746267</v>
      </c>
      <c r="C340" s="1">
        <f t="shared" si="12"/>
        <v>59.729658248370008</v>
      </c>
      <c r="D340" s="1">
        <f t="shared" si="12"/>
        <v>63.319422362190735</v>
      </c>
      <c r="E340" s="1">
        <f t="shared" si="12"/>
        <v>64.807920020912249</v>
      </c>
      <c r="F340" s="1">
        <f t="shared" si="12"/>
        <v>59.606210313746274</v>
      </c>
      <c r="G340" s="1">
        <v>61.981590281628037</v>
      </c>
      <c r="H340" s="1">
        <v>56.272618826988747</v>
      </c>
      <c r="I340" s="1">
        <v>50.896528480971199</v>
      </c>
    </row>
    <row r="342" spans="1:9" x14ac:dyDescent="0.35">
      <c r="C342" s="187"/>
      <c r="D342" s="187"/>
      <c r="E342" s="187"/>
      <c r="F342" s="187"/>
      <c r="G342" s="170"/>
      <c r="H342" s="170"/>
      <c r="I342" s="170"/>
    </row>
    <row r="343" spans="1:9" ht="29" x14ac:dyDescent="0.35">
      <c r="A343" s="12" t="s">
        <v>538</v>
      </c>
      <c r="B343" s="13" t="s">
        <v>208</v>
      </c>
      <c r="C343" s="13" t="s">
        <v>458</v>
      </c>
      <c r="D343" s="13" t="s">
        <v>466</v>
      </c>
      <c r="E343" s="13" t="s">
        <v>467</v>
      </c>
      <c r="F343" s="13" t="s">
        <v>468</v>
      </c>
      <c r="G343" s="13" t="s">
        <v>636</v>
      </c>
      <c r="H343" s="13" t="s">
        <v>641</v>
      </c>
      <c r="I343" s="13" t="s">
        <v>647</v>
      </c>
    </row>
    <row r="344" spans="1:9" x14ac:dyDescent="0.35">
      <c r="A344" s="14" t="s">
        <v>209</v>
      </c>
      <c r="B344" s="15">
        <v>224</v>
      </c>
      <c r="C344" s="15">
        <v>54</v>
      </c>
      <c r="D344" s="15">
        <v>125</v>
      </c>
      <c r="E344" s="15">
        <v>177</v>
      </c>
      <c r="F344" s="15">
        <v>224</v>
      </c>
      <c r="G344" s="15">
        <v>287</v>
      </c>
      <c r="H344" s="15">
        <v>337</v>
      </c>
      <c r="I344" s="15">
        <v>343</v>
      </c>
    </row>
    <row r="345" spans="1:9" x14ac:dyDescent="0.35">
      <c r="A345" s="16" t="s">
        <v>336</v>
      </c>
      <c r="B345" s="17">
        <v>0.52640666555077276</v>
      </c>
      <c r="C345" s="17">
        <v>0.55121754162656644</v>
      </c>
      <c r="D345" s="155">
        <v>0.45427000753828217</v>
      </c>
      <c r="E345" s="154">
        <v>0.49442840948029859</v>
      </c>
      <c r="F345" s="17">
        <v>0.52640666555077276</v>
      </c>
      <c r="G345" s="17">
        <v>0.56125927266603659</v>
      </c>
      <c r="H345" s="17">
        <v>0.56340983792793742</v>
      </c>
      <c r="I345" s="17">
        <v>0.5750333248655719</v>
      </c>
    </row>
    <row r="346" spans="1:9" x14ac:dyDescent="0.35">
      <c r="A346" s="16" t="s">
        <v>194</v>
      </c>
      <c r="B346" s="17">
        <v>0.36051353967374011</v>
      </c>
      <c r="C346" s="17">
        <v>0.31165792054798719</v>
      </c>
      <c r="D346" s="153">
        <v>0.41159032271092899</v>
      </c>
      <c r="E346" s="17">
        <v>0.37983217624274918</v>
      </c>
      <c r="F346" s="17">
        <v>0.36051353967374011</v>
      </c>
      <c r="G346" s="17">
        <v>0.33770358575423409</v>
      </c>
      <c r="H346" s="17">
        <v>0.3338911196381798</v>
      </c>
      <c r="I346" s="17">
        <v>0.3184534034172431</v>
      </c>
    </row>
    <row r="347" spans="1:9" x14ac:dyDescent="0.35">
      <c r="A347" s="16" t="s">
        <v>195</v>
      </c>
      <c r="B347" s="17">
        <v>0.11307979477548701</v>
      </c>
      <c r="C347" s="17">
        <v>0.13712453782544631</v>
      </c>
      <c r="D347" s="17">
        <v>0.13413966975078881</v>
      </c>
      <c r="E347" s="17">
        <v>0.12573941427695209</v>
      </c>
      <c r="F347" s="17">
        <v>0.11307979477548701</v>
      </c>
      <c r="G347" s="152">
        <v>0.1010371415797293</v>
      </c>
      <c r="H347" s="17">
        <v>0.1026990424338828</v>
      </c>
      <c r="I347" s="17">
        <v>0.1065132717171851</v>
      </c>
    </row>
    <row r="348" spans="1:9" x14ac:dyDescent="0.35">
      <c r="A348" s="14" t="s">
        <v>210</v>
      </c>
      <c r="B348" s="18">
        <v>0.30146816772044482</v>
      </c>
      <c r="C348" s="18">
        <v>0.26964974345806719</v>
      </c>
      <c r="D348" s="23">
        <v>0.24913748871502389</v>
      </c>
      <c r="E348" s="18">
        <v>0.28374004645521922</v>
      </c>
      <c r="F348" s="18">
        <v>0.30146816772044482</v>
      </c>
      <c r="G348" s="18">
        <v>0.34326131489376599</v>
      </c>
      <c r="H348" s="18">
        <v>0.34076587823403959</v>
      </c>
      <c r="I348" s="18">
        <v>0.34115045853094161</v>
      </c>
    </row>
    <row r="349" spans="1:9" x14ac:dyDescent="0.35">
      <c r="A349" s="14" t="s">
        <v>197</v>
      </c>
      <c r="B349" s="18">
        <v>0.22493849783032799</v>
      </c>
      <c r="C349" s="18">
        <v>0.28156779816849931</v>
      </c>
      <c r="D349" s="18">
        <v>0.20513251882325831</v>
      </c>
      <c r="E349" s="18">
        <v>0.2106883630250794</v>
      </c>
      <c r="F349" s="18">
        <v>0.22493849783032799</v>
      </c>
      <c r="G349" s="18">
        <v>0.21799795777227049</v>
      </c>
      <c r="H349" s="18">
        <v>0.2226439596938978</v>
      </c>
      <c r="I349" s="18">
        <v>0.23388286633463029</v>
      </c>
    </row>
    <row r="350" spans="1:9" x14ac:dyDescent="0.35">
      <c r="A350" s="14" t="s">
        <v>198</v>
      </c>
      <c r="B350" s="18">
        <v>0.26997230786062482</v>
      </c>
      <c r="C350" s="18">
        <v>0.24982328748147359</v>
      </c>
      <c r="D350" s="20">
        <v>0.31613549805088542</v>
      </c>
      <c r="E350" s="18">
        <v>0.28939870974685789</v>
      </c>
      <c r="F350" s="18">
        <v>0.26997230786062482</v>
      </c>
      <c r="G350" s="18">
        <v>0.24939897969835309</v>
      </c>
      <c r="H350" s="18">
        <v>0.23786872270599421</v>
      </c>
      <c r="I350" s="18">
        <v>0.21920613240818779</v>
      </c>
    </row>
    <row r="351" spans="1:9" x14ac:dyDescent="0.35">
      <c r="A351" s="14" t="s">
        <v>199</v>
      </c>
      <c r="B351" s="18">
        <v>9.0541231813115353E-2</v>
      </c>
      <c r="C351" s="18">
        <v>6.1834633066513628E-2</v>
      </c>
      <c r="D351" s="18">
        <v>9.5454824660043625E-2</v>
      </c>
      <c r="E351" s="18">
        <v>9.0433466495891249E-2</v>
      </c>
      <c r="F351" s="18">
        <v>9.0541231813115325E-2</v>
      </c>
      <c r="G351" s="18">
        <v>8.8304606055881044E-2</v>
      </c>
      <c r="H351" s="18">
        <v>9.6022396932185644E-2</v>
      </c>
      <c r="I351" s="18">
        <v>9.9247271009055366E-2</v>
      </c>
    </row>
    <row r="352" spans="1:9" x14ac:dyDescent="0.35">
      <c r="A352" s="14" t="s">
        <v>200</v>
      </c>
      <c r="B352" s="18">
        <v>4.3703541935777669E-2</v>
      </c>
      <c r="C352" s="18">
        <v>1.7026052009781471E-2</v>
      </c>
      <c r="D352" s="18">
        <v>4.4611288970367792E-2</v>
      </c>
      <c r="E352" s="18">
        <v>4.4591242177820581E-2</v>
      </c>
      <c r="F352" s="18">
        <v>4.3703541935777662E-2</v>
      </c>
      <c r="G352" s="18">
        <v>4.047237519604166E-2</v>
      </c>
      <c r="H352" s="18">
        <v>4.0415329275432343E-2</v>
      </c>
      <c r="I352" s="18">
        <v>4.8173556149223688E-2</v>
      </c>
    </row>
    <row r="353" spans="1:9" x14ac:dyDescent="0.35">
      <c r="A353" s="14" t="s">
        <v>201</v>
      </c>
      <c r="B353" s="18">
        <v>5.3348275419073408E-2</v>
      </c>
      <c r="C353" s="20">
        <v>0.1044574384718558</v>
      </c>
      <c r="D353" s="18">
        <v>5.958942105012436E-2</v>
      </c>
      <c r="E353" s="18">
        <v>6.0791670572762489E-2</v>
      </c>
      <c r="F353" s="18">
        <v>5.3348275419073388E-2</v>
      </c>
      <c r="G353" s="18">
        <v>4.478565619271805E-2</v>
      </c>
      <c r="H353" s="18">
        <v>4.8791588854780833E-2</v>
      </c>
      <c r="I353" s="23">
        <v>4.1366474568326532E-2</v>
      </c>
    </row>
    <row r="354" spans="1:9" x14ac:dyDescent="0.35">
      <c r="A354" s="14" t="s">
        <v>202</v>
      </c>
      <c r="B354" s="18">
        <v>9.1200824108102416E-3</v>
      </c>
      <c r="C354" s="18">
        <v>0</v>
      </c>
      <c r="D354" s="18">
        <v>1.7035573040094822E-2</v>
      </c>
      <c r="E354" s="18">
        <v>1.158305671664115E-2</v>
      </c>
      <c r="F354" s="18">
        <v>9.1200824108102381E-3</v>
      </c>
      <c r="G354" s="18">
        <v>7.1377060314072992E-3</v>
      </c>
      <c r="H354" s="18">
        <v>6.1031842640856902E-3</v>
      </c>
      <c r="I354" s="18">
        <v>5.8894677717006676E-3</v>
      </c>
    </row>
    <row r="355" spans="1:9" x14ac:dyDescent="0.35">
      <c r="A355" s="14" t="s">
        <v>211</v>
      </c>
      <c r="B355" s="18">
        <v>3.4339369518903069E-3</v>
      </c>
      <c r="C355" s="20">
        <v>1.5641047343809032E-2</v>
      </c>
      <c r="D355" s="18">
        <v>6.4143152576853499E-3</v>
      </c>
      <c r="E355" s="18">
        <v>4.3613077912507108E-3</v>
      </c>
      <c r="F355" s="18">
        <v>3.433936951890306E-3</v>
      </c>
      <c r="G355" s="18">
        <v>2.6875231372829561E-3</v>
      </c>
      <c r="H355" s="18">
        <v>2.298000064538602E-3</v>
      </c>
      <c r="I355" s="18">
        <v>3.2022168429134659E-3</v>
      </c>
    </row>
    <row r="356" spans="1:9" x14ac:dyDescent="0.35">
      <c r="A356" s="14" t="s">
        <v>212</v>
      </c>
      <c r="B356" s="18">
        <v>3.473958057935404E-3</v>
      </c>
      <c r="C356" s="18">
        <v>0</v>
      </c>
      <c r="D356" s="18">
        <v>6.489071432516454E-3</v>
      </c>
      <c r="E356" s="18">
        <v>4.4121370184771642E-3</v>
      </c>
      <c r="F356" s="18">
        <v>3.4739580579354031E-3</v>
      </c>
      <c r="G356" s="18">
        <v>2.71884510095985E-3</v>
      </c>
      <c r="H356" s="18">
        <v>2.3247822989136131E-3</v>
      </c>
      <c r="I356" s="18">
        <v>2.2433749061520512E-3</v>
      </c>
    </row>
    <row r="357" spans="1:9" x14ac:dyDescent="0.35">
      <c r="A357" s="14" t="s">
        <v>203</v>
      </c>
      <c r="B357" s="18">
        <v>0</v>
      </c>
      <c r="C357" s="18">
        <v>0</v>
      </c>
      <c r="D357" s="18">
        <v>0</v>
      </c>
      <c r="E357" s="18">
        <v>0</v>
      </c>
      <c r="F357" s="18">
        <v>0</v>
      </c>
      <c r="G357" s="18">
        <v>0</v>
      </c>
      <c r="H357" s="18">
        <v>0</v>
      </c>
      <c r="I357" s="18">
        <v>2.9688869303022489E-3</v>
      </c>
    </row>
    <row r="358" spans="1:9" x14ac:dyDescent="0.35">
      <c r="A358" s="14" t="s">
        <v>204</v>
      </c>
      <c r="B358" s="18">
        <v>0</v>
      </c>
      <c r="C358" s="18">
        <v>0</v>
      </c>
      <c r="D358" s="18">
        <v>0</v>
      </c>
      <c r="E358" s="18">
        <v>0</v>
      </c>
      <c r="F358" s="18">
        <v>0</v>
      </c>
      <c r="G358" s="18">
        <v>3.2350359213195231E-3</v>
      </c>
      <c r="H358" s="18">
        <v>2.7661576761317599E-3</v>
      </c>
      <c r="I358" s="18">
        <v>2.6692945485664401E-3</v>
      </c>
    </row>
    <row r="359" spans="1:9" x14ac:dyDescent="0.35">
      <c r="A359" s="14" t="s">
        <v>213</v>
      </c>
      <c r="B359" s="1">
        <f t="shared" ref="B359:F359" si="13">(B345-B347)*100</f>
        <v>41.332687077528576</v>
      </c>
      <c r="C359" s="1">
        <f t="shared" si="13"/>
        <v>41.409300380112015</v>
      </c>
      <c r="D359" s="1">
        <f t="shared" si="13"/>
        <v>32.013033778749332</v>
      </c>
      <c r="E359" s="1">
        <f t="shared" si="13"/>
        <v>36.868899520334651</v>
      </c>
      <c r="F359" s="1">
        <f t="shared" si="13"/>
        <v>41.332687077528576</v>
      </c>
      <c r="G359" s="1">
        <v>46.022213108630723</v>
      </c>
      <c r="H359" s="1">
        <v>46.071079549405447</v>
      </c>
      <c r="I359" s="1">
        <v>46.852005314838671</v>
      </c>
    </row>
    <row r="361" spans="1:9" x14ac:dyDescent="0.35">
      <c r="C361" s="187"/>
      <c r="D361" s="187"/>
      <c r="E361" s="187"/>
      <c r="F361" s="187"/>
      <c r="G361" s="170"/>
      <c r="H361" s="170"/>
      <c r="I361" s="170"/>
    </row>
    <row r="362" spans="1:9" ht="29" x14ac:dyDescent="0.35">
      <c r="A362" s="12" t="s">
        <v>539</v>
      </c>
      <c r="B362" s="13" t="s">
        <v>208</v>
      </c>
      <c r="C362" s="13" t="s">
        <v>458</v>
      </c>
      <c r="D362" s="13" t="s">
        <v>466</v>
      </c>
      <c r="E362" s="13" t="s">
        <v>467</v>
      </c>
      <c r="F362" s="13" t="s">
        <v>468</v>
      </c>
      <c r="G362" s="13" t="s">
        <v>636</v>
      </c>
      <c r="H362" s="13" t="s">
        <v>641</v>
      </c>
      <c r="I362" s="13" t="s">
        <v>647</v>
      </c>
    </row>
    <row r="363" spans="1:9" x14ac:dyDescent="0.35">
      <c r="A363" s="14" t="s">
        <v>209</v>
      </c>
      <c r="B363" s="15">
        <v>9</v>
      </c>
      <c r="C363" s="15">
        <v>1</v>
      </c>
      <c r="D363" s="15">
        <v>5</v>
      </c>
      <c r="E363" s="15">
        <v>6</v>
      </c>
      <c r="F363" s="15">
        <v>9</v>
      </c>
      <c r="G363" s="15">
        <v>13</v>
      </c>
      <c r="H363" s="15">
        <v>19</v>
      </c>
      <c r="I363" s="15">
        <v>22</v>
      </c>
    </row>
    <row r="364" spans="1:9" x14ac:dyDescent="0.35">
      <c r="A364" s="16" t="s">
        <v>336</v>
      </c>
      <c r="B364" s="17">
        <v>0.43446117823281322</v>
      </c>
      <c r="C364" s="17">
        <v>1</v>
      </c>
      <c r="D364" s="17">
        <v>0.56879343079378042</v>
      </c>
      <c r="E364" s="17">
        <v>0.47264056267340149</v>
      </c>
      <c r="F364" s="17">
        <v>0.43446117823281322</v>
      </c>
      <c r="G364" s="17">
        <v>0.45598825618240763</v>
      </c>
      <c r="H364" s="17">
        <v>0.45555084448468519</v>
      </c>
      <c r="I364" s="17">
        <v>0.40395586427227559</v>
      </c>
    </row>
    <row r="365" spans="1:9" x14ac:dyDescent="0.35">
      <c r="A365" s="16" t="s">
        <v>194</v>
      </c>
      <c r="B365" s="17">
        <v>0.56553882176718673</v>
      </c>
      <c r="C365" s="17">
        <v>0</v>
      </c>
      <c r="D365" s="17">
        <v>0.43120656920621958</v>
      </c>
      <c r="E365" s="17">
        <v>0.52735943732659851</v>
      </c>
      <c r="F365" s="17">
        <v>0.56553882176718673</v>
      </c>
      <c r="G365" s="17">
        <v>0.38174269929235272</v>
      </c>
      <c r="H365" s="17">
        <v>0.43288258118894402</v>
      </c>
      <c r="I365" s="17">
        <v>0.45558457761796112</v>
      </c>
    </row>
    <row r="366" spans="1:9" x14ac:dyDescent="0.35">
      <c r="A366" s="16" t="s">
        <v>195</v>
      </c>
      <c r="B366" s="17">
        <v>0</v>
      </c>
      <c r="C366" s="17">
        <v>0</v>
      </c>
      <c r="D366" s="17">
        <v>0</v>
      </c>
      <c r="E366" s="17">
        <v>0</v>
      </c>
      <c r="F366" s="17">
        <v>0</v>
      </c>
      <c r="G366" s="17">
        <v>0.1622690445252396</v>
      </c>
      <c r="H366" s="17">
        <v>0.1115665743263705</v>
      </c>
      <c r="I366" s="17">
        <v>0.14045955810976321</v>
      </c>
    </row>
    <row r="367" spans="1:9" x14ac:dyDescent="0.35">
      <c r="A367" s="14" t="s">
        <v>210</v>
      </c>
      <c r="B367" s="18">
        <v>0.43446117823281322</v>
      </c>
      <c r="C367" s="18">
        <v>1</v>
      </c>
      <c r="D367" s="18">
        <v>0.56879343079378042</v>
      </c>
      <c r="E367" s="18">
        <v>0.47264056267340149</v>
      </c>
      <c r="F367" s="18">
        <v>0.43446117823281322</v>
      </c>
      <c r="G367" s="25">
        <v>0.29326436405917661</v>
      </c>
      <c r="H367" s="18">
        <v>0.34367154391717031</v>
      </c>
      <c r="I367" s="23">
        <v>0.24459859933798589</v>
      </c>
    </row>
    <row r="368" spans="1:9" x14ac:dyDescent="0.35">
      <c r="A368" s="14" t="s">
        <v>197</v>
      </c>
      <c r="B368" s="18">
        <v>0</v>
      </c>
      <c r="C368" s="18">
        <v>0</v>
      </c>
      <c r="D368" s="18">
        <v>0</v>
      </c>
      <c r="E368" s="18">
        <v>0</v>
      </c>
      <c r="F368" s="18">
        <v>0</v>
      </c>
      <c r="G368" s="18">
        <v>0.16272389212323099</v>
      </c>
      <c r="H368" s="18">
        <v>0.1118793005675149</v>
      </c>
      <c r="I368" s="18">
        <v>0.15935726493428981</v>
      </c>
    </row>
    <row r="369" spans="1:9" x14ac:dyDescent="0.35">
      <c r="A369" s="14" t="s">
        <v>198</v>
      </c>
      <c r="B369" s="18">
        <v>0.32686758321402309</v>
      </c>
      <c r="C369" s="18">
        <v>0</v>
      </c>
      <c r="D369" s="21">
        <v>0</v>
      </c>
      <c r="E369" s="18">
        <v>0.16904707915875999</v>
      </c>
      <c r="F369" s="18">
        <v>0.32686758321402309</v>
      </c>
      <c r="G369" s="18">
        <v>0.22063792745010941</v>
      </c>
      <c r="H369" s="18">
        <v>0.26639529216070751</v>
      </c>
      <c r="I369" s="18">
        <v>0.22920979700367361</v>
      </c>
    </row>
    <row r="370" spans="1:9" x14ac:dyDescent="0.35">
      <c r="A370" s="14" t="s">
        <v>199</v>
      </c>
      <c r="B370" s="18">
        <v>0.23867123855316369</v>
      </c>
      <c r="C370" s="18">
        <v>0</v>
      </c>
      <c r="D370" s="18">
        <v>0.43120656920621958</v>
      </c>
      <c r="E370" s="18">
        <v>0.35831235816783852</v>
      </c>
      <c r="F370" s="18">
        <v>0.23867123855316369</v>
      </c>
      <c r="G370" s="18">
        <v>0.16110477184224331</v>
      </c>
      <c r="H370" s="18">
        <v>0.16648728902823659</v>
      </c>
      <c r="I370" s="18">
        <v>0.22637478061428759</v>
      </c>
    </row>
    <row r="371" spans="1:9" x14ac:dyDescent="0.35">
      <c r="A371" s="14" t="s">
        <v>200</v>
      </c>
      <c r="B371" s="18">
        <v>0</v>
      </c>
      <c r="C371" s="18">
        <v>0</v>
      </c>
      <c r="D371" s="18">
        <v>0</v>
      </c>
      <c r="E371" s="18">
        <v>0</v>
      </c>
      <c r="F371" s="18">
        <v>0</v>
      </c>
      <c r="G371" s="18">
        <v>9.1838916795924777E-2</v>
      </c>
      <c r="H371" s="18">
        <v>6.3142994196728558E-2</v>
      </c>
      <c r="I371" s="18">
        <v>5.4329011465057017E-2</v>
      </c>
    </row>
    <row r="372" spans="1:9" x14ac:dyDescent="0.35">
      <c r="A372" s="14" t="s">
        <v>201</v>
      </c>
      <c r="B372" s="18">
        <v>0</v>
      </c>
      <c r="C372" s="18">
        <v>0</v>
      </c>
      <c r="D372" s="18">
        <v>0</v>
      </c>
      <c r="E372" s="18">
        <v>0</v>
      </c>
      <c r="F372" s="18">
        <v>0</v>
      </c>
      <c r="G372" s="18">
        <v>7.0430127729314868E-2</v>
      </c>
      <c r="H372" s="18">
        <v>4.8423580129641923E-2</v>
      </c>
      <c r="I372" s="18">
        <v>4.1664245946998898E-2</v>
      </c>
    </row>
    <row r="373" spans="1:9" x14ac:dyDescent="0.35">
      <c r="A373" s="14" t="s">
        <v>202</v>
      </c>
      <c r="B373" s="18">
        <v>0</v>
      </c>
      <c r="C373" s="18">
        <v>0</v>
      </c>
      <c r="D373" s="18">
        <v>0</v>
      </c>
      <c r="E373" s="18">
        <v>0</v>
      </c>
      <c r="F373" s="18">
        <v>0</v>
      </c>
      <c r="G373" s="18">
        <v>0</v>
      </c>
      <c r="H373" s="18">
        <v>0</v>
      </c>
      <c r="I373" s="18">
        <v>4.4466300697707281E-2</v>
      </c>
    </row>
    <row r="374" spans="1:9" x14ac:dyDescent="0.35">
      <c r="A374" s="14" t="s">
        <v>211</v>
      </c>
      <c r="B374" s="18">
        <v>0</v>
      </c>
      <c r="C374" s="18">
        <v>0</v>
      </c>
      <c r="D374" s="18">
        <v>0</v>
      </c>
      <c r="E374" s="18">
        <v>0</v>
      </c>
      <c r="F374" s="18">
        <v>0</v>
      </c>
      <c r="G374" s="18">
        <v>0</v>
      </c>
      <c r="H374" s="18">
        <v>0</v>
      </c>
      <c r="I374" s="18">
        <v>0</v>
      </c>
    </row>
    <row r="375" spans="1:9" x14ac:dyDescent="0.35">
      <c r="A375" s="14" t="s">
        <v>212</v>
      </c>
      <c r="B375" s="18">
        <v>0</v>
      </c>
      <c r="C375" s="18">
        <v>0</v>
      </c>
      <c r="D375" s="18">
        <v>0</v>
      </c>
      <c r="E375" s="18">
        <v>0</v>
      </c>
      <c r="F375" s="18">
        <v>0</v>
      </c>
      <c r="G375" s="18">
        <v>0</v>
      </c>
      <c r="H375" s="18">
        <v>0</v>
      </c>
      <c r="I375" s="18">
        <v>0</v>
      </c>
    </row>
    <row r="376" spans="1:9" x14ac:dyDescent="0.35">
      <c r="A376" s="14" t="s">
        <v>203</v>
      </c>
      <c r="B376" s="18">
        <v>0</v>
      </c>
      <c r="C376" s="18">
        <v>0</v>
      </c>
      <c r="D376" s="18">
        <v>0</v>
      </c>
      <c r="E376" s="18">
        <v>0</v>
      </c>
      <c r="F376" s="18">
        <v>0</v>
      </c>
      <c r="G376" s="18">
        <v>0</v>
      </c>
      <c r="H376" s="18">
        <v>0</v>
      </c>
      <c r="I376" s="18">
        <v>0</v>
      </c>
    </row>
    <row r="377" spans="1:9" x14ac:dyDescent="0.35">
      <c r="A377" s="14" t="s">
        <v>204</v>
      </c>
      <c r="B377" s="18">
        <v>0</v>
      </c>
      <c r="C377" s="18">
        <v>0</v>
      </c>
      <c r="D377" s="18">
        <v>0</v>
      </c>
      <c r="E377" s="18">
        <v>0</v>
      </c>
      <c r="F377" s="18">
        <v>0</v>
      </c>
      <c r="G377" s="18">
        <v>0</v>
      </c>
      <c r="H377" s="18">
        <v>0</v>
      </c>
      <c r="I377" s="18">
        <v>0</v>
      </c>
    </row>
    <row r="378" spans="1:9" x14ac:dyDescent="0.35">
      <c r="A378" s="14" t="s">
        <v>213</v>
      </c>
      <c r="B378" s="1">
        <f t="shared" ref="B378:F378" si="14">(B364-B366)*100</f>
        <v>43.44611782328132</v>
      </c>
      <c r="C378" s="1">
        <f t="shared" si="14"/>
        <v>100</v>
      </c>
      <c r="D378" s="1">
        <f t="shared" si="14"/>
        <v>56.879343079378039</v>
      </c>
      <c r="E378" s="1">
        <f t="shared" si="14"/>
        <v>47.264056267340152</v>
      </c>
      <c r="F378" s="1">
        <f t="shared" si="14"/>
        <v>43.44611782328132</v>
      </c>
      <c r="G378" s="1">
        <v>29.371921165716799</v>
      </c>
      <c r="H378" s="1">
        <v>34.39842701583148</v>
      </c>
      <c r="I378" s="1">
        <v>26.34963061625124</v>
      </c>
    </row>
    <row r="380" spans="1:9" x14ac:dyDescent="0.35">
      <c r="A380" s="1" t="s">
        <v>215</v>
      </c>
    </row>
    <row r="382" spans="1:9" x14ac:dyDescent="0.35">
      <c r="B382" s="3" t="s">
        <v>216</v>
      </c>
    </row>
    <row r="383" spans="1:9" x14ac:dyDescent="0.35">
      <c r="B383" s="1" t="s">
        <v>217</v>
      </c>
    </row>
  </sheetData>
  <mergeCells count="20">
    <mergeCell ref="C342:F342"/>
    <mergeCell ref="C361:F361"/>
    <mergeCell ref="C229:F229"/>
    <mergeCell ref="C247:F247"/>
    <mergeCell ref="C266:F266"/>
    <mergeCell ref="C285:F285"/>
    <mergeCell ref="C304:F304"/>
    <mergeCell ref="C323:F323"/>
    <mergeCell ref="C211:F211"/>
    <mergeCell ref="C4:F4"/>
    <mergeCell ref="C23:F23"/>
    <mergeCell ref="C42:F42"/>
    <mergeCell ref="C61:F61"/>
    <mergeCell ref="C80:F80"/>
    <mergeCell ref="C99:F99"/>
    <mergeCell ref="C117:F117"/>
    <mergeCell ref="C136:F136"/>
    <mergeCell ref="C155:F155"/>
    <mergeCell ref="C174:F174"/>
    <mergeCell ref="C193:F19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7B7A-3348-4030-98FB-BEAF97BA0314}">
  <sheetPr codeName="Sheet16">
    <tabColor theme="5" tint="0.59999389629810485"/>
  </sheetPr>
  <dimension ref="B1:C70"/>
  <sheetViews>
    <sheetView zoomScale="80" zoomScaleNormal="80" workbookViewId="0">
      <pane xSplit="2" ySplit="2" topLeftCell="C3" activePane="bottomRight" state="frozen"/>
      <selection activeCell="C6" sqref="C6"/>
      <selection pane="topRight" activeCell="C6" sqref="C6"/>
      <selection pane="bottomLeft" activeCell="C6" sqref="C6"/>
      <selection pane="bottomRight" activeCell="C6" sqref="C6"/>
    </sheetView>
  </sheetViews>
  <sheetFormatPr defaultColWidth="8.81640625" defaultRowHeight="14.5" x14ac:dyDescent="0.35"/>
  <cols>
    <col min="1" max="1" width="1.54296875" style="31" customWidth="1"/>
    <col min="2" max="2" width="56.81640625" style="8" customWidth="1"/>
    <col min="3" max="3" width="16.453125" style="31" customWidth="1"/>
    <col min="4" max="19" width="8.81640625" style="31" customWidth="1"/>
    <col min="20" max="16384" width="8.81640625" style="31"/>
  </cols>
  <sheetData>
    <row r="1" spans="2:3" ht="15" thickBot="1" x14ac:dyDescent="0.4">
      <c r="B1" s="30"/>
    </row>
    <row r="2" spans="2:3" ht="15" thickBot="1" x14ac:dyDescent="0.4">
      <c r="B2" s="55" t="s">
        <v>556</v>
      </c>
      <c r="C2" s="54" t="s">
        <v>469</v>
      </c>
    </row>
    <row r="3" spans="2:3" s="2" customFormat="1" ht="15" thickBot="1" x14ac:dyDescent="0.4">
      <c r="B3" s="29"/>
    </row>
    <row r="4" spans="2:3" x14ac:dyDescent="0.35">
      <c r="B4" s="96" t="s">
        <v>139</v>
      </c>
      <c r="C4" s="98"/>
    </row>
    <row r="5" spans="2:3" x14ac:dyDescent="0.35">
      <c r="B5" s="156" t="s">
        <v>31</v>
      </c>
      <c r="C5" s="157"/>
    </row>
    <row r="6" spans="2:3" s="48" customFormat="1" x14ac:dyDescent="0.35">
      <c r="B6" s="49" t="s">
        <v>140</v>
      </c>
      <c r="C6" s="51" t="e">
        <f>'Italy (Month)'!#REF!</f>
        <v>#REF!</v>
      </c>
    </row>
    <row r="7" spans="2:3" s="48" customFormat="1" x14ac:dyDescent="0.35">
      <c r="B7" s="49" t="s">
        <v>141</v>
      </c>
      <c r="C7" s="51" t="e">
        <f t="shared" ref="C7" si="0">C57</f>
        <v>#REF!</v>
      </c>
    </row>
    <row r="8" spans="2:3" x14ac:dyDescent="0.35">
      <c r="B8" s="28" t="s">
        <v>142</v>
      </c>
      <c r="C8" s="43" t="e">
        <f>'Italy (Month)'!#REF!</f>
        <v>#REF!</v>
      </c>
    </row>
    <row r="9" spans="2:3" x14ac:dyDescent="0.35">
      <c r="B9" s="28" t="s">
        <v>143</v>
      </c>
      <c r="C9" s="43" t="e">
        <f>'Italy (Month)'!#REF!</f>
        <v>#REF!</v>
      </c>
    </row>
    <row r="10" spans="2:3" x14ac:dyDescent="0.35">
      <c r="B10" s="28" t="s">
        <v>144</v>
      </c>
      <c r="C10" s="43" t="e">
        <f>'Italy (Month)'!#REF!</f>
        <v>#REF!</v>
      </c>
    </row>
    <row r="11" spans="2:3" x14ac:dyDescent="0.35">
      <c r="B11" s="29"/>
      <c r="C11" s="2"/>
    </row>
    <row r="12" spans="2:3" x14ac:dyDescent="0.35">
      <c r="B12" s="90" t="s">
        <v>145</v>
      </c>
      <c r="C12" s="92"/>
    </row>
    <row r="13" spans="2:3" x14ac:dyDescent="0.35">
      <c r="B13" s="86" t="s">
        <v>312</v>
      </c>
      <c r="C13" s="88"/>
    </row>
    <row r="14" spans="2:3" x14ac:dyDescent="0.35">
      <c r="B14" s="28" t="s">
        <v>313</v>
      </c>
      <c r="C14" s="51" t="e">
        <f>'Italy (Month)'!#REF!</f>
        <v>#REF!</v>
      </c>
    </row>
    <row r="15" spans="2:3" x14ac:dyDescent="0.35">
      <c r="B15" s="28" t="s">
        <v>314</v>
      </c>
      <c r="C15" s="51" t="e">
        <f t="shared" ref="C15" si="1">C58</f>
        <v>#REF!</v>
      </c>
    </row>
    <row r="16" spans="2:3" x14ac:dyDescent="0.35">
      <c r="B16" s="28" t="s">
        <v>315</v>
      </c>
      <c r="C16" s="43" t="e">
        <f>'Italy (Month)'!#REF!</f>
        <v>#REF!</v>
      </c>
    </row>
    <row r="17" spans="2:3" x14ac:dyDescent="0.35">
      <c r="B17" s="28" t="s">
        <v>316</v>
      </c>
      <c r="C17" s="43" t="e">
        <f>'Italy (Month)'!#REF!</f>
        <v>#REF!</v>
      </c>
    </row>
    <row r="18" spans="2:3" x14ac:dyDescent="0.35">
      <c r="B18" s="28" t="s">
        <v>317</v>
      </c>
      <c r="C18" s="43" t="e">
        <f>'Italy (Month)'!#REF!</f>
        <v>#REF!</v>
      </c>
    </row>
    <row r="19" spans="2:3" x14ac:dyDescent="0.35">
      <c r="B19" s="27"/>
      <c r="C19" s="33"/>
    </row>
    <row r="20" spans="2:3" x14ac:dyDescent="0.35">
      <c r="B20" s="86" t="s">
        <v>100</v>
      </c>
      <c r="C20" s="88"/>
    </row>
    <row r="21" spans="2:3" x14ac:dyDescent="0.35">
      <c r="B21" s="28" t="s">
        <v>452</v>
      </c>
      <c r="C21" s="51" t="e">
        <f>'Italy (Month)'!#REF!</f>
        <v>#REF!</v>
      </c>
    </row>
    <row r="22" spans="2:3" x14ac:dyDescent="0.35">
      <c r="B22" s="28" t="s">
        <v>453</v>
      </c>
      <c r="C22" s="51" t="e">
        <f t="shared" ref="C22" si="2">C59</f>
        <v>#REF!</v>
      </c>
    </row>
    <row r="23" spans="2:3" x14ac:dyDescent="0.35">
      <c r="B23" s="28" t="s">
        <v>454</v>
      </c>
      <c r="C23" s="43" t="e">
        <f>'Italy (Month)'!#REF!</f>
        <v>#REF!</v>
      </c>
    </row>
    <row r="24" spans="2:3" x14ac:dyDescent="0.35">
      <c r="B24" s="28" t="s">
        <v>455</v>
      </c>
      <c r="C24" s="43" t="e">
        <f>'Italy (Month)'!#REF!</f>
        <v>#REF!</v>
      </c>
    </row>
    <row r="25" spans="2:3" x14ac:dyDescent="0.35">
      <c r="B25" s="28" t="s">
        <v>456</v>
      </c>
      <c r="C25" s="43" t="e">
        <f>'Italy (Month)'!#REF!</f>
        <v>#REF!</v>
      </c>
    </row>
    <row r="26" spans="2:3" x14ac:dyDescent="0.35">
      <c r="B26" s="27"/>
      <c r="C26" s="33"/>
    </row>
    <row r="27" spans="2:3" x14ac:dyDescent="0.35">
      <c r="B27" s="86" t="s">
        <v>44</v>
      </c>
      <c r="C27" s="88"/>
    </row>
    <row r="28" spans="2:3" x14ac:dyDescent="0.35">
      <c r="B28" s="28" t="s">
        <v>318</v>
      </c>
      <c r="C28" s="51" t="e">
        <f>'Italy (Month)'!#REF!</f>
        <v>#REF!</v>
      </c>
    </row>
    <row r="29" spans="2:3" x14ac:dyDescent="0.35">
      <c r="B29" s="28" t="s">
        <v>319</v>
      </c>
      <c r="C29" s="51" t="e">
        <f>C60</f>
        <v>#REF!</v>
      </c>
    </row>
    <row r="30" spans="2:3" x14ac:dyDescent="0.35">
      <c r="B30" s="28" t="s">
        <v>320</v>
      </c>
      <c r="C30" s="43" t="e">
        <f>'Italy (Month)'!#REF!</f>
        <v>#REF!</v>
      </c>
    </row>
    <row r="31" spans="2:3" x14ac:dyDescent="0.35">
      <c r="B31" s="28" t="s">
        <v>321</v>
      </c>
      <c r="C31" s="43" t="e">
        <f>'Italy (Month)'!#REF!</f>
        <v>#REF!</v>
      </c>
    </row>
    <row r="32" spans="2:3" x14ac:dyDescent="0.35">
      <c r="B32" s="28" t="s">
        <v>322</v>
      </c>
      <c r="C32" s="43" t="e">
        <f>'Italy (Month)'!#REF!</f>
        <v>#REF!</v>
      </c>
    </row>
    <row r="33" spans="2:3" x14ac:dyDescent="0.35">
      <c r="B33" s="27"/>
      <c r="C33" s="33"/>
    </row>
    <row r="34" spans="2:3" x14ac:dyDescent="0.35">
      <c r="B34" s="86" t="s">
        <v>45</v>
      </c>
      <c r="C34" s="88"/>
    </row>
    <row r="35" spans="2:3" x14ac:dyDescent="0.35">
      <c r="B35" s="28" t="s">
        <v>323</v>
      </c>
      <c r="C35" s="51" t="e">
        <f>'Italy (Month)'!#REF!</f>
        <v>#REF!</v>
      </c>
    </row>
    <row r="36" spans="2:3" x14ac:dyDescent="0.35">
      <c r="B36" s="28" t="s">
        <v>324</v>
      </c>
      <c r="C36" s="51" t="e">
        <f t="shared" ref="C36" si="3">C61</f>
        <v>#REF!</v>
      </c>
    </row>
    <row r="37" spans="2:3" x14ac:dyDescent="0.35">
      <c r="B37" s="28" t="s">
        <v>325</v>
      </c>
      <c r="C37" s="43" t="e">
        <f>'Italy (Month)'!#REF!</f>
        <v>#REF!</v>
      </c>
    </row>
    <row r="38" spans="2:3" x14ac:dyDescent="0.35">
      <c r="B38" s="28" t="s">
        <v>326</v>
      </c>
      <c r="C38" s="43" t="e">
        <f>'Italy (Month)'!#REF!</f>
        <v>#REF!</v>
      </c>
    </row>
    <row r="39" spans="2:3" x14ac:dyDescent="0.35">
      <c r="B39" s="28" t="s">
        <v>327</v>
      </c>
      <c r="C39" s="43" t="e">
        <f>'Italy (Month)'!#REF!</f>
        <v>#REF!</v>
      </c>
    </row>
    <row r="40" spans="2:3" x14ac:dyDescent="0.35">
      <c r="B40" s="27"/>
      <c r="C40" s="33"/>
    </row>
    <row r="41" spans="2:3" x14ac:dyDescent="0.35">
      <c r="B41" s="86" t="s">
        <v>328</v>
      </c>
      <c r="C41" s="88"/>
    </row>
    <row r="42" spans="2:3" x14ac:dyDescent="0.35">
      <c r="B42" s="28" t="s">
        <v>329</v>
      </c>
      <c r="C42" s="51" t="e">
        <f>'Italy (Month)'!#REF!</f>
        <v>#REF!</v>
      </c>
    </row>
    <row r="43" spans="2:3" x14ac:dyDescent="0.35">
      <c r="B43" s="28" t="s">
        <v>330</v>
      </c>
      <c r="C43" s="51" t="e">
        <f t="shared" ref="C43" si="4">C62</f>
        <v>#REF!</v>
      </c>
    </row>
    <row r="44" spans="2:3" x14ac:dyDescent="0.35">
      <c r="B44" s="28" t="s">
        <v>331</v>
      </c>
      <c r="C44" s="43" t="e">
        <f>'Italy (Month)'!#REF!</f>
        <v>#REF!</v>
      </c>
    </row>
    <row r="45" spans="2:3" x14ac:dyDescent="0.35">
      <c r="B45" s="28" t="s">
        <v>332</v>
      </c>
      <c r="C45" s="43" t="e">
        <f>'Italy (Month)'!#REF!</f>
        <v>#REF!</v>
      </c>
    </row>
    <row r="46" spans="2:3" x14ac:dyDescent="0.35">
      <c r="B46" s="28" t="s">
        <v>333</v>
      </c>
      <c r="C46" s="43" t="e">
        <f>'Italy (Month)'!#REF!</f>
        <v>#REF!</v>
      </c>
    </row>
    <row r="47" spans="2:3" x14ac:dyDescent="0.35">
      <c r="B47" s="27"/>
      <c r="C47" s="33"/>
    </row>
    <row r="48" spans="2:3" x14ac:dyDescent="0.35">
      <c r="B48" s="93" t="s">
        <v>167</v>
      </c>
      <c r="C48" s="95"/>
    </row>
    <row r="49" spans="2:3" x14ac:dyDescent="0.35">
      <c r="B49" s="28" t="s">
        <v>25</v>
      </c>
      <c r="C49" s="51" t="e">
        <f t="shared" ref="C49" si="5">C6</f>
        <v>#REF!</v>
      </c>
    </row>
    <row r="50" spans="2:3" x14ac:dyDescent="0.35">
      <c r="B50" s="28" t="s">
        <v>312</v>
      </c>
      <c r="C50" s="51" t="e">
        <f t="shared" ref="C50" si="6">C14</f>
        <v>#REF!</v>
      </c>
    </row>
    <row r="51" spans="2:3" x14ac:dyDescent="0.35">
      <c r="B51" s="28" t="s">
        <v>100</v>
      </c>
      <c r="C51" s="51" t="e">
        <f t="shared" ref="C51" si="7">C21</f>
        <v>#REF!</v>
      </c>
    </row>
    <row r="52" spans="2:3" x14ac:dyDescent="0.35">
      <c r="B52" s="28" t="s">
        <v>44</v>
      </c>
      <c r="C52" s="51" t="e">
        <f t="shared" ref="C52" si="8">C28</f>
        <v>#REF!</v>
      </c>
    </row>
    <row r="53" spans="2:3" x14ac:dyDescent="0.35">
      <c r="B53" s="28" t="s">
        <v>45</v>
      </c>
      <c r="C53" s="51" t="e">
        <f t="shared" ref="C53" si="9">C35</f>
        <v>#REF!</v>
      </c>
    </row>
    <row r="54" spans="2:3" x14ac:dyDescent="0.35">
      <c r="B54" s="28" t="s">
        <v>46</v>
      </c>
      <c r="C54" s="51" t="e">
        <f t="shared" ref="C54" si="10">C42</f>
        <v>#REF!</v>
      </c>
    </row>
    <row r="55" spans="2:3" x14ac:dyDescent="0.35">
      <c r="B55" s="58"/>
      <c r="C55" s="33"/>
    </row>
    <row r="56" spans="2:3" x14ac:dyDescent="0.35">
      <c r="B56" s="93" t="s">
        <v>168</v>
      </c>
      <c r="C56" s="95"/>
    </row>
    <row r="57" spans="2:3" x14ac:dyDescent="0.35">
      <c r="B57" s="28" t="s">
        <v>25</v>
      </c>
      <c r="C57" s="51" t="e">
        <f t="shared" ref="C57" si="11">RANK(C49,C$49:C$54,0)</f>
        <v>#REF!</v>
      </c>
    </row>
    <row r="58" spans="2:3" x14ac:dyDescent="0.35">
      <c r="B58" s="28" t="s">
        <v>312</v>
      </c>
      <c r="C58" s="51" t="e">
        <f>RANK(C50,C$49:C$54,0)</f>
        <v>#REF!</v>
      </c>
    </row>
    <row r="59" spans="2:3" x14ac:dyDescent="0.35">
      <c r="B59" s="28" t="s">
        <v>100</v>
      </c>
      <c r="C59" s="51" t="e">
        <f t="shared" ref="C59" si="12">RANK(C51,C$49:C$54,0)</f>
        <v>#REF!</v>
      </c>
    </row>
    <row r="60" spans="2:3" x14ac:dyDescent="0.35">
      <c r="B60" s="28" t="s">
        <v>44</v>
      </c>
      <c r="C60" s="51" t="e">
        <f t="shared" ref="C60" si="13">RANK(C52,C$49:C$54,0)</f>
        <v>#REF!</v>
      </c>
    </row>
    <row r="61" spans="2:3" x14ac:dyDescent="0.35">
      <c r="B61" s="28" t="s">
        <v>45</v>
      </c>
      <c r="C61" s="51" t="e">
        <f t="shared" ref="C61" si="14">RANK(C53,C$49:C$54,0)</f>
        <v>#REF!</v>
      </c>
    </row>
    <row r="62" spans="2:3" x14ac:dyDescent="0.35">
      <c r="B62" s="28" t="s">
        <v>46</v>
      </c>
      <c r="C62" s="51" t="e">
        <f t="shared" ref="C62" si="15">RANK(C54,C$49:C$54,0)</f>
        <v>#REF!</v>
      </c>
    </row>
    <row r="63" spans="2:3" x14ac:dyDescent="0.35">
      <c r="B63" s="58"/>
      <c r="C63" s="33"/>
    </row>
    <row r="64" spans="2:3" x14ac:dyDescent="0.35">
      <c r="B64" s="93" t="s">
        <v>169</v>
      </c>
      <c r="C64" s="95"/>
    </row>
    <row r="65" spans="2:3" x14ac:dyDescent="0.35">
      <c r="B65" s="28" t="s">
        <v>25</v>
      </c>
      <c r="C65" s="51" t="e">
        <f>'Italy (Month)'!#REF!</f>
        <v>#REF!</v>
      </c>
    </row>
    <row r="66" spans="2:3" x14ac:dyDescent="0.35">
      <c r="B66" s="28" t="s">
        <v>312</v>
      </c>
      <c r="C66" s="51" t="e">
        <f>'Italy (Month)'!#REF!</f>
        <v>#REF!</v>
      </c>
    </row>
    <row r="67" spans="2:3" x14ac:dyDescent="0.35">
      <c r="B67" s="28" t="s">
        <v>100</v>
      </c>
      <c r="C67" s="51" t="e">
        <f>'Italy (Month)'!#REF!</f>
        <v>#REF!</v>
      </c>
    </row>
    <row r="68" spans="2:3" x14ac:dyDescent="0.35">
      <c r="B68" s="28" t="s">
        <v>44</v>
      </c>
      <c r="C68" s="51" t="e">
        <f>'Italy (Month)'!#REF!</f>
        <v>#REF!</v>
      </c>
    </row>
    <row r="69" spans="2:3" x14ac:dyDescent="0.35">
      <c r="B69" s="28" t="s">
        <v>45</v>
      </c>
      <c r="C69" s="51" t="e">
        <f>'Italy (Month)'!#REF!</f>
        <v>#REF!</v>
      </c>
    </row>
    <row r="70" spans="2:3" x14ac:dyDescent="0.35">
      <c r="B70" s="28" t="s">
        <v>46</v>
      </c>
      <c r="C70" s="51" t="e">
        <f>'Italy (Month)'!#REF!</f>
        <v>#REF!</v>
      </c>
    </row>
  </sheetData>
  <phoneticPr fontId="5"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7084-C46E-4A63-A0E8-00F45F5304B2}">
  <sheetPr codeName="Sheet17">
    <tabColor theme="8" tint="0.59999389629810485"/>
  </sheetPr>
  <dimension ref="B1:E381"/>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8.81640625" defaultRowHeight="14.5" x14ac:dyDescent="0.35"/>
  <cols>
    <col min="1" max="1" width="1.54296875" style="31" customWidth="1"/>
    <col min="2" max="2" width="76.81640625" style="8" customWidth="1"/>
    <col min="3" max="5" width="18.1796875" style="31" customWidth="1"/>
    <col min="6" max="16384" width="8.81640625" style="31"/>
  </cols>
  <sheetData>
    <row r="1" spans="2:5" ht="6.5" customHeight="1" thickBot="1" x14ac:dyDescent="0.4">
      <c r="B1" s="30"/>
    </row>
    <row r="2" spans="2:5" ht="41.25" customHeight="1" x14ac:dyDescent="0.35">
      <c r="B2" s="79" t="s">
        <v>556</v>
      </c>
      <c r="C2" s="75" t="s">
        <v>639</v>
      </c>
      <c r="D2" s="75" t="s">
        <v>643</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39" t="s">
        <v>22</v>
      </c>
      <c r="D5" s="39" t="s">
        <v>22</v>
      </c>
      <c r="E5" s="39" t="s">
        <v>22</v>
      </c>
    </row>
    <row r="6" spans="2:5" x14ac:dyDescent="0.35">
      <c r="B6" s="156"/>
      <c r="C6" s="40">
        <f>'Italy Crunch Outputs'!G21</f>
        <v>41.703194287329403</v>
      </c>
      <c r="D6" s="40">
        <f>'Italy Crunch Outputs'!H21</f>
        <v>38.719897632259091</v>
      </c>
      <c r="E6" s="40">
        <f>'Italy Crunch Outputs'!I21</f>
        <v>38.887289016048364</v>
      </c>
    </row>
    <row r="7" spans="2:5" x14ac:dyDescent="0.35">
      <c r="B7" s="41" t="s">
        <v>336</v>
      </c>
      <c r="C7" s="42">
        <f>'Italy Crunch Outputs'!G7</f>
        <v>0.52840887809097359</v>
      </c>
      <c r="D7" s="42">
        <f>'Italy Crunch Outputs'!H7</f>
        <v>0.50575071061064647</v>
      </c>
      <c r="E7" s="42">
        <f>'Italy Crunch Outputs'!I7</f>
        <v>0.50260135282481422</v>
      </c>
    </row>
    <row r="8" spans="2:5" x14ac:dyDescent="0.35">
      <c r="B8" s="41" t="s">
        <v>194</v>
      </c>
      <c r="C8" s="42">
        <f>'Italy Crunch Outputs'!G8</f>
        <v>0.36021418669134669</v>
      </c>
      <c r="D8" s="42">
        <f>'Italy Crunch Outputs'!H8</f>
        <v>0.37569755510129799</v>
      </c>
      <c r="E8" s="42">
        <f>'Italy Crunch Outputs'!I8</f>
        <v>0.38367018451085522</v>
      </c>
    </row>
    <row r="9" spans="2:5" x14ac:dyDescent="0.35">
      <c r="B9" s="41" t="s">
        <v>195</v>
      </c>
      <c r="C9" s="42">
        <f>'Italy Crunch Outputs'!G9</f>
        <v>0.11137693521767961</v>
      </c>
      <c r="D9" s="42">
        <f>'Italy Crunch Outputs'!H9</f>
        <v>0.1185517342880555</v>
      </c>
      <c r="E9" s="42">
        <f>'Italy Crunch Outputs'!I9</f>
        <v>0.11372846266433061</v>
      </c>
    </row>
    <row r="10" spans="2:5" x14ac:dyDescent="0.35">
      <c r="B10" s="28" t="s">
        <v>196</v>
      </c>
      <c r="C10" s="43">
        <f>'Italy Crunch Outputs'!G10</f>
        <v>0.33473567460664982</v>
      </c>
      <c r="D10" s="43">
        <f>'Italy Crunch Outputs'!H10</f>
        <v>0.31787359814891297</v>
      </c>
      <c r="E10" s="43">
        <f>'Italy Crunch Outputs'!I10</f>
        <v>0.3158616577132578</v>
      </c>
    </row>
    <row r="11" spans="2:5" x14ac:dyDescent="0.35">
      <c r="B11" s="28" t="s">
        <v>197</v>
      </c>
      <c r="C11" s="43">
        <f>'Italy Crunch Outputs'!G11</f>
        <v>0.19367320348432379</v>
      </c>
      <c r="D11" s="43">
        <f>'Italy Crunch Outputs'!H11</f>
        <v>0.18787711246173339</v>
      </c>
      <c r="E11" s="43">
        <f>'Italy Crunch Outputs'!I11</f>
        <v>0.1867396951115565</v>
      </c>
    </row>
    <row r="12" spans="2:5" x14ac:dyDescent="0.35">
      <c r="B12" s="28" t="s">
        <v>198</v>
      </c>
      <c r="C12" s="43">
        <f>'Italy Crunch Outputs'!G12</f>
        <v>0.23372213237995201</v>
      </c>
      <c r="D12" s="43">
        <f>'Italy Crunch Outputs'!H12</f>
        <v>0.25396142415307632</v>
      </c>
      <c r="E12" s="43">
        <f>'Italy Crunch Outputs'!I12</f>
        <v>0.26250132032173301</v>
      </c>
    </row>
    <row r="13" spans="2:5" x14ac:dyDescent="0.35">
      <c r="B13" s="28" t="s">
        <v>199</v>
      </c>
      <c r="C13" s="43">
        <f>'Italy Crunch Outputs'!G13</f>
        <v>0.12649205431139471</v>
      </c>
      <c r="D13" s="43">
        <f>'Italy Crunch Outputs'!H13</f>
        <v>0.1217361309482216</v>
      </c>
      <c r="E13" s="43">
        <f>'Italy Crunch Outputs'!I13</f>
        <v>0.1211688641891223</v>
      </c>
    </row>
    <row r="14" spans="2:5" s="34" customFormat="1" x14ac:dyDescent="0.35">
      <c r="B14" s="28" t="s">
        <v>200</v>
      </c>
      <c r="C14" s="43">
        <f>'Italy Crunch Outputs'!G14</f>
        <v>2.1437039024997179E-2</v>
      </c>
      <c r="D14" s="43">
        <f>'Italy Crunch Outputs'!H14</f>
        <v>2.7790038556246351E-2</v>
      </c>
      <c r="E14" s="43">
        <f>'Italy Crunch Outputs'!I14</f>
        <v>2.034904444589274E-2</v>
      </c>
    </row>
    <row r="15" spans="2:5" s="35" customFormat="1" x14ac:dyDescent="0.3">
      <c r="B15" s="44" t="s">
        <v>201</v>
      </c>
      <c r="C15" s="43">
        <f>'Italy Crunch Outputs'!G15</f>
        <v>5.7560833715672867E-2</v>
      </c>
      <c r="D15" s="43">
        <f>'Italy Crunch Outputs'!H15</f>
        <v>6.3630738702866965E-2</v>
      </c>
      <c r="E15" s="43">
        <f>'Italy Crunch Outputs'!I15</f>
        <v>6.546595800105505E-2</v>
      </c>
    </row>
    <row r="16" spans="2:5" s="36" customFormat="1" x14ac:dyDescent="0.3">
      <c r="B16" s="44" t="s">
        <v>202</v>
      </c>
      <c r="C16" s="43">
        <f>'Italy Crunch Outputs'!G16</f>
        <v>0</v>
      </c>
      <c r="D16" s="43">
        <f>'Italy Crunch Outputs'!H16</f>
        <v>0</v>
      </c>
      <c r="E16" s="43">
        <f>'Italy Crunch Outputs'!I16</f>
        <v>0</v>
      </c>
    </row>
    <row r="17" spans="2:5" s="36" customFormat="1" x14ac:dyDescent="0.3">
      <c r="B17" s="44">
        <v>3</v>
      </c>
      <c r="C17" s="43">
        <f>'Italy Crunch Outputs'!G17</f>
        <v>0</v>
      </c>
      <c r="D17" s="43">
        <f>'Italy Crunch Outputs'!H17</f>
        <v>0</v>
      </c>
      <c r="E17" s="43">
        <f>'Italy Crunch Outputs'!I17</f>
        <v>0</v>
      </c>
    </row>
    <row r="18" spans="2:5" s="36" customFormat="1" x14ac:dyDescent="0.3">
      <c r="B18" s="44">
        <v>2</v>
      </c>
      <c r="C18" s="43">
        <f>'Italy Crunch Outputs'!G18</f>
        <v>1.0867288706437659E-2</v>
      </c>
      <c r="D18" s="43">
        <f>'Italy Crunch Outputs'!H18</f>
        <v>9.1058826402035942E-3</v>
      </c>
      <c r="E18" s="43">
        <f>'Italy Crunch Outputs'!I18</f>
        <v>9.3685118645219431E-3</v>
      </c>
    </row>
    <row r="19" spans="2:5" s="36" customFormat="1" x14ac:dyDescent="0.3">
      <c r="B19" s="44" t="s">
        <v>203</v>
      </c>
      <c r="C19" s="43">
        <f>'Italy Crunch Outputs'!G19</f>
        <v>0</v>
      </c>
      <c r="D19" s="43">
        <f>'Italy Crunch Outputs'!H19</f>
        <v>0</v>
      </c>
      <c r="E19" s="43">
        <f>'Italy Crunch Outputs'!I19</f>
        <v>0</v>
      </c>
    </row>
    <row r="20" spans="2:5" s="36" customFormat="1" x14ac:dyDescent="0.3">
      <c r="B20" s="44" t="s">
        <v>204</v>
      </c>
      <c r="C20" s="43">
        <f>'Italy Crunch Outputs'!G20</f>
        <v>2.1511773770571931E-2</v>
      </c>
      <c r="D20" s="43">
        <f>'Italy Crunch Outputs'!H20</f>
        <v>1.802507438873863E-2</v>
      </c>
      <c r="E20" s="43">
        <f>'Italy Crunch Outputs'!I20</f>
        <v>1.854494835286092E-2</v>
      </c>
    </row>
    <row r="21" spans="2:5" s="36" customFormat="1" x14ac:dyDescent="0.3">
      <c r="B21" s="56" t="s">
        <v>24</v>
      </c>
      <c r="C21" s="60">
        <f>'Italy Crunch Outputs'!G6</f>
        <v>90</v>
      </c>
      <c r="D21" s="60">
        <f>'Italy Crunch Outputs'!H6</f>
        <v>108</v>
      </c>
      <c r="E21" s="60">
        <f>'Italy Crunch Outputs'!I6</f>
        <v>104</v>
      </c>
    </row>
    <row r="22" spans="2:5" x14ac:dyDescent="0.35">
      <c r="B22" s="44"/>
      <c r="C22" s="109"/>
      <c r="D22" s="109"/>
      <c r="E22" s="109"/>
    </row>
    <row r="23" spans="2:5" x14ac:dyDescent="0.35">
      <c r="B23" s="99" t="s">
        <v>312</v>
      </c>
      <c r="C23" s="39" t="s">
        <v>22</v>
      </c>
      <c r="D23" s="39" t="s">
        <v>22</v>
      </c>
      <c r="E23" s="39" t="s">
        <v>22</v>
      </c>
    </row>
    <row r="24" spans="2:5" x14ac:dyDescent="0.35">
      <c r="B24" s="100"/>
      <c r="C24" s="40">
        <f>'Italy Crunch Outputs'!G154</f>
        <v>40.753956556344747</v>
      </c>
      <c r="D24" s="40">
        <f>'Italy Crunch Outputs'!H154</f>
        <v>43.349631249120293</v>
      </c>
      <c r="E24" s="40">
        <f>'Italy Crunch Outputs'!I154</f>
        <v>43.02303492738055</v>
      </c>
    </row>
    <row r="25" spans="2:5" x14ac:dyDescent="0.35">
      <c r="B25" s="41" t="s">
        <v>336</v>
      </c>
      <c r="C25" s="42">
        <f>'Italy Crunch Outputs'!G140</f>
        <v>0.52397800449096776</v>
      </c>
      <c r="D25" s="42">
        <f>'Italy Crunch Outputs'!H140</f>
        <v>0.55144507830350697</v>
      </c>
      <c r="E25" s="42">
        <f>'Italy Crunch Outputs'!I140</f>
        <v>0.55773135689316578</v>
      </c>
    </row>
    <row r="26" spans="2:5" x14ac:dyDescent="0.35">
      <c r="B26" s="41" t="s">
        <v>194</v>
      </c>
      <c r="C26" s="42">
        <f>'Italy Crunch Outputs'!G141</f>
        <v>0.35958355658151198</v>
      </c>
      <c r="D26" s="42">
        <f>'Italy Crunch Outputs'!H141</f>
        <v>0.33060615588418901</v>
      </c>
      <c r="E26" s="42">
        <f>'Italy Crunch Outputs'!I141</f>
        <v>0.31476763548747377</v>
      </c>
    </row>
    <row r="27" spans="2:5" x14ac:dyDescent="0.35">
      <c r="B27" s="41" t="s">
        <v>195</v>
      </c>
      <c r="C27" s="42">
        <f>'Italy Crunch Outputs'!G142</f>
        <v>0.1164384389275202</v>
      </c>
      <c r="D27" s="42">
        <f>'Italy Crunch Outputs'!H142</f>
        <v>0.1179487658123041</v>
      </c>
      <c r="E27" s="42">
        <f>'Italy Crunch Outputs'!I142</f>
        <v>0.12750100761936031</v>
      </c>
    </row>
    <row r="28" spans="2:5" x14ac:dyDescent="0.35">
      <c r="B28" s="28" t="s">
        <v>196</v>
      </c>
      <c r="C28" s="43">
        <f>'Italy Crunch Outputs'!G143</f>
        <v>0.30318650839613542</v>
      </c>
      <c r="D28" s="43">
        <f>'Italy Crunch Outputs'!H143</f>
        <v>0.31669237387737342</v>
      </c>
      <c r="E28" s="43">
        <f>'Italy Crunch Outputs'!I143</f>
        <v>0.30194933835213222</v>
      </c>
    </row>
    <row r="29" spans="2:5" x14ac:dyDescent="0.35">
      <c r="B29" s="28" t="s">
        <v>197</v>
      </c>
      <c r="C29" s="43">
        <f>'Italy Crunch Outputs'!G144</f>
        <v>0.22079149609483231</v>
      </c>
      <c r="D29" s="43">
        <f>'Italy Crunch Outputs'!H144</f>
        <v>0.23475270442613341</v>
      </c>
      <c r="E29" s="43">
        <f>'Italy Crunch Outputs'!I144</f>
        <v>0.25578201854103372</v>
      </c>
    </row>
    <row r="30" spans="2:5" x14ac:dyDescent="0.35">
      <c r="B30" s="28" t="s">
        <v>198</v>
      </c>
      <c r="C30" s="43">
        <f>'Italy Crunch Outputs'!G145</f>
        <v>0.2384405502724124</v>
      </c>
      <c r="D30" s="43">
        <f>'Italy Crunch Outputs'!H145</f>
        <v>0.22268344811132099</v>
      </c>
      <c r="E30" s="43">
        <f>'Italy Crunch Outputs'!I145</f>
        <v>0.2227066759126507</v>
      </c>
    </row>
    <row r="31" spans="2:5" x14ac:dyDescent="0.35">
      <c r="B31" s="28" t="s">
        <v>199</v>
      </c>
      <c r="C31" s="43">
        <f>'Italy Crunch Outputs'!G146</f>
        <v>0.1211430063090996</v>
      </c>
      <c r="D31" s="43">
        <f>'Italy Crunch Outputs'!H146</f>
        <v>0.107922707772868</v>
      </c>
      <c r="E31" s="43">
        <f>'Italy Crunch Outputs'!I146</f>
        <v>9.2060959574823062E-2</v>
      </c>
    </row>
    <row r="32" spans="2:5" x14ac:dyDescent="0.35">
      <c r="B32" s="28" t="s">
        <v>200</v>
      </c>
      <c r="C32" s="43">
        <f>'Italy Crunch Outputs'!G147</f>
        <v>5.1259697515370413E-2</v>
      </c>
      <c r="D32" s="43">
        <f>'Italy Crunch Outputs'!H147</f>
        <v>6.3339332194546405E-2</v>
      </c>
      <c r="E32" s="43">
        <f>'Italy Crunch Outputs'!I147</f>
        <v>6.5952429890458908E-2</v>
      </c>
    </row>
    <row r="33" spans="2:5" x14ac:dyDescent="0.35">
      <c r="B33" s="44" t="s">
        <v>201</v>
      </c>
      <c r="C33" s="43">
        <f>'Italy Crunch Outputs'!G148</f>
        <v>3.2549149872664523E-2</v>
      </c>
      <c r="D33" s="43">
        <f>'Italy Crunch Outputs'!H148</f>
        <v>2.7271018138352421E-2</v>
      </c>
      <c r="E33" s="43">
        <f>'Italy Crunch Outputs'!I148</f>
        <v>3.0736308151140711E-2</v>
      </c>
    </row>
    <row r="34" spans="2:5" x14ac:dyDescent="0.35">
      <c r="B34" s="44" t="s">
        <v>202</v>
      </c>
      <c r="C34" s="43">
        <f>'Italy Crunch Outputs'!G149</f>
        <v>8.0447199510715207E-3</v>
      </c>
      <c r="D34" s="43">
        <f>'Italy Crunch Outputs'!H149</f>
        <v>6.7401976568329238E-3</v>
      </c>
      <c r="E34" s="43">
        <f>'Italy Crunch Outputs'!I149</f>
        <v>7.5966651163882591E-3</v>
      </c>
    </row>
    <row r="35" spans="2:5" x14ac:dyDescent="0.35">
      <c r="B35" s="44">
        <v>3</v>
      </c>
      <c r="C35" s="43">
        <f>'Italy Crunch Outputs'!G150</f>
        <v>1.6288349984670911E-2</v>
      </c>
      <c r="D35" s="43">
        <f>'Italy Crunch Outputs'!H150</f>
        <v>1.364705037193127E-2</v>
      </c>
      <c r="E35" s="43">
        <f>'Italy Crunch Outputs'!I150</f>
        <v>1.5381161915473699E-2</v>
      </c>
    </row>
    <row r="36" spans="2:5" x14ac:dyDescent="0.35">
      <c r="B36" s="44">
        <v>2</v>
      </c>
      <c r="C36" s="43">
        <f>'Italy Crunch Outputs'!G151</f>
        <v>0</v>
      </c>
      <c r="D36" s="43">
        <f>'Italy Crunch Outputs'!H151</f>
        <v>0</v>
      </c>
      <c r="E36" s="43">
        <f>'Italy Crunch Outputs'!I151</f>
        <v>0</v>
      </c>
    </row>
    <row r="37" spans="2:5" x14ac:dyDescent="0.35">
      <c r="B37" s="44" t="s">
        <v>203</v>
      </c>
      <c r="C37" s="43">
        <f>'Italy Crunch Outputs'!G152</f>
        <v>0</v>
      </c>
      <c r="D37" s="43">
        <f>'Italy Crunch Outputs'!H152</f>
        <v>0</v>
      </c>
      <c r="E37" s="43">
        <f>'Italy Crunch Outputs'!I152</f>
        <v>0</v>
      </c>
    </row>
    <row r="38" spans="2:5" x14ac:dyDescent="0.35">
      <c r="B38" s="44" t="s">
        <v>204</v>
      </c>
      <c r="C38" s="43">
        <f>'Italy Crunch Outputs'!G153</f>
        <v>8.2965216037428503E-3</v>
      </c>
      <c r="D38" s="43">
        <f>'Italy Crunch Outputs'!H153</f>
        <v>6.9511674506410846E-3</v>
      </c>
      <c r="E38" s="43">
        <f>'Italy Crunch Outputs'!I153</f>
        <v>7.8344425458987069E-3</v>
      </c>
    </row>
    <row r="39" spans="2:5" s="36" customFormat="1" x14ac:dyDescent="0.3">
      <c r="B39" s="56" t="s">
        <v>24</v>
      </c>
      <c r="C39" s="60">
        <f>'Italy Crunch Outputs'!G139</f>
        <v>123</v>
      </c>
      <c r="D39" s="60">
        <f>'Italy Crunch Outputs'!H139</f>
        <v>146</v>
      </c>
      <c r="E39" s="60">
        <f>'Italy Crunch Outputs'!I139</f>
        <v>127</v>
      </c>
    </row>
    <row r="40" spans="2:5" x14ac:dyDescent="0.35">
      <c r="B40" s="45"/>
      <c r="C40" s="33"/>
      <c r="D40" s="33"/>
      <c r="E40" s="33"/>
    </row>
    <row r="41" spans="2:5" x14ac:dyDescent="0.35">
      <c r="B41" s="99" t="s">
        <v>44</v>
      </c>
      <c r="C41" s="39" t="s">
        <v>22</v>
      </c>
      <c r="D41" s="39" t="s">
        <v>22</v>
      </c>
      <c r="E41" s="39" t="s">
        <v>22</v>
      </c>
    </row>
    <row r="42" spans="2:5" x14ac:dyDescent="0.35">
      <c r="B42" s="100"/>
      <c r="C42" s="40">
        <f>'Italy Crunch Outputs'!G192</f>
        <v>66.036846408045776</v>
      </c>
      <c r="D42" s="40">
        <f>'Italy Crunch Outputs'!H192</f>
        <v>63.103222000528518</v>
      </c>
      <c r="E42" s="40">
        <f>'Italy Crunch Outputs'!I192</f>
        <v>63.191279764484918</v>
      </c>
    </row>
    <row r="43" spans="2:5" x14ac:dyDescent="0.35">
      <c r="B43" s="41" t="s">
        <v>336</v>
      </c>
      <c r="C43" s="42">
        <f>'Italy Crunch Outputs'!G178</f>
        <v>0.70667391495101628</v>
      </c>
      <c r="D43" s="42">
        <f>'Italy Crunch Outputs'!H178</f>
        <v>0.68205607313674499</v>
      </c>
      <c r="E43" s="42">
        <f>'Italy Crunch Outputs'!I178</f>
        <v>0.6888289373984694</v>
      </c>
    </row>
    <row r="44" spans="2:5" x14ac:dyDescent="0.35">
      <c r="B44" s="41" t="s">
        <v>194</v>
      </c>
      <c r="C44" s="42">
        <f>'Italy Crunch Outputs'!G179</f>
        <v>0.2470206341784254</v>
      </c>
      <c r="D44" s="42">
        <f>'Italy Crunch Outputs'!H179</f>
        <v>0.26692007373179499</v>
      </c>
      <c r="E44" s="42">
        <f>'Italy Crunch Outputs'!I179</f>
        <v>0.25425492284791013</v>
      </c>
    </row>
    <row r="45" spans="2:5" x14ac:dyDescent="0.35">
      <c r="B45" s="41" t="s">
        <v>195</v>
      </c>
      <c r="C45" s="42">
        <f>'Italy Crunch Outputs'!G180</f>
        <v>4.6305450870558387E-2</v>
      </c>
      <c r="D45" s="42">
        <f>'Italy Crunch Outputs'!H180</f>
        <v>5.1023853131459858E-2</v>
      </c>
      <c r="E45" s="42">
        <f>'Italy Crunch Outputs'!I180</f>
        <v>5.691613975362033E-2</v>
      </c>
    </row>
    <row r="46" spans="2:5" x14ac:dyDescent="0.35">
      <c r="B46" s="28" t="s">
        <v>196</v>
      </c>
      <c r="C46" s="43">
        <f>'Italy Crunch Outputs'!G181</f>
        <v>0.38521343123950719</v>
      </c>
      <c r="D46" s="43">
        <f>'Italy Crunch Outputs'!H181</f>
        <v>0.3816980399916674</v>
      </c>
      <c r="E46" s="43">
        <f>'Italy Crunch Outputs'!I181</f>
        <v>0.36833271616918262</v>
      </c>
    </row>
    <row r="47" spans="2:5" x14ac:dyDescent="0.35">
      <c r="B47" s="28" t="s">
        <v>197</v>
      </c>
      <c r="C47" s="43">
        <f>'Italy Crunch Outputs'!G182</f>
        <v>0.32146048371150898</v>
      </c>
      <c r="D47" s="43">
        <f>'Italy Crunch Outputs'!H182</f>
        <v>0.30035803314507747</v>
      </c>
      <c r="E47" s="43">
        <f>'Italy Crunch Outputs'!I182</f>
        <v>0.32049622122928673</v>
      </c>
    </row>
    <row r="48" spans="2:5" x14ac:dyDescent="0.35">
      <c r="B48" s="28" t="s">
        <v>198</v>
      </c>
      <c r="C48" s="43">
        <f>'Italy Crunch Outputs'!G183</f>
        <v>0.1731186136075632</v>
      </c>
      <c r="D48" s="43">
        <f>'Italy Crunch Outputs'!H183</f>
        <v>0.18904865293890241</v>
      </c>
      <c r="E48" s="43">
        <f>'Italy Crunch Outputs'!I183</f>
        <v>0.17169469856272601</v>
      </c>
    </row>
    <row r="49" spans="2:5" x14ac:dyDescent="0.35">
      <c r="B49" s="28" t="s">
        <v>199</v>
      </c>
      <c r="C49" s="43">
        <f>'Italy Crunch Outputs'!G184</f>
        <v>7.3902020570862204E-2</v>
      </c>
      <c r="D49" s="43">
        <f>'Italy Crunch Outputs'!H184</f>
        <v>7.7871420792892679E-2</v>
      </c>
      <c r="E49" s="43">
        <f>'Italy Crunch Outputs'!I184</f>
        <v>8.2560224285184128E-2</v>
      </c>
    </row>
    <row r="50" spans="2:5" x14ac:dyDescent="0.35">
      <c r="B50" s="28" t="s">
        <v>200</v>
      </c>
      <c r="C50" s="43">
        <f>'Italy Crunch Outputs'!G185</f>
        <v>2.7580459561848899E-2</v>
      </c>
      <c r="D50" s="43">
        <f>'Italy Crunch Outputs'!H185</f>
        <v>2.839410656488469E-2</v>
      </c>
      <c r="E50" s="43">
        <f>'Italy Crunch Outputs'!I185</f>
        <v>2.7851251958144051E-2</v>
      </c>
    </row>
    <row r="51" spans="2:5" x14ac:dyDescent="0.35">
      <c r="B51" s="44" t="s">
        <v>201</v>
      </c>
      <c r="C51" s="43">
        <f>'Italy Crunch Outputs'!G186</f>
        <v>1.165419070506063E-2</v>
      </c>
      <c r="D51" s="43">
        <f>'Italy Crunch Outputs'!H186</f>
        <v>1.662658733726935E-2</v>
      </c>
      <c r="E51" s="43">
        <f>'Italy Crunch Outputs'!I186</f>
        <v>1.8098849511700311E-2</v>
      </c>
    </row>
    <row r="52" spans="2:5" x14ac:dyDescent="0.35">
      <c r="B52" s="44" t="s">
        <v>202</v>
      </c>
      <c r="C52" s="43">
        <f>'Italy Crunch Outputs'!G187</f>
        <v>0</v>
      </c>
      <c r="D52" s="43">
        <f>'Italy Crunch Outputs'!H187</f>
        <v>0</v>
      </c>
      <c r="E52" s="43">
        <f>'Italy Crunch Outputs'!I187</f>
        <v>0</v>
      </c>
    </row>
    <row r="53" spans="2:5" x14ac:dyDescent="0.35">
      <c r="B53" s="44">
        <v>3</v>
      </c>
      <c r="C53" s="43">
        <f>'Italy Crunch Outputs'!G188</f>
        <v>7.0708006036488587E-3</v>
      </c>
      <c r="D53" s="43">
        <f>'Italy Crunch Outputs'!H188</f>
        <v>6.0031592293058314E-3</v>
      </c>
      <c r="E53" s="43">
        <f>'Italy Crunch Outputs'!I188</f>
        <v>1.0966038283775971E-2</v>
      </c>
    </row>
    <row r="54" spans="2:5" x14ac:dyDescent="0.35">
      <c r="B54" s="44">
        <v>2</v>
      </c>
      <c r="C54" s="43">
        <f>'Italy Crunch Outputs'!G189</f>
        <v>0</v>
      </c>
      <c r="D54" s="43">
        <f>'Italy Crunch Outputs'!H189</f>
        <v>0</v>
      </c>
      <c r="E54" s="43">
        <f>'Italy Crunch Outputs'!I189</f>
        <v>0</v>
      </c>
    </row>
    <row r="55" spans="2:5" x14ac:dyDescent="0.35">
      <c r="B55" s="44" t="s">
        <v>203</v>
      </c>
      <c r="C55" s="43">
        <f>'Italy Crunch Outputs'!G190</f>
        <v>0</v>
      </c>
      <c r="D55" s="43">
        <f>'Italy Crunch Outputs'!H190</f>
        <v>0</v>
      </c>
      <c r="E55" s="43">
        <f>'Italy Crunch Outputs'!I190</f>
        <v>0</v>
      </c>
    </row>
    <row r="56" spans="2:5" x14ac:dyDescent="0.35">
      <c r="B56" s="44" t="s">
        <v>204</v>
      </c>
      <c r="C56" s="43">
        <f>'Italy Crunch Outputs'!G191</f>
        <v>0</v>
      </c>
      <c r="D56" s="43">
        <f>'Italy Crunch Outputs'!H191</f>
        <v>0</v>
      </c>
      <c r="E56" s="43">
        <f>'Italy Crunch Outputs'!I191</f>
        <v>0</v>
      </c>
    </row>
    <row r="57" spans="2:5" s="36" customFormat="1" x14ac:dyDescent="0.3">
      <c r="B57" s="56" t="s">
        <v>24</v>
      </c>
      <c r="C57" s="60">
        <f>'Italy Crunch Outputs'!G177</f>
        <v>149</v>
      </c>
      <c r="D57" s="60">
        <f>'Italy Crunch Outputs'!H177</f>
        <v>176</v>
      </c>
      <c r="E57" s="60">
        <f>'Italy Crunch Outputs'!I177</f>
        <v>180</v>
      </c>
    </row>
    <row r="58" spans="2:5" x14ac:dyDescent="0.35">
      <c r="B58" s="27"/>
      <c r="C58" s="33"/>
      <c r="D58" s="33"/>
      <c r="E58" s="33"/>
    </row>
    <row r="59" spans="2:5" x14ac:dyDescent="0.35">
      <c r="B59" s="99" t="s">
        <v>45</v>
      </c>
      <c r="C59" s="39" t="s">
        <v>22</v>
      </c>
      <c r="D59" s="39" t="s">
        <v>22</v>
      </c>
      <c r="E59" s="39" t="s">
        <v>22</v>
      </c>
    </row>
    <row r="60" spans="2:5" x14ac:dyDescent="0.35">
      <c r="B60" s="100"/>
      <c r="C60" s="40">
        <f>'Italy Crunch Outputs'!G78</f>
        <v>29.8966299852299</v>
      </c>
      <c r="D60" s="40">
        <f>'Italy Crunch Outputs'!H78</f>
        <v>29.271520989723381</v>
      </c>
      <c r="E60" s="40">
        <f>'Italy Crunch Outputs'!I78</f>
        <v>26.86034378765514</v>
      </c>
    </row>
    <row r="61" spans="2:5" x14ac:dyDescent="0.35">
      <c r="B61" s="41" t="s">
        <v>336</v>
      </c>
      <c r="C61" s="42">
        <f>'Italy Crunch Outputs'!G64</f>
        <v>0.43516415918571349</v>
      </c>
      <c r="D61" s="42">
        <f>'Italy Crunch Outputs'!H64</f>
        <v>0.43564318059930279</v>
      </c>
      <c r="E61" s="42">
        <f>'Italy Crunch Outputs'!I64</f>
        <v>0.41505492161940388</v>
      </c>
    </row>
    <row r="62" spans="2:5" x14ac:dyDescent="0.35">
      <c r="B62" s="41" t="s">
        <v>194</v>
      </c>
      <c r="C62" s="42">
        <f>'Italy Crunch Outputs'!G65</f>
        <v>0.42863798148087201</v>
      </c>
      <c r="D62" s="42">
        <f>'Italy Crunch Outputs'!H65</f>
        <v>0.42142884869862812</v>
      </c>
      <c r="E62" s="42">
        <f>'Italy Crunch Outputs'!I65</f>
        <v>0.43849359463774368</v>
      </c>
    </row>
    <row r="63" spans="2:5" x14ac:dyDescent="0.35">
      <c r="B63" s="41" t="s">
        <v>195</v>
      </c>
      <c r="C63" s="42">
        <f>'Italy Crunch Outputs'!G66</f>
        <v>0.13619785933341449</v>
      </c>
      <c r="D63" s="42">
        <f>'Italy Crunch Outputs'!H66</f>
        <v>0.142927970702069</v>
      </c>
      <c r="E63" s="42">
        <f>'Italy Crunch Outputs'!I66</f>
        <v>0.1464514837428525</v>
      </c>
    </row>
    <row r="64" spans="2:5" x14ac:dyDescent="0.35">
      <c r="B64" s="28" t="s">
        <v>196</v>
      </c>
      <c r="C64" s="43">
        <f>'Italy Crunch Outputs'!G67</f>
        <v>0.21145344269192939</v>
      </c>
      <c r="D64" s="43">
        <f>'Italy Crunch Outputs'!H67</f>
        <v>0.2169228272825921</v>
      </c>
      <c r="E64" s="43">
        <f>'Italy Crunch Outputs'!I67</f>
        <v>0.2042536635644599</v>
      </c>
    </row>
    <row r="65" spans="2:5" x14ac:dyDescent="0.35">
      <c r="B65" s="28" t="s">
        <v>197</v>
      </c>
      <c r="C65" s="43">
        <f>'Italy Crunch Outputs'!G68</f>
        <v>0.2237107164937841</v>
      </c>
      <c r="D65" s="43">
        <f>'Italy Crunch Outputs'!H68</f>
        <v>0.21872035331671069</v>
      </c>
      <c r="E65" s="43">
        <f>'Italy Crunch Outputs'!I68</f>
        <v>0.2108012580549439</v>
      </c>
    </row>
    <row r="66" spans="2:5" x14ac:dyDescent="0.35">
      <c r="B66" s="28" t="s">
        <v>198</v>
      </c>
      <c r="C66" s="43">
        <f>'Italy Crunch Outputs'!G69</f>
        <v>0.28286224786757302</v>
      </c>
      <c r="D66" s="43">
        <f>'Italy Crunch Outputs'!H69</f>
        <v>0.2820862237561842</v>
      </c>
      <c r="E66" s="43">
        <f>'Italy Crunch Outputs'!I69</f>
        <v>0.29359595763710439</v>
      </c>
    </row>
    <row r="67" spans="2:5" x14ac:dyDescent="0.35">
      <c r="B67" s="28" t="s">
        <v>199</v>
      </c>
      <c r="C67" s="43">
        <f>'Italy Crunch Outputs'!G70</f>
        <v>0.1457757336132991</v>
      </c>
      <c r="D67" s="43">
        <f>'Italy Crunch Outputs'!H70</f>
        <v>0.13934262494244401</v>
      </c>
      <c r="E67" s="43">
        <f>'Italy Crunch Outputs'!I70</f>
        <v>0.14489763700063929</v>
      </c>
    </row>
    <row r="68" spans="2:5" x14ac:dyDescent="0.35">
      <c r="B68" s="28" t="s">
        <v>200</v>
      </c>
      <c r="C68" s="43">
        <f>'Italy Crunch Outputs'!G71</f>
        <v>6.054685473621553E-2</v>
      </c>
      <c r="D68" s="43">
        <f>'Italy Crunch Outputs'!H71</f>
        <v>6.1147849877292347E-2</v>
      </c>
      <c r="E68" s="43">
        <f>'Italy Crunch Outputs'!I71</f>
        <v>6.0488790722518067E-2</v>
      </c>
    </row>
    <row r="69" spans="2:5" x14ac:dyDescent="0.35">
      <c r="B69" s="44" t="s">
        <v>201</v>
      </c>
      <c r="C69" s="43">
        <f>'Italy Crunch Outputs'!G72</f>
        <v>4.1774826985361738E-2</v>
      </c>
      <c r="D69" s="43">
        <f>'Italy Crunch Outputs'!H72</f>
        <v>4.5043924445693093E-2</v>
      </c>
      <c r="E69" s="43">
        <f>'Italy Crunch Outputs'!I72</f>
        <v>4.6738395904656491E-2</v>
      </c>
    </row>
    <row r="70" spans="2:5" x14ac:dyDescent="0.35">
      <c r="B70" s="44" t="s">
        <v>202</v>
      </c>
      <c r="C70" s="43">
        <f>'Italy Crunch Outputs'!G73</f>
        <v>5.3628249256833732E-3</v>
      </c>
      <c r="D70" s="43">
        <f>'Italy Crunch Outputs'!H73</f>
        <v>4.5188562728119041E-3</v>
      </c>
      <c r="E70" s="43">
        <f>'Italy Crunch Outputs'!I73</f>
        <v>2.187358389224642E-3</v>
      </c>
    </row>
    <row r="71" spans="2:5" x14ac:dyDescent="0.35">
      <c r="B71" s="44">
        <v>3</v>
      </c>
      <c r="C71" s="43">
        <f>'Italy Crunch Outputs'!G74</f>
        <v>1.3514440964581719E-2</v>
      </c>
      <c r="D71" s="43">
        <f>'Italy Crunch Outputs'!H74</f>
        <v>1.1387620735831539E-2</v>
      </c>
      <c r="E71" s="43">
        <f>'Italy Crunch Outputs'!I74</f>
        <v>1.4572578015294581E-2</v>
      </c>
    </row>
    <row r="72" spans="2:5" x14ac:dyDescent="0.35">
      <c r="B72" s="44">
        <v>2</v>
      </c>
      <c r="C72" s="43">
        <f>'Italy Crunch Outputs'!G75</f>
        <v>2.4040355039666671E-3</v>
      </c>
      <c r="D72" s="43">
        <f>'Italy Crunch Outputs'!H75</f>
        <v>2.0257030702485572E-3</v>
      </c>
      <c r="E72" s="43">
        <f>'Italy Crunch Outputs'!I75</f>
        <v>2.184672949955533E-3</v>
      </c>
    </row>
    <row r="73" spans="2:5" x14ac:dyDescent="0.35">
      <c r="B73" s="44" t="s">
        <v>203</v>
      </c>
      <c r="C73" s="43">
        <f>'Italy Crunch Outputs'!G76</f>
        <v>3.707119066687766E-3</v>
      </c>
      <c r="D73" s="43">
        <f>'Italy Crunch Outputs'!H76</f>
        <v>3.1237152957082509E-3</v>
      </c>
      <c r="E73" s="43">
        <f>'Italy Crunch Outputs'!I76</f>
        <v>3.3688532194695322E-3</v>
      </c>
    </row>
    <row r="74" spans="2:5" x14ac:dyDescent="0.35">
      <c r="B74" s="44" t="s">
        <v>204</v>
      </c>
      <c r="C74" s="43">
        <f>'Italy Crunch Outputs'!G77</f>
        <v>8.8877571509177241E-3</v>
      </c>
      <c r="D74" s="43">
        <f>'Italy Crunch Outputs'!H77</f>
        <v>1.5680301004483279E-2</v>
      </c>
      <c r="E74" s="43">
        <f>'Italy Crunch Outputs'!I77</f>
        <v>1.691083454173364E-2</v>
      </c>
    </row>
    <row r="75" spans="2:5" s="36" customFormat="1" x14ac:dyDescent="0.3">
      <c r="B75" s="56" t="s">
        <v>24</v>
      </c>
      <c r="C75" s="60">
        <f>'Italy Crunch Outputs'!G63</f>
        <v>342</v>
      </c>
      <c r="D75" s="60">
        <f>'Italy Crunch Outputs'!H63</f>
        <v>405</v>
      </c>
      <c r="E75" s="60">
        <f>'Italy Crunch Outputs'!I63</f>
        <v>379</v>
      </c>
    </row>
    <row r="76" spans="2:5" x14ac:dyDescent="0.35">
      <c r="B76" s="27"/>
      <c r="C76" s="33"/>
      <c r="D76" s="33"/>
      <c r="E76" s="33"/>
    </row>
    <row r="77" spans="2:5" x14ac:dyDescent="0.35">
      <c r="B77" s="99" t="s">
        <v>46</v>
      </c>
      <c r="C77" s="39" t="s">
        <v>22</v>
      </c>
      <c r="D77" s="39" t="s">
        <v>22</v>
      </c>
      <c r="E77" s="39" t="s">
        <v>22</v>
      </c>
    </row>
    <row r="78" spans="2:5" x14ac:dyDescent="0.35">
      <c r="B78" s="100"/>
      <c r="C78" s="40">
        <f>'Italy Crunch Outputs'!G116</f>
        <v>39.055305885663977</v>
      </c>
      <c r="D78" s="40">
        <f>'Italy Crunch Outputs'!H116</f>
        <v>37.424714615734302</v>
      </c>
      <c r="E78" s="40">
        <f>'Italy Crunch Outputs'!I116</f>
        <v>39.030946134876729</v>
      </c>
    </row>
    <row r="79" spans="2:5" x14ac:dyDescent="0.35">
      <c r="B79" s="41" t="s">
        <v>336</v>
      </c>
      <c r="C79" s="42">
        <f>'Italy Crunch Outputs'!G102</f>
        <v>0.48367957794295408</v>
      </c>
      <c r="D79" s="42">
        <f>'Italy Crunch Outputs'!H102</f>
        <v>0.47072627787502502</v>
      </c>
      <c r="E79" s="42">
        <f>'Italy Crunch Outputs'!I102</f>
        <v>0.48816751490647281</v>
      </c>
    </row>
    <row r="80" spans="2:5" x14ac:dyDescent="0.35">
      <c r="B80" s="41" t="s">
        <v>194</v>
      </c>
      <c r="C80" s="42">
        <f>'Italy Crunch Outputs'!G103</f>
        <v>0.42319390297073117</v>
      </c>
      <c r="D80" s="42">
        <f>'Italy Crunch Outputs'!H103</f>
        <v>0.43279459040729279</v>
      </c>
      <c r="E80" s="42">
        <f>'Italy Crunch Outputs'!I103</f>
        <v>0.41397443153582142</v>
      </c>
    </row>
    <row r="81" spans="2:5" x14ac:dyDescent="0.35">
      <c r="B81" s="41" t="s">
        <v>195</v>
      </c>
      <c r="C81" s="42">
        <f>'Italy Crunch Outputs'!G104</f>
        <v>9.3126519086314474E-2</v>
      </c>
      <c r="D81" s="42">
        <f>'Italy Crunch Outputs'!H104</f>
        <v>9.6479131717682007E-2</v>
      </c>
      <c r="E81" s="42">
        <f>'Italy Crunch Outputs'!I104</f>
        <v>9.7858053557705688E-2</v>
      </c>
    </row>
    <row r="82" spans="2:5" x14ac:dyDescent="0.35">
      <c r="B82" s="28" t="s">
        <v>196</v>
      </c>
      <c r="C82" s="43">
        <f>'Italy Crunch Outputs'!G105</f>
        <v>0.25296779214677262</v>
      </c>
      <c r="D82" s="43">
        <f>'Italy Crunch Outputs'!H105</f>
        <v>0.2436059227498025</v>
      </c>
      <c r="E82" s="43">
        <f>'Italy Crunch Outputs'!I105</f>
        <v>0.25757044913938909</v>
      </c>
    </row>
    <row r="83" spans="2:5" x14ac:dyDescent="0.35">
      <c r="B83" s="28" t="s">
        <v>197</v>
      </c>
      <c r="C83" s="43">
        <f>'Italy Crunch Outputs'!G106</f>
        <v>0.2307117857961816</v>
      </c>
      <c r="D83" s="43">
        <f>'Italy Crunch Outputs'!H106</f>
        <v>0.2271203551252225</v>
      </c>
      <c r="E83" s="43">
        <f>'Italy Crunch Outputs'!I106</f>
        <v>0.23059706576708369</v>
      </c>
    </row>
    <row r="84" spans="2:5" x14ac:dyDescent="0.35">
      <c r="B84" s="28" t="s">
        <v>198</v>
      </c>
      <c r="C84" s="43">
        <f>'Italy Crunch Outputs'!G107</f>
        <v>0.2793104709351259</v>
      </c>
      <c r="D84" s="43">
        <f>'Italy Crunch Outputs'!H107</f>
        <v>0.27567393920620581</v>
      </c>
      <c r="E84" s="43">
        <f>'Italy Crunch Outputs'!I107</f>
        <v>0.26286328079665211</v>
      </c>
    </row>
    <row r="85" spans="2:5" x14ac:dyDescent="0.35">
      <c r="B85" s="28" t="s">
        <v>199</v>
      </c>
      <c r="C85" s="43">
        <f>'Italy Crunch Outputs'!G108</f>
        <v>0.1438834320356053</v>
      </c>
      <c r="D85" s="43">
        <f>'Italy Crunch Outputs'!H108</f>
        <v>0.15712065120108701</v>
      </c>
      <c r="E85" s="43">
        <f>'Italy Crunch Outputs'!I108</f>
        <v>0.15111115073916939</v>
      </c>
    </row>
    <row r="86" spans="2:5" x14ac:dyDescent="0.35">
      <c r="B86" s="28" t="s">
        <v>200</v>
      </c>
      <c r="C86" s="43">
        <f>'Italy Crunch Outputs'!G109</f>
        <v>4.8755760168824241E-2</v>
      </c>
      <c r="D86" s="43">
        <f>'Italy Crunch Outputs'!H109</f>
        <v>4.3076733421328221E-2</v>
      </c>
      <c r="E86" s="43">
        <f>'Italy Crunch Outputs'!I109</f>
        <v>5.1677068607196557E-2</v>
      </c>
    </row>
    <row r="87" spans="2:5" x14ac:dyDescent="0.35">
      <c r="B87" s="44" t="s">
        <v>201</v>
      </c>
      <c r="C87" s="43">
        <f>'Italy Crunch Outputs'!G110</f>
        <v>1.0797312856662369E-2</v>
      </c>
      <c r="D87" s="43">
        <f>'Italy Crunch Outputs'!H110</f>
        <v>1.459665650138223E-2</v>
      </c>
      <c r="E87" s="43">
        <f>'Italy Crunch Outputs'!I110</f>
        <v>1.0484380219808071E-2</v>
      </c>
    </row>
    <row r="88" spans="2:5" x14ac:dyDescent="0.35">
      <c r="B88" s="44" t="s">
        <v>202</v>
      </c>
      <c r="C88" s="43">
        <f>'Italy Crunch Outputs'!G111</f>
        <v>1.14847638340626E-2</v>
      </c>
      <c r="D88" s="43">
        <f>'Italy Crunch Outputs'!H111</f>
        <v>1.014702895357926E-2</v>
      </c>
      <c r="E88" s="43">
        <f>'Italy Crunch Outputs'!I111</f>
        <v>4.3753375888287089E-3</v>
      </c>
    </row>
    <row r="89" spans="2:5" x14ac:dyDescent="0.35">
      <c r="B89" s="44">
        <v>3</v>
      </c>
      <c r="C89" s="43">
        <f>'Italy Crunch Outputs'!G112</f>
        <v>6.4053315528477209E-3</v>
      </c>
      <c r="D89" s="43">
        <f>'Italy Crunch Outputs'!H112</f>
        <v>9.8976859154642424E-3</v>
      </c>
      <c r="E89" s="43">
        <f>'Italy Crunch Outputs'!I112</f>
        <v>4.6194176687719196E-3</v>
      </c>
    </row>
    <row r="90" spans="2:5" x14ac:dyDescent="0.35">
      <c r="B90" s="44">
        <v>2</v>
      </c>
      <c r="C90" s="43">
        <f>'Italy Crunch Outputs'!G113</f>
        <v>6.8905440809906978E-3</v>
      </c>
      <c r="D90" s="43">
        <f>'Italy Crunch Outputs'!H113</f>
        <v>6.0879397526970259E-3</v>
      </c>
      <c r="E90" s="43">
        <f>'Italy Crunch Outputs'!I113</f>
        <v>6.635159635736956E-3</v>
      </c>
    </row>
    <row r="91" spans="2:5" x14ac:dyDescent="0.35">
      <c r="B91" s="44" t="s">
        <v>203</v>
      </c>
      <c r="C91" s="43">
        <f>'Italy Crunch Outputs'!G114</f>
        <v>4.2116636337355432E-3</v>
      </c>
      <c r="D91" s="43">
        <f>'Italy Crunch Outputs'!H114</f>
        <v>8.6255515931322572E-3</v>
      </c>
      <c r="E91" s="43">
        <f>'Italy Crunch Outputs'!I114</f>
        <v>1.5655337919272799E-2</v>
      </c>
    </row>
    <row r="92" spans="2:5" x14ac:dyDescent="0.35">
      <c r="B92" s="44" t="s">
        <v>204</v>
      </c>
      <c r="C92" s="43">
        <f>'Italy Crunch Outputs'!G115</f>
        <v>4.58114295919132E-3</v>
      </c>
      <c r="D92" s="43">
        <f>'Italy Crunch Outputs'!H115</f>
        <v>4.0475355800987838E-3</v>
      </c>
      <c r="E92" s="43">
        <f>'Italy Crunch Outputs'!I115</f>
        <v>4.4113519180906937E-3</v>
      </c>
    </row>
    <row r="93" spans="2:5" s="36" customFormat="1" x14ac:dyDescent="0.3">
      <c r="B93" s="56" t="s">
        <v>24</v>
      </c>
      <c r="C93" s="60">
        <f>'Italy Crunch Outputs'!G101</f>
        <v>176</v>
      </c>
      <c r="D93" s="60">
        <f>'Italy Crunch Outputs'!H101</f>
        <v>200</v>
      </c>
      <c r="E93" s="60">
        <f>'Italy Crunch Outputs'!I101</f>
        <v>184</v>
      </c>
    </row>
    <row r="94" spans="2:5" x14ac:dyDescent="0.35">
      <c r="B94" s="27"/>
      <c r="C94" s="33"/>
      <c r="D94" s="33"/>
      <c r="E94" s="33"/>
    </row>
    <row r="95" spans="2:5" x14ac:dyDescent="0.35">
      <c r="B95" s="99" t="s">
        <v>100</v>
      </c>
      <c r="C95" s="39" t="s">
        <v>22</v>
      </c>
      <c r="D95" s="39" t="s">
        <v>22</v>
      </c>
      <c r="E95" s="39" t="s">
        <v>22</v>
      </c>
    </row>
    <row r="96" spans="2:5" x14ac:dyDescent="0.35">
      <c r="B96" s="100"/>
      <c r="C96" s="40">
        <f>'Italy Crunch Outputs'!G40</f>
        <v>34.563509016012347</v>
      </c>
      <c r="D96" s="40">
        <f>'Italy Crunch Outputs'!H40</f>
        <v>34.874190079009288</v>
      </c>
      <c r="E96" s="40">
        <f>'Italy Crunch Outputs'!I40</f>
        <v>30.505965150742099</v>
      </c>
    </row>
    <row r="97" spans="2:5" x14ac:dyDescent="0.35">
      <c r="B97" s="41" t="s">
        <v>336</v>
      </c>
      <c r="C97" s="42">
        <f>'Italy Crunch Outputs'!G26</f>
        <v>0.48823294083215152</v>
      </c>
      <c r="D97" s="42">
        <f>'Italy Crunch Outputs'!H26</f>
        <v>0.49215915509231711</v>
      </c>
      <c r="E97" s="42">
        <f>'Italy Crunch Outputs'!I26</f>
        <v>0.48576448651125259</v>
      </c>
    </row>
    <row r="98" spans="2:5" x14ac:dyDescent="0.35">
      <c r="B98" s="41" t="s">
        <v>194</v>
      </c>
      <c r="C98" s="42">
        <f>'Italy Crunch Outputs'!G27</f>
        <v>0.36916920849582008</v>
      </c>
      <c r="D98" s="42">
        <f>'Italy Crunch Outputs'!H27</f>
        <v>0.36442359060545848</v>
      </c>
      <c r="E98" s="42">
        <f>'Italy Crunch Outputs'!I27</f>
        <v>0.33353067848491558</v>
      </c>
    </row>
    <row r="99" spans="2:5" x14ac:dyDescent="0.35">
      <c r="B99" s="41" t="s">
        <v>195</v>
      </c>
      <c r="C99" s="42">
        <f>'Italy Crunch Outputs'!G28</f>
        <v>0.1425978506720281</v>
      </c>
      <c r="D99" s="42">
        <f>'Italy Crunch Outputs'!H28</f>
        <v>0.1434172543022243</v>
      </c>
      <c r="E99" s="42">
        <f>'Italy Crunch Outputs'!I28</f>
        <v>0.18070483500383169</v>
      </c>
    </row>
    <row r="100" spans="2:5" x14ac:dyDescent="0.35">
      <c r="B100" s="28" t="s">
        <v>196</v>
      </c>
      <c r="C100" s="43">
        <f>'Italy Crunch Outputs'!G29</f>
        <v>0.23673886867997451</v>
      </c>
      <c r="D100" s="43">
        <f>'Italy Crunch Outputs'!H29</f>
        <v>0.24249495225674619</v>
      </c>
      <c r="E100" s="43">
        <f>'Italy Crunch Outputs'!I29</f>
        <v>0.25573439745412913</v>
      </c>
    </row>
    <row r="101" spans="2:5" x14ac:dyDescent="0.35">
      <c r="B101" s="28" t="s">
        <v>197</v>
      </c>
      <c r="C101" s="43">
        <f>'Italy Crunch Outputs'!G30</f>
        <v>0.25149407215217701</v>
      </c>
      <c r="D101" s="43">
        <f>'Italy Crunch Outputs'!H30</f>
        <v>0.24966420283557089</v>
      </c>
      <c r="E101" s="43">
        <f>'Italy Crunch Outputs'!I30</f>
        <v>0.23003008905712349</v>
      </c>
    </row>
    <row r="102" spans="2:5" x14ac:dyDescent="0.35">
      <c r="B102" s="28" t="s">
        <v>198</v>
      </c>
      <c r="C102" s="43">
        <f>'Italy Crunch Outputs'!G31</f>
        <v>0.25082276336891018</v>
      </c>
      <c r="D102" s="43">
        <f>'Italy Crunch Outputs'!H31</f>
        <v>0.24507709379788109</v>
      </c>
      <c r="E102" s="43">
        <f>'Italy Crunch Outputs'!I31</f>
        <v>0.22920891001193061</v>
      </c>
    </row>
    <row r="103" spans="2:5" x14ac:dyDescent="0.35">
      <c r="B103" s="28" t="s">
        <v>199</v>
      </c>
      <c r="C103" s="43">
        <f>'Italy Crunch Outputs'!G32</f>
        <v>0.11834644512691</v>
      </c>
      <c r="D103" s="43">
        <f>'Italy Crunch Outputs'!H32</f>
        <v>0.1193464968075774</v>
      </c>
      <c r="E103" s="43">
        <f>'Italy Crunch Outputs'!I32</f>
        <v>0.10432176847298499</v>
      </c>
    </row>
    <row r="104" spans="2:5" x14ac:dyDescent="0.35">
      <c r="B104" s="28" t="s">
        <v>200</v>
      </c>
      <c r="C104" s="43">
        <f>'Italy Crunch Outputs'!G33</f>
        <v>6.7562723093679194E-2</v>
      </c>
      <c r="D104" s="43">
        <f>'Italy Crunch Outputs'!H33</f>
        <v>7.1650764068530715E-2</v>
      </c>
      <c r="E104" s="43">
        <f>'Italy Crunch Outputs'!I33</f>
        <v>9.1970293590714902E-2</v>
      </c>
    </row>
    <row r="105" spans="2:5" x14ac:dyDescent="0.35">
      <c r="B105" s="44" t="s">
        <v>201</v>
      </c>
      <c r="C105" s="43">
        <f>'Italy Crunch Outputs'!G34</f>
        <v>3.5290918385245472E-2</v>
      </c>
      <c r="D105" s="43">
        <f>'Italy Crunch Outputs'!H34</f>
        <v>3.102563072640515E-2</v>
      </c>
      <c r="E105" s="43">
        <f>'Italy Crunch Outputs'!I34</f>
        <v>5.3920835384314858E-2</v>
      </c>
    </row>
    <row r="106" spans="2:5" x14ac:dyDescent="0.35">
      <c r="B106" s="44" t="s">
        <v>202</v>
      </c>
      <c r="C106" s="43">
        <f>'Italy Crunch Outputs'!G35</f>
        <v>7.8421821935229959E-3</v>
      </c>
      <c r="D106" s="43">
        <f>'Italy Crunch Outputs'!H35</f>
        <v>9.9147415882620722E-3</v>
      </c>
      <c r="E106" s="43">
        <f>'Italy Crunch Outputs'!I35</f>
        <v>6.8650575885992821E-3</v>
      </c>
    </row>
    <row r="107" spans="2:5" x14ac:dyDescent="0.35">
      <c r="B107" s="44">
        <v>3</v>
      </c>
      <c r="C107" s="43">
        <f>'Italy Crunch Outputs'!G36</f>
        <v>1.2979048916302281E-2</v>
      </c>
      <c r="D107" s="43">
        <f>'Italy Crunch Outputs'!H36</f>
        <v>1.419018558519675E-2</v>
      </c>
      <c r="E107" s="43">
        <f>'Italy Crunch Outputs'!I36</f>
        <v>1.514985070782685E-2</v>
      </c>
    </row>
    <row r="108" spans="2:5" x14ac:dyDescent="0.35">
      <c r="B108" s="44">
        <v>2</v>
      </c>
      <c r="C108" s="43">
        <f>'Italy Crunch Outputs'!G37</f>
        <v>4.574978437679237E-3</v>
      </c>
      <c r="D108" s="43">
        <f>'Italy Crunch Outputs'!H37</f>
        <v>4.0220430094572244E-3</v>
      </c>
      <c r="E108" s="43">
        <f>'Italy Crunch Outputs'!I37</f>
        <v>3.086138389294865E-3</v>
      </c>
    </row>
    <row r="109" spans="2:5" x14ac:dyDescent="0.35">
      <c r="B109" s="44" t="s">
        <v>203</v>
      </c>
      <c r="C109" s="43">
        <f>'Italy Crunch Outputs'!G38</f>
        <v>1.434799964559889E-2</v>
      </c>
      <c r="D109" s="43">
        <f>'Italy Crunch Outputs'!H38</f>
        <v>1.2613889324372331E-2</v>
      </c>
      <c r="E109" s="43">
        <f>'Italy Crunch Outputs'!I38</f>
        <v>9.7126593430809285E-3</v>
      </c>
    </row>
    <row r="110" spans="2:5" x14ac:dyDescent="0.35">
      <c r="B110" s="44" t="s">
        <v>204</v>
      </c>
      <c r="C110" s="43">
        <f>'Italy Crunch Outputs'!G39</f>
        <v>0</v>
      </c>
      <c r="D110" s="43">
        <f>'Italy Crunch Outputs'!H39</f>
        <v>0</v>
      </c>
      <c r="E110" s="43">
        <f>'Italy Crunch Outputs'!I39</f>
        <v>0</v>
      </c>
    </row>
    <row r="111" spans="2:5" s="36" customFormat="1" x14ac:dyDescent="0.3">
      <c r="B111" s="56" t="s">
        <v>24</v>
      </c>
      <c r="C111" s="60">
        <f>'Italy Crunch Outputs'!G25</f>
        <v>274</v>
      </c>
      <c r="D111" s="60">
        <f>'Italy Crunch Outputs'!H25</f>
        <v>311</v>
      </c>
      <c r="E111" s="60">
        <f>'Italy Crunch Outputs'!I25</f>
        <v>293</v>
      </c>
    </row>
    <row r="112" spans="2:5" x14ac:dyDescent="0.35">
      <c r="B112" s="27"/>
      <c r="C112" s="33"/>
      <c r="D112" s="33"/>
      <c r="E112" s="33"/>
    </row>
    <row r="113" spans="2:5" x14ac:dyDescent="0.35">
      <c r="B113" s="99" t="s">
        <v>101</v>
      </c>
      <c r="C113" s="39" t="s">
        <v>22</v>
      </c>
      <c r="D113" s="39" t="s">
        <v>22</v>
      </c>
      <c r="E113" s="39" t="s">
        <v>22</v>
      </c>
    </row>
    <row r="114" spans="2:5" x14ac:dyDescent="0.35">
      <c r="B114" s="100"/>
      <c r="C114" s="40" t="s">
        <v>43</v>
      </c>
      <c r="D114" s="40" t="s">
        <v>43</v>
      </c>
      <c r="E114" s="40" t="s">
        <v>43</v>
      </c>
    </row>
    <row r="115" spans="2:5" x14ac:dyDescent="0.35">
      <c r="B115" s="41" t="s">
        <v>336</v>
      </c>
      <c r="C115" s="42" t="s">
        <v>43</v>
      </c>
      <c r="D115" s="42" t="s">
        <v>43</v>
      </c>
      <c r="E115" s="42" t="s">
        <v>43</v>
      </c>
    </row>
    <row r="116" spans="2:5" x14ac:dyDescent="0.35">
      <c r="B116" s="41" t="s">
        <v>194</v>
      </c>
      <c r="C116" s="42" t="s">
        <v>43</v>
      </c>
      <c r="D116" s="42" t="s">
        <v>43</v>
      </c>
      <c r="E116" s="42" t="s">
        <v>43</v>
      </c>
    </row>
    <row r="117" spans="2:5" x14ac:dyDescent="0.35">
      <c r="B117" s="41" t="s">
        <v>195</v>
      </c>
      <c r="C117" s="42" t="s">
        <v>43</v>
      </c>
      <c r="D117" s="42" t="s">
        <v>43</v>
      </c>
      <c r="E117" s="42" t="s">
        <v>43</v>
      </c>
    </row>
    <row r="118" spans="2:5" x14ac:dyDescent="0.35">
      <c r="B118" s="28" t="s">
        <v>196</v>
      </c>
      <c r="C118" s="43" t="s">
        <v>43</v>
      </c>
      <c r="D118" s="43" t="s">
        <v>43</v>
      </c>
      <c r="E118" s="43" t="s">
        <v>43</v>
      </c>
    </row>
    <row r="119" spans="2:5" x14ac:dyDescent="0.35">
      <c r="B119" s="44">
        <v>9</v>
      </c>
      <c r="C119" s="43" t="s">
        <v>43</v>
      </c>
      <c r="D119" s="43" t="s">
        <v>43</v>
      </c>
      <c r="E119" s="43" t="s">
        <v>43</v>
      </c>
    </row>
    <row r="120" spans="2:5" x14ac:dyDescent="0.35">
      <c r="B120" s="44">
        <v>8</v>
      </c>
      <c r="C120" s="43" t="s">
        <v>43</v>
      </c>
      <c r="D120" s="43" t="s">
        <v>43</v>
      </c>
      <c r="E120" s="43" t="s">
        <v>43</v>
      </c>
    </row>
    <row r="121" spans="2:5" x14ac:dyDescent="0.35">
      <c r="B121" s="44">
        <v>7</v>
      </c>
      <c r="C121" s="43" t="s">
        <v>43</v>
      </c>
      <c r="D121" s="43" t="s">
        <v>43</v>
      </c>
      <c r="E121" s="43" t="s">
        <v>43</v>
      </c>
    </row>
    <row r="122" spans="2:5" x14ac:dyDescent="0.35">
      <c r="B122" s="44">
        <v>6</v>
      </c>
      <c r="C122" s="43" t="s">
        <v>43</v>
      </c>
      <c r="D122" s="43" t="s">
        <v>43</v>
      </c>
      <c r="E122" s="43" t="s">
        <v>43</v>
      </c>
    </row>
    <row r="123" spans="2:5" x14ac:dyDescent="0.35">
      <c r="B123" s="44">
        <v>5</v>
      </c>
      <c r="C123" s="43" t="s">
        <v>43</v>
      </c>
      <c r="D123" s="43" t="s">
        <v>43</v>
      </c>
      <c r="E123" s="43" t="s">
        <v>43</v>
      </c>
    </row>
    <row r="124" spans="2:5" x14ac:dyDescent="0.35">
      <c r="B124" s="44">
        <v>4</v>
      </c>
      <c r="C124" s="43" t="s">
        <v>43</v>
      </c>
      <c r="D124" s="43" t="s">
        <v>43</v>
      </c>
      <c r="E124" s="43" t="s">
        <v>43</v>
      </c>
    </row>
    <row r="125" spans="2:5" x14ac:dyDescent="0.35">
      <c r="B125" s="44">
        <v>3</v>
      </c>
      <c r="C125" s="43" t="s">
        <v>43</v>
      </c>
      <c r="D125" s="43" t="s">
        <v>43</v>
      </c>
      <c r="E125" s="43" t="s">
        <v>43</v>
      </c>
    </row>
    <row r="126" spans="2:5" x14ac:dyDescent="0.35">
      <c r="B126" s="44">
        <v>2</v>
      </c>
      <c r="C126" s="43" t="s">
        <v>43</v>
      </c>
      <c r="D126" s="43" t="s">
        <v>43</v>
      </c>
      <c r="E126" s="43" t="s">
        <v>43</v>
      </c>
    </row>
    <row r="127" spans="2:5" x14ac:dyDescent="0.35">
      <c r="B127" s="44">
        <v>1</v>
      </c>
      <c r="C127" s="43" t="s">
        <v>43</v>
      </c>
      <c r="D127" s="43" t="s">
        <v>43</v>
      </c>
      <c r="E127" s="43" t="s">
        <v>43</v>
      </c>
    </row>
    <row r="128" spans="2:5" x14ac:dyDescent="0.35">
      <c r="B128" s="44" t="s">
        <v>204</v>
      </c>
      <c r="C128" s="43" t="s">
        <v>43</v>
      </c>
      <c r="D128" s="43" t="s">
        <v>43</v>
      </c>
      <c r="E128" s="43" t="s">
        <v>43</v>
      </c>
    </row>
    <row r="129" spans="2:5" s="36" customFormat="1" x14ac:dyDescent="0.3">
      <c r="B129" s="56" t="s">
        <v>24</v>
      </c>
      <c r="C129" s="60">
        <f>'Italy Crunch Outputs'!G44</f>
        <v>59</v>
      </c>
      <c r="D129" s="60">
        <f>'Italy Crunch Outputs'!H44</f>
        <v>65</v>
      </c>
      <c r="E129" s="60">
        <f>'Italy Crunch Outputs'!I44</f>
        <v>66</v>
      </c>
    </row>
    <row r="130" spans="2:5" x14ac:dyDescent="0.35">
      <c r="B130" s="27"/>
      <c r="C130" s="33"/>
      <c r="D130" s="33"/>
      <c r="E130" s="33"/>
    </row>
    <row r="131" spans="2:5" x14ac:dyDescent="0.35">
      <c r="B131" s="99" t="s">
        <v>305</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'Italy Crunch Outputs'!G158</f>
        <v>28</v>
      </c>
      <c r="D147" s="60">
        <f>'Italy Crunch Outputs'!H158</f>
        <v>31</v>
      </c>
      <c r="E147" s="60">
        <f>'Italy Crunch Outputs'!I158</f>
        <v>34</v>
      </c>
    </row>
    <row r="148" spans="2:5" x14ac:dyDescent="0.35">
      <c r="B148" s="27"/>
      <c r="C148" s="33"/>
      <c r="D148" s="33"/>
      <c r="E148" s="33"/>
    </row>
    <row r="149" spans="2:5" x14ac:dyDescent="0.35">
      <c r="B149" s="99" t="s">
        <v>334</v>
      </c>
      <c r="C149" s="39" t="s">
        <v>22</v>
      </c>
      <c r="D149" s="39" t="s">
        <v>22</v>
      </c>
      <c r="E149" s="39" t="s">
        <v>22</v>
      </c>
    </row>
    <row r="150" spans="2:5" x14ac:dyDescent="0.35">
      <c r="B150" s="100"/>
      <c r="C150" s="40" t="s">
        <v>43</v>
      </c>
      <c r="D150" s="40" t="s">
        <v>43</v>
      </c>
      <c r="E150" s="40"/>
    </row>
    <row r="151" spans="2:5" x14ac:dyDescent="0.35">
      <c r="B151" s="41" t="s">
        <v>336</v>
      </c>
      <c r="C151" s="42" t="s">
        <v>43</v>
      </c>
      <c r="D151" s="42" t="s">
        <v>43</v>
      </c>
      <c r="E151" s="42"/>
    </row>
    <row r="152" spans="2:5" x14ac:dyDescent="0.35">
      <c r="B152" s="41" t="s">
        <v>194</v>
      </c>
      <c r="C152" s="42" t="s">
        <v>43</v>
      </c>
      <c r="D152" s="42" t="s">
        <v>43</v>
      </c>
      <c r="E152" s="42"/>
    </row>
    <row r="153" spans="2:5" x14ac:dyDescent="0.35">
      <c r="B153" s="41" t="s">
        <v>195</v>
      </c>
      <c r="C153" s="42" t="s">
        <v>43</v>
      </c>
      <c r="D153" s="42" t="s">
        <v>43</v>
      </c>
      <c r="E153" s="42"/>
    </row>
    <row r="154" spans="2:5" x14ac:dyDescent="0.35">
      <c r="B154" s="28" t="s">
        <v>196</v>
      </c>
      <c r="C154" s="43" t="s">
        <v>43</v>
      </c>
      <c r="D154" s="43" t="s">
        <v>43</v>
      </c>
      <c r="E154" s="43"/>
    </row>
    <row r="155" spans="2:5" x14ac:dyDescent="0.35">
      <c r="B155" s="44">
        <v>9</v>
      </c>
      <c r="C155" s="43" t="s">
        <v>43</v>
      </c>
      <c r="D155" s="43" t="s">
        <v>43</v>
      </c>
      <c r="E155" s="43"/>
    </row>
    <row r="156" spans="2:5" x14ac:dyDescent="0.35">
      <c r="B156" s="44">
        <v>8</v>
      </c>
      <c r="C156" s="43" t="s">
        <v>43</v>
      </c>
      <c r="D156" s="43" t="s">
        <v>43</v>
      </c>
      <c r="E156" s="43"/>
    </row>
    <row r="157" spans="2:5" x14ac:dyDescent="0.35">
      <c r="B157" s="44">
        <v>7</v>
      </c>
      <c r="C157" s="43" t="s">
        <v>43</v>
      </c>
      <c r="D157" s="43" t="s">
        <v>43</v>
      </c>
      <c r="E157" s="43"/>
    </row>
    <row r="158" spans="2:5" x14ac:dyDescent="0.35">
      <c r="B158" s="44">
        <v>6</v>
      </c>
      <c r="C158" s="43" t="s">
        <v>43</v>
      </c>
      <c r="D158" s="43" t="s">
        <v>43</v>
      </c>
      <c r="E158" s="43"/>
    </row>
    <row r="159" spans="2:5" x14ac:dyDescent="0.35">
      <c r="B159" s="44">
        <v>5</v>
      </c>
      <c r="C159" s="43" t="s">
        <v>43</v>
      </c>
      <c r="D159" s="43" t="s">
        <v>43</v>
      </c>
      <c r="E159" s="43"/>
    </row>
    <row r="160" spans="2:5" x14ac:dyDescent="0.35">
      <c r="B160" s="44">
        <v>4</v>
      </c>
      <c r="C160" s="43" t="s">
        <v>43</v>
      </c>
      <c r="D160" s="43" t="s">
        <v>43</v>
      </c>
      <c r="E160" s="43"/>
    </row>
    <row r="161" spans="2:5" x14ac:dyDescent="0.35">
      <c r="B161" s="44">
        <v>3</v>
      </c>
      <c r="C161" s="43" t="s">
        <v>43</v>
      </c>
      <c r="D161" s="43" t="s">
        <v>43</v>
      </c>
      <c r="E161" s="43"/>
    </row>
    <row r="162" spans="2:5" x14ac:dyDescent="0.35">
      <c r="B162" s="44">
        <v>2</v>
      </c>
      <c r="C162" s="43" t="s">
        <v>43</v>
      </c>
      <c r="D162" s="43" t="s">
        <v>43</v>
      </c>
      <c r="E162" s="43"/>
    </row>
    <row r="163" spans="2:5" x14ac:dyDescent="0.35">
      <c r="B163" s="44">
        <v>1</v>
      </c>
      <c r="C163" s="43" t="s">
        <v>43</v>
      </c>
      <c r="D163" s="43" t="s">
        <v>43</v>
      </c>
      <c r="E163" s="43"/>
    </row>
    <row r="164" spans="2:5" x14ac:dyDescent="0.35">
      <c r="B164" s="44" t="s">
        <v>204</v>
      </c>
      <c r="C164" s="43" t="s">
        <v>43</v>
      </c>
      <c r="D164" s="43" t="s">
        <v>43</v>
      </c>
      <c r="E164" s="43"/>
    </row>
    <row r="165" spans="2:5" s="36" customFormat="1" x14ac:dyDescent="0.3">
      <c r="B165" s="56" t="s">
        <v>24</v>
      </c>
      <c r="C165" s="60">
        <f>'Italy Crunch Outputs'!G214</f>
        <v>15</v>
      </c>
      <c r="D165" s="60">
        <f>'Italy Crunch Outputs'!H214</f>
        <v>17</v>
      </c>
      <c r="E165" s="60"/>
    </row>
    <row r="166" spans="2:5" x14ac:dyDescent="0.35">
      <c r="B166" s="27"/>
      <c r="C166" s="33"/>
      <c r="D166" s="33"/>
      <c r="E166" s="33"/>
    </row>
    <row r="167" spans="2:5" x14ac:dyDescent="0.35">
      <c r="B167" s="99" t="s">
        <v>103</v>
      </c>
      <c r="C167" s="39" t="s">
        <v>22</v>
      </c>
      <c r="D167" s="39" t="s">
        <v>22</v>
      </c>
      <c r="E167" s="39"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'Italy Crunch Outputs'!G82</f>
        <v>66</v>
      </c>
      <c r="D183" s="60">
        <f>'Italy Crunch Outputs'!H82</f>
        <v>76</v>
      </c>
      <c r="E183" s="60">
        <f>'Italy Crunch Outputs'!I82</f>
        <v>73</v>
      </c>
    </row>
    <row r="184" spans="2:5" x14ac:dyDescent="0.35">
      <c r="B184" s="27"/>
      <c r="C184" s="33"/>
      <c r="D184" s="33"/>
      <c r="E184" s="33"/>
    </row>
    <row r="185" spans="2:5" x14ac:dyDescent="0.35">
      <c r="B185" s="99" t="s">
        <v>104</v>
      </c>
      <c r="C185" s="39" t="s">
        <v>22</v>
      </c>
      <c r="D185" s="39" t="s">
        <v>22</v>
      </c>
      <c r="E185" s="39" t="s">
        <v>22</v>
      </c>
    </row>
    <row r="186" spans="2:5" x14ac:dyDescent="0.35">
      <c r="B186" s="100"/>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x14ac:dyDescent="0.3">
      <c r="B201" s="56" t="s">
        <v>24</v>
      </c>
      <c r="C201" s="60">
        <f>'Italy Crunch Outputs'!G289</f>
        <v>14</v>
      </c>
      <c r="D201" s="60">
        <f>'Italy Crunch Outputs'!H289</f>
        <v>17</v>
      </c>
      <c r="E201" s="60">
        <f>'Italy Crunch Outputs'!I289</f>
        <v>16</v>
      </c>
    </row>
    <row r="202" spans="2:5" x14ac:dyDescent="0.35">
      <c r="B202" s="27"/>
      <c r="C202" s="33"/>
      <c r="D202" s="33"/>
      <c r="E202" s="33"/>
    </row>
    <row r="203" spans="2:5" x14ac:dyDescent="0.35">
      <c r="B203" s="99" t="s">
        <v>105</v>
      </c>
      <c r="C203" s="39" t="s">
        <v>22</v>
      </c>
      <c r="D203" s="39" t="s">
        <v>22</v>
      </c>
      <c r="E203" s="39" t="s">
        <v>22</v>
      </c>
    </row>
    <row r="204" spans="2:5" x14ac:dyDescent="0.35">
      <c r="B204" s="100"/>
      <c r="C204" s="40">
        <f>'Italy Crunch Outputs'!G323</f>
        <v>52.946870531966319</v>
      </c>
      <c r="D204" s="40">
        <f>'Italy Crunch Outputs'!H323</f>
        <v>55.465108954296987</v>
      </c>
      <c r="E204" s="40">
        <f>'Italy Crunch Outputs'!I323</f>
        <v>53.249661798579027</v>
      </c>
    </row>
    <row r="205" spans="2:5" x14ac:dyDescent="0.35">
      <c r="B205" s="41" t="s">
        <v>336</v>
      </c>
      <c r="C205" s="42">
        <f>'Italy Crunch Outputs'!G309</f>
        <v>0.56906984661986415</v>
      </c>
      <c r="D205" s="42">
        <f>'Italy Crunch Outputs'!H309</f>
        <v>0.59410240638807843</v>
      </c>
      <c r="E205" s="42">
        <f>'Italy Crunch Outputs'!I309</f>
        <v>0.57511201839572601</v>
      </c>
    </row>
    <row r="206" spans="2:5" x14ac:dyDescent="0.35">
      <c r="B206" s="41" t="s">
        <v>194</v>
      </c>
      <c r="C206" s="42">
        <f>'Italy Crunch Outputs'!G310</f>
        <v>0.39132901207993492</v>
      </c>
      <c r="D206" s="42">
        <f>'Italy Crunch Outputs'!H310</f>
        <v>0.36644627676681329</v>
      </c>
      <c r="E206" s="42">
        <f>'Italy Crunch Outputs'!I310</f>
        <v>0.38227258119433838</v>
      </c>
    </row>
    <row r="207" spans="2:5" x14ac:dyDescent="0.35">
      <c r="B207" s="41" t="s">
        <v>195</v>
      </c>
      <c r="C207" s="42">
        <f>'Italy Crunch Outputs'!G311</f>
        <v>3.9601141300200982E-2</v>
      </c>
      <c r="D207" s="42">
        <f>'Italy Crunch Outputs'!H311</f>
        <v>3.9451316845108372E-2</v>
      </c>
      <c r="E207" s="42">
        <f>'Italy Crunch Outputs'!I311</f>
        <v>4.2615400409935583E-2</v>
      </c>
    </row>
    <row r="208" spans="2:5" x14ac:dyDescent="0.35">
      <c r="B208" s="28" t="s">
        <v>196</v>
      </c>
      <c r="C208" s="43">
        <f>'Italy Crunch Outputs'!G312</f>
        <v>0.33678085939958352</v>
      </c>
      <c r="D208" s="43">
        <f>'Italy Crunch Outputs'!H312</f>
        <v>0.37041259031036822</v>
      </c>
      <c r="E208" s="43">
        <f>'Italy Crunch Outputs'!I312</f>
        <v>0.34703697006497819</v>
      </c>
    </row>
    <row r="209" spans="2:5" x14ac:dyDescent="0.35">
      <c r="B209" s="44">
        <v>9</v>
      </c>
      <c r="C209" s="43">
        <f>'Italy Crunch Outputs'!G313</f>
        <v>0.2322889872202806</v>
      </c>
      <c r="D209" s="43">
        <f>'Italy Crunch Outputs'!H313</f>
        <v>0.22368981607771021</v>
      </c>
      <c r="E209" s="43">
        <f>'Italy Crunch Outputs'!I313</f>
        <v>0.2280750483307479</v>
      </c>
    </row>
    <row r="210" spans="2:5" x14ac:dyDescent="0.35">
      <c r="B210" s="44">
        <v>8</v>
      </c>
      <c r="C210" s="43">
        <f>'Italy Crunch Outputs'!G314</f>
        <v>0.2766093641909359</v>
      </c>
      <c r="D210" s="43">
        <f>'Italy Crunch Outputs'!H314</f>
        <v>0.26384125544625048</v>
      </c>
      <c r="E210" s="43">
        <f>'Italy Crunch Outputs'!I314</f>
        <v>0.25326629084989583</v>
      </c>
    </row>
    <row r="211" spans="2:5" x14ac:dyDescent="0.35">
      <c r="B211" s="44">
        <v>7</v>
      </c>
      <c r="C211" s="43">
        <f>'Italy Crunch Outputs'!G315</f>
        <v>0.11471964788899899</v>
      </c>
      <c r="D211" s="43">
        <f>'Italy Crunch Outputs'!H315</f>
        <v>0.10260502132056271</v>
      </c>
      <c r="E211" s="43">
        <f>'Italy Crunch Outputs'!I315</f>
        <v>0.12900629034444269</v>
      </c>
    </row>
    <row r="212" spans="2:5" x14ac:dyDescent="0.35">
      <c r="B212" s="44">
        <v>6</v>
      </c>
      <c r="C212" s="43">
        <f>'Italy Crunch Outputs'!G316</f>
        <v>2.3952004212289772E-2</v>
      </c>
      <c r="D212" s="43">
        <f>'Italy Crunch Outputs'!H316</f>
        <v>2.0035472967416559E-2</v>
      </c>
      <c r="E212" s="43">
        <f>'Italy Crunch Outputs'!I316</f>
        <v>1.4724520929682801E-2</v>
      </c>
    </row>
    <row r="213" spans="2:5" x14ac:dyDescent="0.35">
      <c r="B213" s="44">
        <v>5</v>
      </c>
      <c r="C213" s="43">
        <f>'Italy Crunch Outputs'!G317</f>
        <v>1.564913708791121E-2</v>
      </c>
      <c r="D213" s="43">
        <f>'Italy Crunch Outputs'!H317</f>
        <v>1.941584387769181E-2</v>
      </c>
      <c r="E213" s="43">
        <f>'Italy Crunch Outputs'!I317</f>
        <v>2.7890879480252789E-2</v>
      </c>
    </row>
    <row r="214" spans="2:5" x14ac:dyDescent="0.35">
      <c r="B214" s="44">
        <v>4</v>
      </c>
      <c r="C214" s="43">
        <f>'Italy Crunch Outputs'!G318</f>
        <v>0</v>
      </c>
      <c r="D214" s="43">
        <f>'Italy Crunch Outputs'!H318</f>
        <v>0</v>
      </c>
      <c r="E214" s="43">
        <f>'Italy Crunch Outputs'!I318</f>
        <v>0</v>
      </c>
    </row>
    <row r="215" spans="2:5" x14ac:dyDescent="0.35">
      <c r="B215" s="44">
        <v>3</v>
      </c>
      <c r="C215" s="43">
        <f>'Italy Crunch Outputs'!G319</f>
        <v>0</v>
      </c>
      <c r="D215" s="43">
        <f>'Italy Crunch Outputs'!H319</f>
        <v>0</v>
      </c>
      <c r="E215" s="43">
        <f>'Italy Crunch Outputs'!I319</f>
        <v>0</v>
      </c>
    </row>
    <row r="216" spans="2:5" x14ac:dyDescent="0.35">
      <c r="B216" s="44">
        <v>2</v>
      </c>
      <c r="C216" s="43">
        <f>'Italy Crunch Outputs'!G320</f>
        <v>0</v>
      </c>
      <c r="D216" s="43">
        <f>'Italy Crunch Outputs'!H320</f>
        <v>0</v>
      </c>
      <c r="E216" s="43">
        <f>'Italy Crunch Outputs'!I320</f>
        <v>0</v>
      </c>
    </row>
    <row r="217" spans="2:5" x14ac:dyDescent="0.35">
      <c r="B217" s="44">
        <v>1</v>
      </c>
      <c r="C217" s="43">
        <f>'Italy Crunch Outputs'!G321</f>
        <v>0</v>
      </c>
      <c r="D217" s="43">
        <f>'Italy Crunch Outputs'!H321</f>
        <v>0</v>
      </c>
      <c r="E217" s="43">
        <f>'Italy Crunch Outputs'!I321</f>
        <v>0</v>
      </c>
    </row>
    <row r="218" spans="2:5" x14ac:dyDescent="0.35">
      <c r="B218" s="44" t="s">
        <v>204</v>
      </c>
      <c r="C218" s="43">
        <f>'Italy Crunch Outputs'!G322</f>
        <v>0</v>
      </c>
      <c r="D218" s="43">
        <f>'Italy Crunch Outputs'!H322</f>
        <v>0</v>
      </c>
      <c r="E218" s="43">
        <f>'Italy Crunch Outputs'!I322</f>
        <v>0</v>
      </c>
    </row>
    <row r="219" spans="2:5" s="36" customFormat="1" x14ac:dyDescent="0.3">
      <c r="B219" s="56" t="s">
        <v>24</v>
      </c>
      <c r="C219" s="60">
        <f>'Italy Crunch Outputs'!G308</f>
        <v>128</v>
      </c>
      <c r="D219" s="60">
        <f>'Italy Crunch Outputs'!H308</f>
        <v>152</v>
      </c>
      <c r="E219" s="60">
        <f>'Italy Crunch Outputs'!I308</f>
        <v>146</v>
      </c>
    </row>
    <row r="220" spans="2:5" x14ac:dyDescent="0.35">
      <c r="B220" s="27"/>
      <c r="C220" s="33"/>
      <c r="D220" s="33"/>
      <c r="E220" s="33"/>
    </row>
    <row r="221" spans="2:5" x14ac:dyDescent="0.35">
      <c r="B221" s="99" t="s">
        <v>335</v>
      </c>
      <c r="C221" s="39" t="s">
        <v>22</v>
      </c>
      <c r="D221" s="39" t="s">
        <v>22</v>
      </c>
      <c r="E221" s="39" t="s">
        <v>22</v>
      </c>
    </row>
    <row r="222" spans="2:5" x14ac:dyDescent="0.35">
      <c r="B222" s="100"/>
      <c r="C222" s="40" t="s">
        <v>43</v>
      </c>
      <c r="D222" s="40" t="s">
        <v>43</v>
      </c>
      <c r="E222" s="40" t="s">
        <v>43</v>
      </c>
    </row>
    <row r="223" spans="2:5" x14ac:dyDescent="0.35">
      <c r="B223" s="41" t="s">
        <v>336</v>
      </c>
      <c r="C223" s="42" t="s">
        <v>43</v>
      </c>
      <c r="D223" s="42" t="s">
        <v>43</v>
      </c>
      <c r="E223" s="42" t="s">
        <v>43</v>
      </c>
    </row>
    <row r="224" spans="2:5" x14ac:dyDescent="0.35">
      <c r="B224" s="41" t="s">
        <v>194</v>
      </c>
      <c r="C224" s="42" t="s">
        <v>43</v>
      </c>
      <c r="D224" s="42" t="s">
        <v>43</v>
      </c>
      <c r="E224" s="42" t="s">
        <v>43</v>
      </c>
    </row>
    <row r="225" spans="2:5" x14ac:dyDescent="0.35">
      <c r="B225" s="41" t="s">
        <v>195</v>
      </c>
      <c r="C225" s="42" t="s">
        <v>43</v>
      </c>
      <c r="D225" s="42" t="s">
        <v>43</v>
      </c>
      <c r="E225" s="42" t="s">
        <v>43</v>
      </c>
    </row>
    <row r="226" spans="2:5" x14ac:dyDescent="0.35">
      <c r="B226" s="28" t="s">
        <v>196</v>
      </c>
      <c r="C226" s="43" t="s">
        <v>43</v>
      </c>
      <c r="D226" s="43" t="s">
        <v>43</v>
      </c>
      <c r="E226" s="43" t="s">
        <v>43</v>
      </c>
    </row>
    <row r="227" spans="2:5" x14ac:dyDescent="0.35">
      <c r="B227" s="44">
        <v>9</v>
      </c>
      <c r="C227" s="43" t="s">
        <v>43</v>
      </c>
      <c r="D227" s="43" t="s">
        <v>43</v>
      </c>
      <c r="E227" s="43" t="s">
        <v>43</v>
      </c>
    </row>
    <row r="228" spans="2:5" x14ac:dyDescent="0.35">
      <c r="B228" s="44">
        <v>8</v>
      </c>
      <c r="C228" s="43" t="s">
        <v>43</v>
      </c>
      <c r="D228" s="43" t="s">
        <v>43</v>
      </c>
      <c r="E228" s="43" t="s">
        <v>43</v>
      </c>
    </row>
    <row r="229" spans="2:5" x14ac:dyDescent="0.35">
      <c r="B229" s="44">
        <v>7</v>
      </c>
      <c r="C229" s="43" t="s">
        <v>43</v>
      </c>
      <c r="D229" s="43" t="s">
        <v>43</v>
      </c>
      <c r="E229" s="43" t="s">
        <v>43</v>
      </c>
    </row>
    <row r="230" spans="2:5" x14ac:dyDescent="0.35">
      <c r="B230" s="44">
        <v>6</v>
      </c>
      <c r="C230" s="43" t="s">
        <v>43</v>
      </c>
      <c r="D230" s="43" t="s">
        <v>43</v>
      </c>
      <c r="E230" s="43" t="s">
        <v>43</v>
      </c>
    </row>
    <row r="231" spans="2:5" x14ac:dyDescent="0.35">
      <c r="B231" s="44">
        <v>5</v>
      </c>
      <c r="C231" s="43" t="s">
        <v>43</v>
      </c>
      <c r="D231" s="43" t="s">
        <v>43</v>
      </c>
      <c r="E231" s="43" t="s">
        <v>43</v>
      </c>
    </row>
    <row r="232" spans="2:5" x14ac:dyDescent="0.35">
      <c r="B232" s="44">
        <v>4</v>
      </c>
      <c r="C232" s="43" t="s">
        <v>43</v>
      </c>
      <c r="D232" s="43" t="s">
        <v>43</v>
      </c>
      <c r="E232" s="43" t="s">
        <v>43</v>
      </c>
    </row>
    <row r="233" spans="2:5" x14ac:dyDescent="0.35">
      <c r="B233" s="44">
        <v>3</v>
      </c>
      <c r="C233" s="43" t="s">
        <v>43</v>
      </c>
      <c r="D233" s="43" t="s">
        <v>43</v>
      </c>
      <c r="E233" s="43" t="s">
        <v>43</v>
      </c>
    </row>
    <row r="234" spans="2:5" x14ac:dyDescent="0.35">
      <c r="B234" s="44">
        <v>2</v>
      </c>
      <c r="C234" s="43" t="s">
        <v>43</v>
      </c>
      <c r="D234" s="43" t="s">
        <v>43</v>
      </c>
      <c r="E234" s="43" t="s">
        <v>43</v>
      </c>
    </row>
    <row r="235" spans="2:5" x14ac:dyDescent="0.35">
      <c r="B235" s="44">
        <v>1</v>
      </c>
      <c r="C235" s="43" t="s">
        <v>43</v>
      </c>
      <c r="D235" s="43" t="s">
        <v>43</v>
      </c>
      <c r="E235" s="43" t="s">
        <v>43</v>
      </c>
    </row>
    <row r="236" spans="2:5" x14ac:dyDescent="0.35">
      <c r="B236" s="44" t="s">
        <v>204</v>
      </c>
      <c r="C236" s="43" t="s">
        <v>43</v>
      </c>
      <c r="D236" s="43" t="s">
        <v>43</v>
      </c>
      <c r="E236" s="43" t="s">
        <v>43</v>
      </c>
    </row>
    <row r="237" spans="2:5" s="36" customFormat="1" x14ac:dyDescent="0.3">
      <c r="B237" s="56" t="s">
        <v>24</v>
      </c>
      <c r="C237" s="60">
        <f>'Italy Crunch Outputs'!G251</f>
        <v>21</v>
      </c>
      <c r="D237" s="60">
        <f>'Italy Crunch Outputs'!H251</f>
        <v>24</v>
      </c>
      <c r="E237" s="60">
        <f>'Italy Crunch Outputs'!I251</f>
        <v>21</v>
      </c>
    </row>
    <row r="238" spans="2:5" x14ac:dyDescent="0.35">
      <c r="B238" s="27"/>
      <c r="C238" s="33"/>
      <c r="D238" s="33"/>
      <c r="E238" s="33"/>
    </row>
    <row r="239" spans="2:5" x14ac:dyDescent="0.35">
      <c r="B239" s="99" t="s">
        <v>107</v>
      </c>
      <c r="C239" s="39" t="s">
        <v>22</v>
      </c>
      <c r="D239" s="39" t="s">
        <v>22</v>
      </c>
      <c r="E239" s="39" t="s">
        <v>22</v>
      </c>
    </row>
    <row r="240" spans="2:5" x14ac:dyDescent="0.35">
      <c r="B240" s="100"/>
      <c r="C240" s="40" t="s">
        <v>43</v>
      </c>
      <c r="D240" s="40" t="s">
        <v>43</v>
      </c>
      <c r="E240" s="40" t="s">
        <v>43</v>
      </c>
    </row>
    <row r="241" spans="2:5" x14ac:dyDescent="0.35">
      <c r="B241" s="41" t="s">
        <v>336</v>
      </c>
      <c r="C241" s="42" t="s">
        <v>43</v>
      </c>
      <c r="D241" s="42" t="s">
        <v>43</v>
      </c>
      <c r="E241" s="42" t="s">
        <v>43</v>
      </c>
    </row>
    <row r="242" spans="2:5" x14ac:dyDescent="0.35">
      <c r="B242" s="41" t="s">
        <v>194</v>
      </c>
      <c r="C242" s="42" t="s">
        <v>43</v>
      </c>
      <c r="D242" s="42" t="s">
        <v>43</v>
      </c>
      <c r="E242" s="42" t="s">
        <v>43</v>
      </c>
    </row>
    <row r="243" spans="2:5" x14ac:dyDescent="0.35">
      <c r="B243" s="41" t="s">
        <v>195</v>
      </c>
      <c r="C243" s="42" t="s">
        <v>43</v>
      </c>
      <c r="D243" s="42" t="s">
        <v>43</v>
      </c>
      <c r="E243" s="42" t="s">
        <v>43</v>
      </c>
    </row>
    <row r="244" spans="2:5" x14ac:dyDescent="0.35">
      <c r="B244" s="28" t="s">
        <v>196</v>
      </c>
      <c r="C244" s="43" t="s">
        <v>43</v>
      </c>
      <c r="D244" s="43" t="s">
        <v>43</v>
      </c>
      <c r="E244" s="43" t="s">
        <v>43</v>
      </c>
    </row>
    <row r="245" spans="2:5" x14ac:dyDescent="0.35">
      <c r="B245" s="44">
        <v>9</v>
      </c>
      <c r="C245" s="43" t="s">
        <v>43</v>
      </c>
      <c r="D245" s="43" t="s">
        <v>43</v>
      </c>
      <c r="E245" s="43" t="s">
        <v>43</v>
      </c>
    </row>
    <row r="246" spans="2:5" x14ac:dyDescent="0.35">
      <c r="B246" s="44">
        <v>8</v>
      </c>
      <c r="C246" s="43" t="s">
        <v>43</v>
      </c>
      <c r="D246" s="43" t="s">
        <v>43</v>
      </c>
      <c r="E246" s="43" t="s">
        <v>43</v>
      </c>
    </row>
    <row r="247" spans="2:5" x14ac:dyDescent="0.35">
      <c r="B247" s="44">
        <v>7</v>
      </c>
      <c r="C247" s="43" t="s">
        <v>43</v>
      </c>
      <c r="D247" s="43" t="s">
        <v>43</v>
      </c>
      <c r="E247" s="43" t="s">
        <v>43</v>
      </c>
    </row>
    <row r="248" spans="2:5" x14ac:dyDescent="0.35">
      <c r="B248" s="44">
        <v>6</v>
      </c>
      <c r="C248" s="43" t="s">
        <v>43</v>
      </c>
      <c r="D248" s="43" t="s">
        <v>43</v>
      </c>
      <c r="E248" s="43" t="s">
        <v>43</v>
      </c>
    </row>
    <row r="249" spans="2:5" x14ac:dyDescent="0.35">
      <c r="B249" s="44">
        <v>5</v>
      </c>
      <c r="C249" s="43" t="s">
        <v>43</v>
      </c>
      <c r="D249" s="43" t="s">
        <v>43</v>
      </c>
      <c r="E249" s="43" t="s">
        <v>43</v>
      </c>
    </row>
    <row r="250" spans="2:5" x14ac:dyDescent="0.35">
      <c r="B250" s="44">
        <v>4</v>
      </c>
      <c r="C250" s="43" t="s">
        <v>43</v>
      </c>
      <c r="D250" s="43" t="s">
        <v>43</v>
      </c>
      <c r="E250" s="43" t="s">
        <v>43</v>
      </c>
    </row>
    <row r="251" spans="2:5" x14ac:dyDescent="0.35">
      <c r="B251" s="44">
        <v>3</v>
      </c>
      <c r="C251" s="43" t="s">
        <v>43</v>
      </c>
      <c r="D251" s="43" t="s">
        <v>43</v>
      </c>
      <c r="E251" s="43" t="s">
        <v>43</v>
      </c>
    </row>
    <row r="252" spans="2:5" x14ac:dyDescent="0.35">
      <c r="B252" s="44">
        <v>2</v>
      </c>
      <c r="C252" s="43" t="s">
        <v>43</v>
      </c>
      <c r="D252" s="43" t="s">
        <v>43</v>
      </c>
      <c r="E252" s="43" t="s">
        <v>43</v>
      </c>
    </row>
    <row r="253" spans="2:5" x14ac:dyDescent="0.35">
      <c r="B253" s="44">
        <v>1</v>
      </c>
      <c r="C253" s="43" t="s">
        <v>43</v>
      </c>
      <c r="D253" s="43" t="s">
        <v>43</v>
      </c>
      <c r="E253" s="43" t="s">
        <v>43</v>
      </c>
    </row>
    <row r="254" spans="2:5" x14ac:dyDescent="0.35">
      <c r="B254" s="44" t="s">
        <v>204</v>
      </c>
      <c r="C254" s="43" t="s">
        <v>43</v>
      </c>
      <c r="D254" s="43" t="s">
        <v>43</v>
      </c>
      <c r="E254" s="43" t="s">
        <v>43</v>
      </c>
    </row>
    <row r="255" spans="2:5" s="36" customFormat="1" ht="15" thickBot="1" x14ac:dyDescent="0.35">
      <c r="B255" s="57" t="s">
        <v>24</v>
      </c>
      <c r="C255" s="61">
        <f>'Italy Crunch Outputs'!G270</f>
        <v>18</v>
      </c>
      <c r="D255" s="61">
        <f>'Italy Crunch Outputs'!H270</f>
        <v>21</v>
      </c>
      <c r="E255" s="61">
        <f>'Italy Crunch Outputs'!I270</f>
        <v>19</v>
      </c>
    </row>
    <row r="256" spans="2:5" x14ac:dyDescent="0.35">
      <c r="C256" s="48"/>
      <c r="D256" s="48"/>
      <c r="E256" s="48"/>
    </row>
    <row r="257" spans="2:5" x14ac:dyDescent="0.35">
      <c r="B257" s="99" t="s">
        <v>69</v>
      </c>
      <c r="C257" s="39" t="s">
        <v>22</v>
      </c>
      <c r="D257" s="39" t="s">
        <v>22</v>
      </c>
      <c r="E257" s="39" t="s">
        <v>22</v>
      </c>
    </row>
    <row r="258" spans="2:5" x14ac:dyDescent="0.35">
      <c r="B258" s="100"/>
      <c r="C258" s="40" t="s">
        <v>43</v>
      </c>
      <c r="D258" s="40" t="s">
        <v>43</v>
      </c>
      <c r="E258" s="40" t="s">
        <v>43</v>
      </c>
    </row>
    <row r="259" spans="2:5" x14ac:dyDescent="0.35">
      <c r="B259" s="41" t="s">
        <v>336</v>
      </c>
      <c r="C259" s="42" t="s">
        <v>43</v>
      </c>
      <c r="D259" s="42" t="s">
        <v>43</v>
      </c>
      <c r="E259" s="42" t="s">
        <v>43</v>
      </c>
    </row>
    <row r="260" spans="2:5" x14ac:dyDescent="0.35">
      <c r="B260" s="41" t="s">
        <v>194</v>
      </c>
      <c r="C260" s="42" t="s">
        <v>43</v>
      </c>
      <c r="D260" s="42" t="s">
        <v>43</v>
      </c>
      <c r="E260" s="42" t="s">
        <v>43</v>
      </c>
    </row>
    <row r="261" spans="2:5" x14ac:dyDescent="0.35">
      <c r="B261" s="41" t="s">
        <v>195</v>
      </c>
      <c r="C261" s="42" t="s">
        <v>43</v>
      </c>
      <c r="D261" s="42" t="s">
        <v>43</v>
      </c>
      <c r="E261" s="42" t="s">
        <v>43</v>
      </c>
    </row>
    <row r="262" spans="2:5" x14ac:dyDescent="0.35">
      <c r="B262" s="28" t="s">
        <v>196</v>
      </c>
      <c r="C262" s="43" t="s">
        <v>43</v>
      </c>
      <c r="D262" s="43" t="s">
        <v>43</v>
      </c>
      <c r="E262" s="43" t="s">
        <v>43</v>
      </c>
    </row>
    <row r="263" spans="2:5" x14ac:dyDescent="0.35">
      <c r="B263" s="44">
        <v>9</v>
      </c>
      <c r="C263" s="43" t="s">
        <v>43</v>
      </c>
      <c r="D263" s="43" t="s">
        <v>43</v>
      </c>
      <c r="E263" s="43" t="s">
        <v>43</v>
      </c>
    </row>
    <row r="264" spans="2:5" x14ac:dyDescent="0.35">
      <c r="B264" s="44">
        <v>8</v>
      </c>
      <c r="C264" s="43" t="s">
        <v>43</v>
      </c>
      <c r="D264" s="43" t="s">
        <v>43</v>
      </c>
      <c r="E264" s="43" t="s">
        <v>43</v>
      </c>
    </row>
    <row r="265" spans="2:5" x14ac:dyDescent="0.35">
      <c r="B265" s="44">
        <v>7</v>
      </c>
      <c r="C265" s="43" t="s">
        <v>43</v>
      </c>
      <c r="D265" s="43" t="s">
        <v>43</v>
      </c>
      <c r="E265" s="43" t="s">
        <v>43</v>
      </c>
    </row>
    <row r="266" spans="2:5" x14ac:dyDescent="0.35">
      <c r="B266" s="44">
        <v>6</v>
      </c>
      <c r="C266" s="43" t="s">
        <v>43</v>
      </c>
      <c r="D266" s="43" t="s">
        <v>43</v>
      </c>
      <c r="E266" s="43" t="s">
        <v>43</v>
      </c>
    </row>
    <row r="267" spans="2:5" x14ac:dyDescent="0.35">
      <c r="B267" s="44">
        <v>5</v>
      </c>
      <c r="C267" s="43" t="s">
        <v>43</v>
      </c>
      <c r="D267" s="43" t="s">
        <v>43</v>
      </c>
      <c r="E267" s="43" t="s">
        <v>43</v>
      </c>
    </row>
    <row r="268" spans="2:5" x14ac:dyDescent="0.35">
      <c r="B268" s="44">
        <v>4</v>
      </c>
      <c r="C268" s="43" t="s">
        <v>43</v>
      </c>
      <c r="D268" s="43" t="s">
        <v>43</v>
      </c>
      <c r="E268" s="43" t="s">
        <v>43</v>
      </c>
    </row>
    <row r="269" spans="2:5" x14ac:dyDescent="0.35">
      <c r="B269" s="44">
        <v>3</v>
      </c>
      <c r="C269" s="43" t="s">
        <v>43</v>
      </c>
      <c r="D269" s="43" t="s">
        <v>43</v>
      </c>
      <c r="E269" s="43" t="s">
        <v>43</v>
      </c>
    </row>
    <row r="270" spans="2:5" x14ac:dyDescent="0.35">
      <c r="B270" s="44">
        <v>2</v>
      </c>
      <c r="C270" s="43" t="s">
        <v>43</v>
      </c>
      <c r="D270" s="43" t="s">
        <v>43</v>
      </c>
      <c r="E270" s="43" t="s">
        <v>43</v>
      </c>
    </row>
    <row r="271" spans="2:5" x14ac:dyDescent="0.35">
      <c r="B271" s="44">
        <v>1</v>
      </c>
      <c r="C271" s="43" t="s">
        <v>43</v>
      </c>
      <c r="D271" s="43" t="s">
        <v>43</v>
      </c>
      <c r="E271" s="43" t="s">
        <v>43</v>
      </c>
    </row>
    <row r="272" spans="2:5" x14ac:dyDescent="0.35">
      <c r="B272" s="44" t="s">
        <v>204</v>
      </c>
      <c r="C272" s="43" t="s">
        <v>43</v>
      </c>
      <c r="D272" s="43" t="s">
        <v>43</v>
      </c>
      <c r="E272" s="43" t="s">
        <v>43</v>
      </c>
    </row>
    <row r="273" spans="2:5" s="36" customFormat="1" ht="15" thickBot="1" x14ac:dyDescent="0.35">
      <c r="B273" s="57" t="s">
        <v>24</v>
      </c>
      <c r="C273" s="61">
        <f>'Italy Crunch Outputs'!G327</f>
        <v>28</v>
      </c>
      <c r="D273" s="61">
        <f>'Italy Crunch Outputs'!H327</f>
        <v>32</v>
      </c>
      <c r="E273" s="61">
        <f>'Italy Crunch Outputs'!I327</f>
        <v>33</v>
      </c>
    </row>
    <row r="275" spans="2:5" x14ac:dyDescent="0.35">
      <c r="B275" s="99" t="s">
        <v>436</v>
      </c>
      <c r="C275" s="39" t="s">
        <v>22</v>
      </c>
      <c r="D275" s="39" t="s">
        <v>22</v>
      </c>
      <c r="E275" s="39" t="s">
        <v>22</v>
      </c>
    </row>
    <row r="276" spans="2:5" x14ac:dyDescent="0.35">
      <c r="B276" s="100"/>
      <c r="C276" s="40" t="s">
        <v>43</v>
      </c>
      <c r="D276" s="40" t="s">
        <v>43</v>
      </c>
      <c r="E276" s="40" t="s">
        <v>43</v>
      </c>
    </row>
    <row r="277" spans="2:5" x14ac:dyDescent="0.35">
      <c r="B277" s="41" t="s">
        <v>336</v>
      </c>
      <c r="C277" s="42" t="s">
        <v>43</v>
      </c>
      <c r="D277" s="42" t="s">
        <v>43</v>
      </c>
      <c r="E277" s="42" t="s">
        <v>43</v>
      </c>
    </row>
    <row r="278" spans="2:5" x14ac:dyDescent="0.35">
      <c r="B278" s="41" t="s">
        <v>194</v>
      </c>
      <c r="C278" s="42" t="s">
        <v>43</v>
      </c>
      <c r="D278" s="42" t="s">
        <v>43</v>
      </c>
      <c r="E278" s="42" t="s">
        <v>43</v>
      </c>
    </row>
    <row r="279" spans="2:5" x14ac:dyDescent="0.35">
      <c r="B279" s="41" t="s">
        <v>195</v>
      </c>
      <c r="C279" s="42" t="s">
        <v>43</v>
      </c>
      <c r="D279" s="42" t="s">
        <v>43</v>
      </c>
      <c r="E279" s="42" t="s">
        <v>43</v>
      </c>
    </row>
    <row r="280" spans="2:5" x14ac:dyDescent="0.35">
      <c r="B280" s="28" t="s">
        <v>196</v>
      </c>
      <c r="C280" s="43" t="s">
        <v>43</v>
      </c>
      <c r="D280" s="43" t="s">
        <v>43</v>
      </c>
      <c r="E280" s="43" t="s">
        <v>43</v>
      </c>
    </row>
    <row r="281" spans="2:5" x14ac:dyDescent="0.35">
      <c r="B281" s="44">
        <v>9</v>
      </c>
      <c r="C281" s="43" t="s">
        <v>43</v>
      </c>
      <c r="D281" s="43" t="s">
        <v>43</v>
      </c>
      <c r="E281" s="43" t="s">
        <v>43</v>
      </c>
    </row>
    <row r="282" spans="2:5" x14ac:dyDescent="0.35">
      <c r="B282" s="44">
        <v>8</v>
      </c>
      <c r="C282" s="43" t="s">
        <v>43</v>
      </c>
      <c r="D282" s="43" t="s">
        <v>43</v>
      </c>
      <c r="E282" s="43" t="s">
        <v>43</v>
      </c>
    </row>
    <row r="283" spans="2:5" x14ac:dyDescent="0.35">
      <c r="B283" s="44">
        <v>7</v>
      </c>
      <c r="C283" s="43" t="s">
        <v>43</v>
      </c>
      <c r="D283" s="43" t="s">
        <v>43</v>
      </c>
      <c r="E283" s="43" t="s">
        <v>43</v>
      </c>
    </row>
    <row r="284" spans="2:5" x14ac:dyDescent="0.35">
      <c r="B284" s="44">
        <v>6</v>
      </c>
      <c r="C284" s="43" t="s">
        <v>43</v>
      </c>
      <c r="D284" s="43" t="s">
        <v>43</v>
      </c>
      <c r="E284" s="43" t="s">
        <v>43</v>
      </c>
    </row>
    <row r="285" spans="2:5" x14ac:dyDescent="0.35">
      <c r="B285" s="44">
        <v>5</v>
      </c>
      <c r="C285" s="43" t="s">
        <v>43</v>
      </c>
      <c r="D285" s="43" t="s">
        <v>43</v>
      </c>
      <c r="E285" s="43" t="s">
        <v>43</v>
      </c>
    </row>
    <row r="286" spans="2:5" x14ac:dyDescent="0.35">
      <c r="B286" s="44">
        <v>4</v>
      </c>
      <c r="C286" s="43" t="s">
        <v>43</v>
      </c>
      <c r="D286" s="43" t="s">
        <v>43</v>
      </c>
      <c r="E286" s="43" t="s">
        <v>43</v>
      </c>
    </row>
    <row r="287" spans="2:5" x14ac:dyDescent="0.35">
      <c r="B287" s="44">
        <v>3</v>
      </c>
      <c r="C287" s="43" t="s">
        <v>43</v>
      </c>
      <c r="D287" s="43" t="s">
        <v>43</v>
      </c>
      <c r="E287" s="43" t="s">
        <v>43</v>
      </c>
    </row>
    <row r="288" spans="2:5" x14ac:dyDescent="0.35">
      <c r="B288" s="44">
        <v>2</v>
      </c>
      <c r="C288" s="43" t="s">
        <v>43</v>
      </c>
      <c r="D288" s="43" t="s">
        <v>43</v>
      </c>
      <c r="E288" s="43" t="s">
        <v>43</v>
      </c>
    </row>
    <row r="289" spans="2:5" x14ac:dyDescent="0.35">
      <c r="B289" s="44">
        <v>1</v>
      </c>
      <c r="C289" s="43" t="s">
        <v>43</v>
      </c>
      <c r="D289" s="43" t="s">
        <v>43</v>
      </c>
      <c r="E289" s="43" t="s">
        <v>43</v>
      </c>
    </row>
    <row r="290" spans="2:5" x14ac:dyDescent="0.35">
      <c r="B290" s="44" t="s">
        <v>204</v>
      </c>
      <c r="C290" s="43" t="s">
        <v>43</v>
      </c>
      <c r="D290" s="43" t="s">
        <v>43</v>
      </c>
      <c r="E290" s="43" t="s">
        <v>43</v>
      </c>
    </row>
    <row r="291" spans="2:5" s="36" customFormat="1" ht="15" thickBot="1" x14ac:dyDescent="0.35">
      <c r="B291" s="57" t="s">
        <v>24</v>
      </c>
      <c r="C291" s="61">
        <f>'Italy Crunch Outputs'!G346</f>
        <v>29</v>
      </c>
      <c r="D291" s="61">
        <f>'Italy Crunch Outputs'!H346</f>
        <v>31</v>
      </c>
      <c r="E291" s="61">
        <f>'Italy Crunch Outputs'!I346</f>
        <v>25</v>
      </c>
    </row>
    <row r="293" spans="2:5" x14ac:dyDescent="0.35">
      <c r="B293" s="99" t="s">
        <v>451</v>
      </c>
      <c r="C293" s="39" t="s">
        <v>22</v>
      </c>
      <c r="D293" s="39" t="s">
        <v>22</v>
      </c>
      <c r="E293" s="39" t="s">
        <v>22</v>
      </c>
    </row>
    <row r="294" spans="2:5" x14ac:dyDescent="0.35">
      <c r="B294" s="100"/>
      <c r="C294" s="40" t="s">
        <v>43</v>
      </c>
      <c r="D294" s="40" t="s">
        <v>43</v>
      </c>
      <c r="E294" s="40" t="s">
        <v>43</v>
      </c>
    </row>
    <row r="295" spans="2:5" x14ac:dyDescent="0.35">
      <c r="B295" s="41" t="s">
        <v>336</v>
      </c>
      <c r="C295" s="42" t="s">
        <v>43</v>
      </c>
      <c r="D295" s="42" t="s">
        <v>43</v>
      </c>
      <c r="E295" s="42" t="s">
        <v>43</v>
      </c>
    </row>
    <row r="296" spans="2:5" x14ac:dyDescent="0.35">
      <c r="B296" s="41" t="s">
        <v>194</v>
      </c>
      <c r="C296" s="42" t="s">
        <v>43</v>
      </c>
      <c r="D296" s="42" t="s">
        <v>43</v>
      </c>
      <c r="E296" s="42" t="s">
        <v>43</v>
      </c>
    </row>
    <row r="297" spans="2:5" x14ac:dyDescent="0.35">
      <c r="B297" s="41" t="s">
        <v>195</v>
      </c>
      <c r="C297" s="42" t="s">
        <v>43</v>
      </c>
      <c r="D297" s="42" t="s">
        <v>43</v>
      </c>
      <c r="E297" s="42" t="s">
        <v>43</v>
      </c>
    </row>
    <row r="298" spans="2:5" x14ac:dyDescent="0.35">
      <c r="B298" s="28" t="s">
        <v>196</v>
      </c>
      <c r="C298" s="43" t="s">
        <v>43</v>
      </c>
      <c r="D298" s="43" t="s">
        <v>43</v>
      </c>
      <c r="E298" s="43" t="s">
        <v>43</v>
      </c>
    </row>
    <row r="299" spans="2:5" x14ac:dyDescent="0.35">
      <c r="B299" s="44">
        <v>9</v>
      </c>
      <c r="C299" s="43" t="s">
        <v>43</v>
      </c>
      <c r="D299" s="43" t="s">
        <v>43</v>
      </c>
      <c r="E299" s="43" t="s">
        <v>43</v>
      </c>
    </row>
    <row r="300" spans="2:5" x14ac:dyDescent="0.35">
      <c r="B300" s="44">
        <v>8</v>
      </c>
      <c r="C300" s="43" t="s">
        <v>43</v>
      </c>
      <c r="D300" s="43" t="s">
        <v>43</v>
      </c>
      <c r="E300" s="43" t="s">
        <v>43</v>
      </c>
    </row>
    <row r="301" spans="2:5" x14ac:dyDescent="0.35">
      <c r="B301" s="44">
        <v>7</v>
      </c>
      <c r="C301" s="43" t="s">
        <v>43</v>
      </c>
      <c r="D301" s="43" t="s">
        <v>43</v>
      </c>
      <c r="E301" s="43" t="s">
        <v>43</v>
      </c>
    </row>
    <row r="302" spans="2:5" x14ac:dyDescent="0.35">
      <c r="B302" s="44">
        <v>6</v>
      </c>
      <c r="C302" s="43" t="s">
        <v>43</v>
      </c>
      <c r="D302" s="43" t="s">
        <v>43</v>
      </c>
      <c r="E302" s="43" t="s">
        <v>43</v>
      </c>
    </row>
    <row r="303" spans="2:5" x14ac:dyDescent="0.35">
      <c r="B303" s="44">
        <v>5</v>
      </c>
      <c r="C303" s="43" t="s">
        <v>43</v>
      </c>
      <c r="D303" s="43" t="s">
        <v>43</v>
      </c>
      <c r="E303" s="43" t="s">
        <v>43</v>
      </c>
    </row>
    <row r="304" spans="2:5" x14ac:dyDescent="0.35">
      <c r="B304" s="44">
        <v>4</v>
      </c>
      <c r="C304" s="43" t="s">
        <v>43</v>
      </c>
      <c r="D304" s="43" t="s">
        <v>43</v>
      </c>
      <c r="E304" s="43" t="s">
        <v>43</v>
      </c>
    </row>
    <row r="305" spans="2:5" x14ac:dyDescent="0.35">
      <c r="B305" s="44">
        <v>3</v>
      </c>
      <c r="C305" s="43" t="s">
        <v>43</v>
      </c>
      <c r="D305" s="43" t="s">
        <v>43</v>
      </c>
      <c r="E305" s="43" t="s">
        <v>43</v>
      </c>
    </row>
    <row r="306" spans="2:5" x14ac:dyDescent="0.35">
      <c r="B306" s="44">
        <v>2</v>
      </c>
      <c r="C306" s="43" t="s">
        <v>43</v>
      </c>
      <c r="D306" s="43" t="s">
        <v>43</v>
      </c>
      <c r="E306" s="43" t="s">
        <v>43</v>
      </c>
    </row>
    <row r="307" spans="2:5" x14ac:dyDescent="0.35">
      <c r="B307" s="44">
        <v>1</v>
      </c>
      <c r="C307" s="43" t="s">
        <v>43</v>
      </c>
      <c r="D307" s="43" t="s">
        <v>43</v>
      </c>
      <c r="E307" s="43" t="s">
        <v>43</v>
      </c>
    </row>
    <row r="308" spans="2:5" x14ac:dyDescent="0.35">
      <c r="B308" s="44" t="s">
        <v>204</v>
      </c>
      <c r="C308" s="43" t="s">
        <v>43</v>
      </c>
      <c r="D308" s="43" t="s">
        <v>43</v>
      </c>
      <c r="E308" s="43" t="s">
        <v>43</v>
      </c>
    </row>
    <row r="309" spans="2:5" s="36" customFormat="1" ht="15" thickBot="1" x14ac:dyDescent="0.35">
      <c r="B309" s="57" t="s">
        <v>24</v>
      </c>
      <c r="C309" s="61">
        <f>'Italy Crunch Outputs'!G120</f>
        <v>25</v>
      </c>
      <c r="D309" s="61">
        <f>'Italy Crunch Outputs'!H120</f>
        <v>32</v>
      </c>
      <c r="E309" s="61">
        <f>'Italy Crunch Outputs'!I120</f>
        <v>29</v>
      </c>
    </row>
    <row r="311" spans="2:5" x14ac:dyDescent="0.35">
      <c r="B311" s="99" t="s">
        <v>620</v>
      </c>
      <c r="C311" s="39" t="s">
        <v>22</v>
      </c>
      <c r="D311" s="39" t="s">
        <v>22</v>
      </c>
      <c r="E311" s="39" t="s">
        <v>22</v>
      </c>
    </row>
    <row r="312" spans="2:5" x14ac:dyDescent="0.35">
      <c r="B312" s="100"/>
      <c r="C312" s="40">
        <f>'Italy Crunch Outputs'!G380</f>
        <v>0.61913311938593452</v>
      </c>
      <c r="D312" s="40">
        <f>'Italy Crunch Outputs'!H380</f>
        <v>4.0682766555890097</v>
      </c>
      <c r="E312" s="40">
        <f>'Italy Crunch Outputs'!I380</f>
        <v>3.8747150198853371</v>
      </c>
    </row>
    <row r="313" spans="2:5" x14ac:dyDescent="0.35">
      <c r="B313" s="41" t="s">
        <v>336</v>
      </c>
      <c r="C313" s="42">
        <f>'Italy Crunch Outputs'!G366</f>
        <v>0.30608588819840948</v>
      </c>
      <c r="D313" s="42">
        <f>'Italy Crunch Outputs'!H366</f>
        <v>0.324664355528754</v>
      </c>
      <c r="E313" s="42">
        <f>'Italy Crunch Outputs'!I366</f>
        <v>0.32368296062519092</v>
      </c>
    </row>
    <row r="314" spans="2:5" x14ac:dyDescent="0.35">
      <c r="B314" s="41" t="s">
        <v>194</v>
      </c>
      <c r="C314" s="42">
        <f>'Italy Crunch Outputs'!G367</f>
        <v>0.39401955479704059</v>
      </c>
      <c r="D314" s="42">
        <f>'Italy Crunch Outputs'!H367</f>
        <v>0.3913540554983822</v>
      </c>
      <c r="E314" s="42">
        <f>'Italy Crunch Outputs'!I367</f>
        <v>0.39138122894847149</v>
      </c>
    </row>
    <row r="315" spans="2:5" x14ac:dyDescent="0.35">
      <c r="B315" s="41" t="s">
        <v>195</v>
      </c>
      <c r="C315" s="42">
        <f>'Italy Crunch Outputs'!G368</f>
        <v>0.29989455700455009</v>
      </c>
      <c r="D315" s="42">
        <f>'Italy Crunch Outputs'!H368</f>
        <v>0.28398158897286391</v>
      </c>
      <c r="E315" s="42">
        <f>'Italy Crunch Outputs'!I368</f>
        <v>0.28493581042633748</v>
      </c>
    </row>
    <row r="316" spans="2:5" x14ac:dyDescent="0.35">
      <c r="B316" s="28" t="s">
        <v>196</v>
      </c>
      <c r="C316" s="43">
        <f>'Italy Crunch Outputs'!G369</f>
        <v>0.1473823911442832</v>
      </c>
      <c r="D316" s="43">
        <f>'Italy Crunch Outputs'!H369</f>
        <v>0.1651378646877357</v>
      </c>
      <c r="E316" s="43">
        <f>'Italy Crunch Outputs'!I369</f>
        <v>0.16733068556797781</v>
      </c>
    </row>
    <row r="317" spans="2:5" x14ac:dyDescent="0.35">
      <c r="B317" s="44">
        <v>9</v>
      </c>
      <c r="C317" s="43">
        <f>'Italy Crunch Outputs'!G370</f>
        <v>0.15870349705412631</v>
      </c>
      <c r="D317" s="43">
        <f>'Italy Crunch Outputs'!H370</f>
        <v>0.1595264908410183</v>
      </c>
      <c r="E317" s="43">
        <f>'Italy Crunch Outputs'!I370</f>
        <v>0.15635227505721311</v>
      </c>
    </row>
    <row r="318" spans="2:5" x14ac:dyDescent="0.35">
      <c r="B318" s="44">
        <v>8</v>
      </c>
      <c r="C318" s="43">
        <f>'Italy Crunch Outputs'!G371</f>
        <v>0.2262425204857218</v>
      </c>
      <c r="D318" s="43">
        <f>'Italy Crunch Outputs'!H371</f>
        <v>0.2128486784166318</v>
      </c>
      <c r="E318" s="43">
        <f>'Italy Crunch Outputs'!I371</f>
        <v>0.21354802070116441</v>
      </c>
    </row>
    <row r="319" spans="2:5" x14ac:dyDescent="0.35">
      <c r="B319" s="44">
        <v>7</v>
      </c>
      <c r="C319" s="43">
        <f>'Italy Crunch Outputs'!G372</f>
        <v>0.1677770343113188</v>
      </c>
      <c r="D319" s="43">
        <f>'Italy Crunch Outputs'!H372</f>
        <v>0.1785053770817504</v>
      </c>
      <c r="E319" s="43">
        <f>'Italy Crunch Outputs'!I372</f>
        <v>0.17783320824730711</v>
      </c>
    </row>
    <row r="320" spans="2:5" x14ac:dyDescent="0.35">
      <c r="B320" s="44">
        <v>6</v>
      </c>
      <c r="C320" s="43">
        <f>'Italy Crunch Outputs'!G373</f>
        <v>0.1034261006854766</v>
      </c>
      <c r="D320" s="43">
        <f>'Italy Crunch Outputs'!H373</f>
        <v>0.1111950595413936</v>
      </c>
      <c r="E320" s="43">
        <f>'Italy Crunch Outputs'!I373</f>
        <v>0.1089825297526627</v>
      </c>
    </row>
    <row r="321" spans="2:5" x14ac:dyDescent="0.35">
      <c r="B321" s="44">
        <v>5</v>
      </c>
      <c r="C321" s="43">
        <f>'Italy Crunch Outputs'!G374</f>
        <v>8.9476388915708263E-2</v>
      </c>
      <c r="D321" s="43">
        <f>'Italy Crunch Outputs'!H374</f>
        <v>7.5515688409653559E-2</v>
      </c>
      <c r="E321" s="43">
        <f>'Italy Crunch Outputs'!I374</f>
        <v>8.0617909035329754E-2</v>
      </c>
    </row>
    <row r="322" spans="2:5" x14ac:dyDescent="0.35">
      <c r="B322" s="44">
        <v>4</v>
      </c>
      <c r="C322" s="43">
        <f>'Italy Crunch Outputs'!G375</f>
        <v>2.4175990917084979E-2</v>
      </c>
      <c r="D322" s="43">
        <f>'Italy Crunch Outputs'!H375</f>
        <v>2.4117908765561968E-2</v>
      </c>
      <c r="E322" s="43">
        <f>'Italy Crunch Outputs'!I375</f>
        <v>2.363801701672185E-2</v>
      </c>
    </row>
    <row r="323" spans="2:5" x14ac:dyDescent="0.35">
      <c r="B323" s="44">
        <v>3</v>
      </c>
      <c r="C323" s="43">
        <f>'Italy Crunch Outputs'!G376</f>
        <v>2.2302696754493461E-2</v>
      </c>
      <c r="D323" s="43">
        <f>'Italy Crunch Outputs'!H376</f>
        <v>1.7479106076990391E-2</v>
      </c>
      <c r="E323" s="43">
        <f>'Italy Crunch Outputs'!I376</f>
        <v>1.7131311462416421E-2</v>
      </c>
    </row>
    <row r="324" spans="2:5" x14ac:dyDescent="0.35">
      <c r="B324" s="44">
        <v>2</v>
      </c>
      <c r="C324" s="43">
        <f>'Italy Crunch Outputs'!G377</f>
        <v>1.7485531300624722E-2</v>
      </c>
      <c r="D324" s="43">
        <f>'Italy Crunch Outputs'!H377</f>
        <v>1.655895902519652E-2</v>
      </c>
      <c r="E324" s="43">
        <f>'Italy Crunch Outputs'!I377</f>
        <v>1.622947325249469E-2</v>
      </c>
    </row>
    <row r="325" spans="2:5" x14ac:dyDescent="0.35">
      <c r="B325" s="44">
        <v>1</v>
      </c>
      <c r="C325" s="43">
        <f>'Italy Crunch Outputs'!G378</f>
        <v>1.2935743909321E-2</v>
      </c>
      <c r="D325" s="43">
        <f>'Italy Crunch Outputs'!H378</f>
        <v>1.0138022431312E-2</v>
      </c>
      <c r="E325" s="43">
        <f>'Italy Crunch Outputs'!I378</f>
        <v>9.9362987511358199E-3</v>
      </c>
    </row>
    <row r="326" spans="2:5" x14ac:dyDescent="0.35">
      <c r="B326" s="44" t="s">
        <v>204</v>
      </c>
      <c r="C326" s="43">
        <f>'Italy Crunch Outputs'!G379</f>
        <v>3.009210452184111E-2</v>
      </c>
      <c r="D326" s="43">
        <f>'Italy Crunch Outputs'!H379</f>
        <v>2.8976844722755891E-2</v>
      </c>
      <c r="E326" s="43">
        <f>'Italy Crunch Outputs'!I379</f>
        <v>2.840027115557631E-2</v>
      </c>
    </row>
    <row r="327" spans="2:5" s="36" customFormat="1" ht="15" thickBot="1" x14ac:dyDescent="0.35">
      <c r="B327" s="57" t="s">
        <v>24</v>
      </c>
      <c r="C327" s="61">
        <f>'Italy Crunch Outputs'!G365</f>
        <v>277</v>
      </c>
      <c r="D327" s="61">
        <f>'Italy Crunch Outputs'!H365</f>
        <v>356</v>
      </c>
      <c r="E327" s="61">
        <f>'Italy Crunch Outputs'!I365</f>
        <v>363</v>
      </c>
    </row>
    <row r="329" spans="2:5" x14ac:dyDescent="0.35">
      <c r="B329" s="99" t="s">
        <v>621</v>
      </c>
      <c r="C329" s="39" t="s">
        <v>22</v>
      </c>
      <c r="D329" s="39" t="s">
        <v>22</v>
      </c>
      <c r="E329" s="39" t="s">
        <v>22</v>
      </c>
    </row>
    <row r="330" spans="2:5" x14ac:dyDescent="0.35">
      <c r="B330" s="100"/>
      <c r="C330" s="40">
        <f>'Italy Crunch Outputs'!G399</f>
        <v>4.5772763985876326</v>
      </c>
      <c r="D330" s="40">
        <f>'Italy Crunch Outputs'!H399</f>
        <v>3.424548066675174</v>
      </c>
      <c r="E330" s="40">
        <f>'Italy Crunch Outputs'!I399</f>
        <v>4.0870436405550414</v>
      </c>
    </row>
    <row r="331" spans="2:5" x14ac:dyDescent="0.35">
      <c r="B331" s="41" t="s">
        <v>336</v>
      </c>
      <c r="C331" s="42">
        <f>'Italy Crunch Outputs'!G385</f>
        <v>0.3311676954575215</v>
      </c>
      <c r="D331" s="42">
        <f>'Italy Crunch Outputs'!H385</f>
        <v>0.33008836643325279</v>
      </c>
      <c r="E331" s="42">
        <f>'Italy Crunch Outputs'!I385</f>
        <v>0.33420073219475338</v>
      </c>
    </row>
    <row r="332" spans="2:5" x14ac:dyDescent="0.35">
      <c r="B332" s="41" t="s">
        <v>194</v>
      </c>
      <c r="C332" s="42">
        <f>'Italy Crunch Outputs'!G386</f>
        <v>0.3834373730708332</v>
      </c>
      <c r="D332" s="42">
        <f>'Italy Crunch Outputs'!H386</f>
        <v>0.3740687478002464</v>
      </c>
      <c r="E332" s="42">
        <f>'Italy Crunch Outputs'!I386</f>
        <v>0.3724689720160439</v>
      </c>
    </row>
    <row r="333" spans="2:5" x14ac:dyDescent="0.35">
      <c r="B333" s="41" t="s">
        <v>195</v>
      </c>
      <c r="C333" s="42">
        <f>'Italy Crunch Outputs'!G387</f>
        <v>0.28539493147164519</v>
      </c>
      <c r="D333" s="42">
        <f>'Italy Crunch Outputs'!H387</f>
        <v>0.29584288576650108</v>
      </c>
      <c r="E333" s="42">
        <f>'Italy Crunch Outputs'!I387</f>
        <v>0.29333029578920289</v>
      </c>
    </row>
    <row r="334" spans="2:5" x14ac:dyDescent="0.35">
      <c r="B334" s="28" t="s">
        <v>196</v>
      </c>
      <c r="C334" s="43">
        <f>'Italy Crunch Outputs'!G388</f>
        <v>0.16142753490697359</v>
      </c>
      <c r="D334" s="43">
        <f>'Italy Crunch Outputs'!H388</f>
        <v>0.1636732629045175</v>
      </c>
      <c r="E334" s="43">
        <f>'Italy Crunch Outputs'!I388</f>
        <v>0.16584572335491829</v>
      </c>
    </row>
    <row r="335" spans="2:5" x14ac:dyDescent="0.35">
      <c r="B335" s="44">
        <v>9</v>
      </c>
      <c r="C335" s="43">
        <f>'Italy Crunch Outputs'!G389</f>
        <v>0.1697401605505478</v>
      </c>
      <c r="D335" s="43">
        <f>'Italy Crunch Outputs'!H389</f>
        <v>0.16641510352873529</v>
      </c>
      <c r="E335" s="43">
        <f>'Italy Crunch Outputs'!I389</f>
        <v>0.16835500883983501</v>
      </c>
    </row>
    <row r="336" spans="2:5" x14ac:dyDescent="0.35">
      <c r="B336" s="44">
        <v>8</v>
      </c>
      <c r="C336" s="43">
        <f>'Italy Crunch Outputs'!G390</f>
        <v>0.18660112171987239</v>
      </c>
      <c r="D336" s="43">
        <f>'Italy Crunch Outputs'!H390</f>
        <v>0.19076429480019319</v>
      </c>
      <c r="E336" s="43">
        <f>'Italy Crunch Outputs'!I390</f>
        <v>0.18625444680176939</v>
      </c>
    </row>
    <row r="337" spans="2:5" x14ac:dyDescent="0.35">
      <c r="B337" s="44">
        <v>7</v>
      </c>
      <c r="C337" s="43">
        <f>'Italy Crunch Outputs'!G391</f>
        <v>0.19683625135096081</v>
      </c>
      <c r="D337" s="43">
        <f>'Italy Crunch Outputs'!H391</f>
        <v>0.18330445300005321</v>
      </c>
      <c r="E337" s="43">
        <f>'Italy Crunch Outputs'!I391</f>
        <v>0.18621452521427451</v>
      </c>
    </row>
    <row r="338" spans="2:5" x14ac:dyDescent="0.35">
      <c r="B338" s="44">
        <v>6</v>
      </c>
      <c r="C338" s="43">
        <f>'Italy Crunch Outputs'!G392</f>
        <v>0.12774974077684201</v>
      </c>
      <c r="D338" s="43">
        <f>'Italy Crunch Outputs'!H392</f>
        <v>0.13661704198990229</v>
      </c>
      <c r="E338" s="43">
        <f>'Italy Crunch Outputs'!I392</f>
        <v>0.1344929272140164</v>
      </c>
    </row>
    <row r="339" spans="2:5" x14ac:dyDescent="0.35">
      <c r="B339" s="44">
        <v>5</v>
      </c>
      <c r="C339" s="43">
        <f>'Italy Crunch Outputs'!G393</f>
        <v>6.6987084581733927E-2</v>
      </c>
      <c r="D339" s="43">
        <f>'Italy Crunch Outputs'!H393</f>
        <v>6.4104163735728956E-2</v>
      </c>
      <c r="E339" s="43">
        <f>'Italy Crunch Outputs'!I393</f>
        <v>6.6123144258424416E-2</v>
      </c>
    </row>
    <row r="340" spans="2:5" x14ac:dyDescent="0.35">
      <c r="B340" s="44">
        <v>4</v>
      </c>
      <c r="C340" s="43">
        <f>'Italy Crunch Outputs'!G394</f>
        <v>3.0842049564638499E-2</v>
      </c>
      <c r="D340" s="43">
        <f>'Italy Crunch Outputs'!H394</f>
        <v>3.9386664352917933E-2</v>
      </c>
      <c r="E340" s="43">
        <f>'Italy Crunch Outputs'!I394</f>
        <v>3.7460124327947417E-2</v>
      </c>
    </row>
    <row r="341" spans="2:5" x14ac:dyDescent="0.35">
      <c r="B341" s="44">
        <v>3</v>
      </c>
      <c r="C341" s="43">
        <f>'Italy Crunch Outputs'!G395</f>
        <v>1.7956878407078661E-2</v>
      </c>
      <c r="D341" s="43">
        <f>'Italy Crunch Outputs'!H395</f>
        <v>1.9511712291188262E-2</v>
      </c>
      <c r="E341" s="43">
        <f>'Italy Crunch Outputs'!I395</f>
        <v>1.855732594488934E-2</v>
      </c>
    </row>
    <row r="342" spans="2:5" x14ac:dyDescent="0.35">
      <c r="B342" s="44">
        <v>2</v>
      </c>
      <c r="C342" s="43">
        <f>'Italy Crunch Outputs'!G396</f>
        <v>2.3811916782920401E-2</v>
      </c>
      <c r="D342" s="43">
        <f>'Italy Crunch Outputs'!H396</f>
        <v>1.911154142693507E-2</v>
      </c>
      <c r="E342" s="43">
        <f>'Italy Crunch Outputs'!I396</f>
        <v>1.8176728842453169E-2</v>
      </c>
    </row>
    <row r="343" spans="2:5" x14ac:dyDescent="0.35">
      <c r="B343" s="44">
        <v>1</v>
      </c>
      <c r="C343" s="43">
        <f>'Italy Crunch Outputs'!G397</f>
        <v>0</v>
      </c>
      <c r="D343" s="43">
        <f>'Italy Crunch Outputs'!H397</f>
        <v>0</v>
      </c>
      <c r="E343" s="43">
        <f>'Italy Crunch Outputs'!I397</f>
        <v>2.2452795824199571E-3</v>
      </c>
    </row>
    <row r="344" spans="2:5" x14ac:dyDescent="0.35">
      <c r="B344" s="44" t="s">
        <v>204</v>
      </c>
      <c r="C344" s="43">
        <f>'Italy Crunch Outputs'!G398</f>
        <v>1.804726135843172E-2</v>
      </c>
      <c r="D344" s="43">
        <f>'Italy Crunch Outputs'!H398</f>
        <v>1.7111761969828509E-2</v>
      </c>
      <c r="E344" s="43">
        <f>'Italy Crunch Outputs'!I398</f>
        <v>1.6274765619052219E-2</v>
      </c>
    </row>
    <row r="345" spans="2:5" s="36" customFormat="1" ht="15" thickBot="1" x14ac:dyDescent="0.35">
      <c r="B345" s="57" t="s">
        <v>24</v>
      </c>
      <c r="C345" s="61">
        <f>'Italy Crunch Outputs'!G384</f>
        <v>307</v>
      </c>
      <c r="D345" s="61">
        <f>'Italy Crunch Outputs'!H384</f>
        <v>384</v>
      </c>
      <c r="E345" s="61">
        <f>'Italy Crunch Outputs'!I384</f>
        <v>404</v>
      </c>
    </row>
    <row r="347" spans="2:5" x14ac:dyDescent="0.35">
      <c r="B347" s="99" t="s">
        <v>622</v>
      </c>
      <c r="C347" s="39" t="s">
        <v>22</v>
      </c>
      <c r="D347" s="39" t="s">
        <v>22</v>
      </c>
      <c r="E347" s="39" t="s">
        <v>22</v>
      </c>
    </row>
    <row r="348" spans="2:5" x14ac:dyDescent="0.35">
      <c r="B348" s="100"/>
      <c r="C348" s="40">
        <f>'Italy Crunch Outputs'!G418</f>
        <v>-2.0696338097699241</v>
      </c>
      <c r="D348" s="40">
        <f>'Italy Crunch Outputs'!H418</f>
        <v>0.71753328781109993</v>
      </c>
      <c r="E348" s="40">
        <f>'Italy Crunch Outputs'!I418</f>
        <v>1.6238331453158901</v>
      </c>
    </row>
    <row r="349" spans="2:5" x14ac:dyDescent="0.35">
      <c r="B349" s="41" t="s">
        <v>336</v>
      </c>
      <c r="C349" s="42">
        <f>'Italy Crunch Outputs'!G404</f>
        <v>0.32243747972091868</v>
      </c>
      <c r="D349" s="42">
        <f>'Italy Crunch Outputs'!H404</f>
        <v>0.32218446928489342</v>
      </c>
      <c r="E349" s="42">
        <f>'Italy Crunch Outputs'!I404</f>
        <v>0.32911196400573761</v>
      </c>
    </row>
    <row r="350" spans="2:5" x14ac:dyDescent="0.35">
      <c r="B350" s="41" t="s">
        <v>194</v>
      </c>
      <c r="C350" s="42">
        <f>'Italy Crunch Outputs'!G405</f>
        <v>0.33442870246046341</v>
      </c>
      <c r="D350" s="42">
        <f>'Italy Crunch Outputs'!H405</f>
        <v>0.36280639430832418</v>
      </c>
      <c r="E350" s="42">
        <f>'Italy Crunch Outputs'!I405</f>
        <v>0.35801440344168373</v>
      </c>
    </row>
    <row r="351" spans="2:5" x14ac:dyDescent="0.35">
      <c r="B351" s="41" t="s">
        <v>195</v>
      </c>
      <c r="C351" s="42">
        <f>'Italy Crunch Outputs'!G406</f>
        <v>0.34313381781861801</v>
      </c>
      <c r="D351" s="42">
        <f>'Italy Crunch Outputs'!H406</f>
        <v>0.31500913640678241</v>
      </c>
      <c r="E351" s="42">
        <f>'Italy Crunch Outputs'!I406</f>
        <v>0.31287363255257872</v>
      </c>
    </row>
    <row r="352" spans="2:5" x14ac:dyDescent="0.35">
      <c r="B352" s="28" t="s">
        <v>196</v>
      </c>
      <c r="C352" s="43">
        <f>'Italy Crunch Outputs'!G407</f>
        <v>0.17277676033469819</v>
      </c>
      <c r="D352" s="43">
        <f>'Italy Crunch Outputs'!H407</f>
        <v>0.18082962460456201</v>
      </c>
      <c r="E352" s="43">
        <f>'Italy Crunch Outputs'!I407</f>
        <v>0.1870871234996499</v>
      </c>
    </row>
    <row r="353" spans="2:5" x14ac:dyDescent="0.35">
      <c r="B353" s="44">
        <v>9</v>
      </c>
      <c r="C353" s="43">
        <f>'Italy Crunch Outputs'!G408</f>
        <v>0.1496607193862205</v>
      </c>
      <c r="D353" s="43">
        <f>'Italy Crunch Outputs'!H408</f>
        <v>0.14135484468033141</v>
      </c>
      <c r="E353" s="43">
        <f>'Italy Crunch Outputs'!I408</f>
        <v>0.14202484050608771</v>
      </c>
    </row>
    <row r="354" spans="2:5" x14ac:dyDescent="0.35">
      <c r="B354" s="44">
        <v>8</v>
      </c>
      <c r="C354" s="43">
        <f>'Italy Crunch Outputs'!G409</f>
        <v>0.16977091723301069</v>
      </c>
      <c r="D354" s="43">
        <f>'Italy Crunch Outputs'!H409</f>
        <v>0.20255825680435541</v>
      </c>
      <c r="E354" s="43">
        <f>'Italy Crunch Outputs'!I409</f>
        <v>0.20312556564207521</v>
      </c>
    </row>
    <row r="355" spans="2:5" x14ac:dyDescent="0.35">
      <c r="B355" s="44">
        <v>7</v>
      </c>
      <c r="C355" s="43">
        <f>'Italy Crunch Outputs'!G410</f>
        <v>0.1646577852274527</v>
      </c>
      <c r="D355" s="43">
        <f>'Italy Crunch Outputs'!H410</f>
        <v>0.16024813750396891</v>
      </c>
      <c r="E355" s="43">
        <f>'Italy Crunch Outputs'!I410</f>
        <v>0.15488883779960849</v>
      </c>
    </row>
    <row r="356" spans="2:5" x14ac:dyDescent="0.35">
      <c r="B356" s="44">
        <v>6</v>
      </c>
      <c r="C356" s="43">
        <f>'Italy Crunch Outputs'!G411</f>
        <v>0.16761838599230361</v>
      </c>
      <c r="D356" s="43">
        <f>'Italy Crunch Outputs'!H411</f>
        <v>0.1546838503517482</v>
      </c>
      <c r="E356" s="43">
        <f>'Italy Crunch Outputs'!I411</f>
        <v>0.15463340933072889</v>
      </c>
    </row>
    <row r="357" spans="2:5" x14ac:dyDescent="0.35">
      <c r="B357" s="44">
        <v>5</v>
      </c>
      <c r="C357" s="43">
        <f>'Italy Crunch Outputs'!G412</f>
        <v>0.1038754638041286</v>
      </c>
      <c r="D357" s="43">
        <f>'Italy Crunch Outputs'!H412</f>
        <v>9.7132170896108691E-2</v>
      </c>
      <c r="E357" s="43">
        <f>'Italy Crunch Outputs'!I412</f>
        <v>9.3883706215796878E-2</v>
      </c>
    </row>
    <row r="358" spans="2:5" x14ac:dyDescent="0.35">
      <c r="B358" s="44">
        <v>4</v>
      </c>
      <c r="C358" s="43">
        <f>'Italy Crunch Outputs'!G413</f>
        <v>4.8658177047639938E-2</v>
      </c>
      <c r="D358" s="43">
        <f>'Italy Crunch Outputs'!H413</f>
        <v>4.0393266901611491E-2</v>
      </c>
      <c r="E358" s="43">
        <f>'Italy Crunch Outputs'!I413</f>
        <v>3.9042364315560567E-2</v>
      </c>
    </row>
    <row r="359" spans="2:5" x14ac:dyDescent="0.35">
      <c r="B359" s="44">
        <v>3</v>
      </c>
      <c r="C359" s="43">
        <f>'Italy Crunch Outputs'!G414</f>
        <v>5.6007034788115523E-3</v>
      </c>
      <c r="D359" s="43">
        <f>'Italy Crunch Outputs'!H414</f>
        <v>6.7717389138758841E-3</v>
      </c>
      <c r="E359" s="43">
        <f>'Italy Crunch Outputs'!I414</f>
        <v>9.8220835345017316E-3</v>
      </c>
    </row>
    <row r="360" spans="2:5" x14ac:dyDescent="0.35">
      <c r="B360" s="44">
        <v>2</v>
      </c>
      <c r="C360" s="43">
        <f>'Italy Crunch Outputs'!G415</f>
        <v>3.621753040230981E-3</v>
      </c>
      <c r="D360" s="43">
        <f>'Italy Crunch Outputs'!H415</f>
        <v>5.4603840617403364E-3</v>
      </c>
      <c r="E360" s="43">
        <f>'Italy Crunch Outputs'!I415</f>
        <v>5.2777683063025896E-3</v>
      </c>
    </row>
    <row r="361" spans="2:5" x14ac:dyDescent="0.35">
      <c r="B361" s="44">
        <v>1</v>
      </c>
      <c r="C361" s="43">
        <f>'Italy Crunch Outputs'!G416</f>
        <v>3.213077413310594E-3</v>
      </c>
      <c r="D361" s="43">
        <f>'Italy Crunch Outputs'!H416</f>
        <v>2.4677733884951002E-3</v>
      </c>
      <c r="E361" s="43">
        <f>'Italy Crunch Outputs'!I416</f>
        <v>2.3852417759759681E-3</v>
      </c>
    </row>
    <row r="362" spans="2:5" x14ac:dyDescent="0.35">
      <c r="B362" s="44" t="s">
        <v>204</v>
      </c>
      <c r="C362" s="43">
        <f>'Italy Crunch Outputs'!G417</f>
        <v>1.0546257042192539E-2</v>
      </c>
      <c r="D362" s="43">
        <f>'Italy Crunch Outputs'!H417</f>
        <v>8.0999518932026449E-3</v>
      </c>
      <c r="E362" s="43">
        <f>'Italy Crunch Outputs'!I417</f>
        <v>7.8290590737120046E-3</v>
      </c>
    </row>
    <row r="363" spans="2:5" s="36" customFormat="1" ht="15" thickBot="1" x14ac:dyDescent="0.35">
      <c r="B363" s="57" t="s">
        <v>24</v>
      </c>
      <c r="C363" s="61">
        <f>'Italy Crunch Outputs'!G403</f>
        <v>259</v>
      </c>
      <c r="D363" s="61">
        <f>'Italy Crunch Outputs'!H403</f>
        <v>342</v>
      </c>
      <c r="E363" s="61">
        <f>'Italy Crunch Outputs'!I403</f>
        <v>354</v>
      </c>
    </row>
    <row r="365" spans="2:5" x14ac:dyDescent="0.35">
      <c r="B365" s="99" t="s">
        <v>623</v>
      </c>
      <c r="C365" s="39" t="s">
        <v>22</v>
      </c>
      <c r="D365" s="39" t="s">
        <v>22</v>
      </c>
      <c r="E365" s="39" t="s">
        <v>22</v>
      </c>
    </row>
    <row r="366" spans="2:5" x14ac:dyDescent="0.35">
      <c r="B366" s="100"/>
      <c r="C366" s="40">
        <f>'Italy Crunch Outputs'!G437</f>
        <v>-3.8019076384882742</v>
      </c>
      <c r="D366" s="40">
        <f>'Italy Crunch Outputs'!H437</f>
        <v>1.0052465041212399</v>
      </c>
      <c r="E366" s="40">
        <f>'Italy Crunch Outputs'!I437</f>
        <v>1.65071440223025</v>
      </c>
    </row>
    <row r="367" spans="2:5" x14ac:dyDescent="0.35">
      <c r="B367" s="41" t="s">
        <v>336</v>
      </c>
      <c r="C367" s="42">
        <f>'Italy Crunch Outputs'!G423</f>
        <v>0.27854808769289302</v>
      </c>
      <c r="D367" s="42">
        <f>'Italy Crunch Outputs'!H423</f>
        <v>0.30134865733466321</v>
      </c>
      <c r="E367" s="42">
        <f>'Italy Crunch Outputs'!I423</f>
        <v>0.30261129958045091</v>
      </c>
    </row>
    <row r="368" spans="2:5" x14ac:dyDescent="0.35">
      <c r="B368" s="41" t="s">
        <v>194</v>
      </c>
      <c r="C368" s="42">
        <f>'Italy Crunch Outputs'!G424</f>
        <v>0.40488474822933129</v>
      </c>
      <c r="D368" s="42">
        <f>'Italy Crunch Outputs'!H424</f>
        <v>0.40735515037188591</v>
      </c>
      <c r="E368" s="42">
        <f>'Italy Crunch Outputs'!I424</f>
        <v>0.41128454486140059</v>
      </c>
    </row>
    <row r="369" spans="2:5" x14ac:dyDescent="0.35">
      <c r="B369" s="41" t="s">
        <v>195</v>
      </c>
      <c r="C369" s="42">
        <f>'Italy Crunch Outputs'!G425</f>
        <v>0.3165671640777758</v>
      </c>
      <c r="D369" s="42">
        <f>'Italy Crunch Outputs'!H425</f>
        <v>0.29129619229345088</v>
      </c>
      <c r="E369" s="42">
        <f>'Italy Crunch Outputs'!I425</f>
        <v>0.28610415555814839</v>
      </c>
    </row>
    <row r="370" spans="2:5" x14ac:dyDescent="0.35">
      <c r="B370" s="28" t="s">
        <v>196</v>
      </c>
      <c r="C370" s="43">
        <f>'Italy Crunch Outputs'!G426</f>
        <v>0.1221724262046887</v>
      </c>
      <c r="D370" s="43">
        <f>'Italy Crunch Outputs'!H426</f>
        <v>0.13625020018111339</v>
      </c>
      <c r="E370" s="43">
        <f>'Italy Crunch Outputs'!I426</f>
        <v>0.13757380146553891</v>
      </c>
    </row>
    <row r="371" spans="2:5" x14ac:dyDescent="0.35">
      <c r="B371" s="44">
        <v>9</v>
      </c>
      <c r="C371" s="43">
        <f>'Italy Crunch Outputs'!G427</f>
        <v>0.15637566148820431</v>
      </c>
      <c r="D371" s="43">
        <f>'Italy Crunch Outputs'!H427</f>
        <v>0.16509845715354979</v>
      </c>
      <c r="E371" s="43">
        <f>'Italy Crunch Outputs'!I427</f>
        <v>0.16503749811491189</v>
      </c>
    </row>
    <row r="372" spans="2:5" x14ac:dyDescent="0.35">
      <c r="B372" s="44">
        <v>8</v>
      </c>
      <c r="C372" s="43">
        <f>'Italy Crunch Outputs'!G428</f>
        <v>0.21387084302000939</v>
      </c>
      <c r="D372" s="43">
        <f>'Italy Crunch Outputs'!H428</f>
        <v>0.21100356845621859</v>
      </c>
      <c r="E372" s="43">
        <f>'Italy Crunch Outputs'!I428</f>
        <v>0.21843271561436381</v>
      </c>
    </row>
    <row r="373" spans="2:5" x14ac:dyDescent="0.35">
      <c r="B373" s="44">
        <v>7</v>
      </c>
      <c r="C373" s="43">
        <f>'Italy Crunch Outputs'!G429</f>
        <v>0.19101390520932199</v>
      </c>
      <c r="D373" s="43">
        <f>'Italy Crunch Outputs'!H429</f>
        <v>0.19635158191566721</v>
      </c>
      <c r="E373" s="43">
        <f>'Italy Crunch Outputs'!I429</f>
        <v>0.19285182924703681</v>
      </c>
    </row>
    <row r="374" spans="2:5" x14ac:dyDescent="0.35">
      <c r="B374" s="44">
        <v>6</v>
      </c>
      <c r="C374" s="43">
        <f>'Italy Crunch Outputs'!G430</f>
        <v>0.13924464398667119</v>
      </c>
      <c r="D374" s="43">
        <f>'Italy Crunch Outputs'!H430</f>
        <v>0.12769943472343051</v>
      </c>
      <c r="E374" s="43">
        <f>'Italy Crunch Outputs'!I430</f>
        <v>0.12542333165822639</v>
      </c>
    </row>
    <row r="375" spans="2:5" x14ac:dyDescent="0.35">
      <c r="B375" s="44">
        <v>5</v>
      </c>
      <c r="C375" s="43">
        <f>'Italy Crunch Outputs'!G431</f>
        <v>9.7435874817771106E-2</v>
      </c>
      <c r="D375" s="43">
        <f>'Italy Crunch Outputs'!H431</f>
        <v>8.8698844574788632E-2</v>
      </c>
      <c r="E375" s="43">
        <f>'Italy Crunch Outputs'!I431</f>
        <v>8.7117884467533782E-2</v>
      </c>
    </row>
    <row r="376" spans="2:5" x14ac:dyDescent="0.35">
      <c r="B376" s="44">
        <v>4</v>
      </c>
      <c r="C376" s="43">
        <f>'Italy Crunch Outputs'!G432</f>
        <v>2.5764195762925109E-2</v>
      </c>
      <c r="D376" s="43">
        <f>'Italy Crunch Outputs'!H432</f>
        <v>2.6448275747316261E-2</v>
      </c>
      <c r="E376" s="43">
        <f>'Italy Crunch Outputs'!I432</f>
        <v>2.5976864095195739E-2</v>
      </c>
    </row>
    <row r="377" spans="2:5" x14ac:dyDescent="0.35">
      <c r="B377" s="44">
        <v>3</v>
      </c>
      <c r="C377" s="43">
        <f>'Italy Crunch Outputs'!G433</f>
        <v>2.4493034331958211E-2</v>
      </c>
      <c r="D377" s="43">
        <f>'Italy Crunch Outputs'!H433</f>
        <v>1.9008080972024669E-2</v>
      </c>
      <c r="E377" s="43">
        <f>'Italy Crunch Outputs'!I433</f>
        <v>1.8669282672268889E-2</v>
      </c>
    </row>
    <row r="378" spans="2:5" x14ac:dyDescent="0.35">
      <c r="B378" s="44">
        <v>2</v>
      </c>
      <c r="C378" s="43">
        <f>'Italy Crunch Outputs'!G434</f>
        <v>8.2855038465269697E-3</v>
      </c>
      <c r="D378" s="43">
        <f>'Italy Crunch Outputs'!H434</f>
        <v>6.4300537807728273E-3</v>
      </c>
      <c r="E378" s="43">
        <f>'Italy Crunch Outputs'!I434</f>
        <v>6.3154450892657626E-3</v>
      </c>
    </row>
    <row r="379" spans="2:5" x14ac:dyDescent="0.35">
      <c r="B379" s="44">
        <v>1</v>
      </c>
      <c r="C379" s="43">
        <f>'Italy Crunch Outputs'!G435</f>
        <v>3.9178035007152237E-3</v>
      </c>
      <c r="D379" s="43">
        <f>'Italy Crunch Outputs'!H435</f>
        <v>3.0404532637636188E-3</v>
      </c>
      <c r="E379" s="43">
        <f>'Italy Crunch Outputs'!I435</f>
        <v>2.9862605023919628E-3</v>
      </c>
    </row>
    <row r="380" spans="2:5" x14ac:dyDescent="0.35">
      <c r="B380" s="44" t="s">
        <v>204</v>
      </c>
      <c r="C380" s="43">
        <f>'Italy Crunch Outputs'!G436</f>
        <v>1.7426107831207991E-2</v>
      </c>
      <c r="D380" s="43">
        <f>'Italy Crunch Outputs'!H436</f>
        <v>1.997104923135426E-2</v>
      </c>
      <c r="E380" s="43">
        <f>'Italy Crunch Outputs'!I436</f>
        <v>1.961508707326581E-2</v>
      </c>
    </row>
    <row r="381" spans="2:5" s="36" customFormat="1" ht="15" thickBot="1" x14ac:dyDescent="0.35">
      <c r="B381" s="57" t="s">
        <v>24</v>
      </c>
      <c r="C381" s="61">
        <f>'Italy Crunch Outputs'!G422</f>
        <v>240</v>
      </c>
      <c r="D381" s="61">
        <f>'Italy Crunch Outputs'!H422</f>
        <v>311</v>
      </c>
      <c r="E381" s="61">
        <f>'Italy Crunch Outputs'!I422</f>
        <v>316</v>
      </c>
    </row>
  </sheetData>
  <conditionalFormatting sqref="C21:E21 C39:E39 C57:E57 C75:E75 C93:E93 C111:E111 C129:E129 C147:E147 C165:E165 C183:E183 C201:E201 C219:E219 C237:E237 C255:E255 C273:E273 C291:E291 C309:E309 C327:E327 C363:E363 C381:E381">
    <cfRule type="expression" dxfId="8" priority="10">
      <formula>C21&lt;100</formula>
    </cfRule>
  </conditionalFormatting>
  <conditionalFormatting sqref="C345:E345">
    <cfRule type="expression" dxfId="7" priority="3">
      <formula>C345&lt;50</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E66A-5ED1-44E0-B144-7B432551AA0D}">
  <dimension ref="A1:I443"/>
  <sheetViews>
    <sheetView topLeftCell="A422" workbookViewId="0">
      <selection activeCell="M3" sqref="M3"/>
    </sheetView>
  </sheetViews>
  <sheetFormatPr defaultRowHeight="14.5" x14ac:dyDescent="0.35"/>
  <cols>
    <col min="1" max="1" width="25.7265625" customWidth="1"/>
    <col min="2" max="9" width="12.7265625" customWidth="1"/>
  </cols>
  <sheetData>
    <row r="1" spans="1:9" ht="26" x14ac:dyDescent="0.6">
      <c r="A1" s="9" t="s">
        <v>434</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540</v>
      </c>
      <c r="B5" s="13" t="s">
        <v>208</v>
      </c>
      <c r="C5" s="13" t="s">
        <v>458</v>
      </c>
      <c r="D5" s="13" t="s">
        <v>466</v>
      </c>
      <c r="E5" s="13" t="s">
        <v>467</v>
      </c>
      <c r="F5" s="13" t="s">
        <v>468</v>
      </c>
      <c r="G5" s="13" t="s">
        <v>634</v>
      </c>
      <c r="H5" s="13" t="s">
        <v>641</v>
      </c>
      <c r="I5" s="13" t="s">
        <v>647</v>
      </c>
    </row>
    <row r="6" spans="1:9" x14ac:dyDescent="0.35">
      <c r="A6" s="14" t="s">
        <v>209</v>
      </c>
      <c r="B6" s="15">
        <v>66</v>
      </c>
      <c r="C6" s="15">
        <v>17</v>
      </c>
      <c r="D6" s="15">
        <v>39</v>
      </c>
      <c r="E6" s="15">
        <v>51</v>
      </c>
      <c r="F6" s="15">
        <v>66</v>
      </c>
      <c r="G6" s="15">
        <v>90</v>
      </c>
      <c r="H6" s="15">
        <v>108</v>
      </c>
      <c r="I6" s="15">
        <v>104</v>
      </c>
    </row>
    <row r="7" spans="1:9" x14ac:dyDescent="0.35">
      <c r="A7" s="16" t="s">
        <v>336</v>
      </c>
      <c r="B7" s="17">
        <v>0.4873340129396645</v>
      </c>
      <c r="C7" s="17">
        <v>0.53432690447309694</v>
      </c>
      <c r="D7" s="17">
        <v>0.4857647559792132</v>
      </c>
      <c r="E7" s="17">
        <v>0.47013707491705953</v>
      </c>
      <c r="F7" s="17">
        <v>0.4873340129396645</v>
      </c>
      <c r="G7" s="17">
        <v>0.52840887809097359</v>
      </c>
      <c r="H7" s="17">
        <v>0.50575071061064647</v>
      </c>
      <c r="I7" s="17">
        <v>0.50260135282481422</v>
      </c>
    </row>
    <row r="8" spans="1:9" x14ac:dyDescent="0.35">
      <c r="A8" s="16" t="s">
        <v>194</v>
      </c>
      <c r="B8" s="17">
        <v>0.43043926137415628</v>
      </c>
      <c r="C8" s="17">
        <v>0.41453789270513408</v>
      </c>
      <c r="D8" s="17">
        <v>0.46485332047423322</v>
      </c>
      <c r="E8" s="17">
        <v>0.4541791543282922</v>
      </c>
      <c r="F8" s="17">
        <v>0.43043926137415622</v>
      </c>
      <c r="G8" s="17">
        <v>0.36021418669134669</v>
      </c>
      <c r="H8" s="17">
        <v>0.37569755510129799</v>
      </c>
      <c r="I8" s="17">
        <v>0.38367018451085522</v>
      </c>
    </row>
    <row r="9" spans="1:9" x14ac:dyDescent="0.35">
      <c r="A9" s="16" t="s">
        <v>195</v>
      </c>
      <c r="B9" s="17">
        <v>8.2226725686179378E-2</v>
      </c>
      <c r="C9" s="17">
        <v>5.1135202821768901E-2</v>
      </c>
      <c r="D9" s="17">
        <v>4.9381923546553637E-2</v>
      </c>
      <c r="E9" s="17">
        <v>7.5683770754648119E-2</v>
      </c>
      <c r="F9" s="17">
        <v>8.2226725686179378E-2</v>
      </c>
      <c r="G9" s="17">
        <v>0.11137693521767961</v>
      </c>
      <c r="H9" s="17">
        <v>0.1185517342880555</v>
      </c>
      <c r="I9" s="17">
        <v>0.11372846266433061</v>
      </c>
    </row>
    <row r="10" spans="1:9" x14ac:dyDescent="0.35">
      <c r="A10" s="14" t="s">
        <v>210</v>
      </c>
      <c r="B10" s="18">
        <v>0.31190311283114108</v>
      </c>
      <c r="C10" s="18">
        <v>0.36807791303135179</v>
      </c>
      <c r="D10" s="18">
        <v>0.31356334927326562</v>
      </c>
      <c r="E10" s="18">
        <v>0.31477116658146992</v>
      </c>
      <c r="F10" s="18">
        <v>0.31190311283114108</v>
      </c>
      <c r="G10" s="18">
        <v>0.33473567460664982</v>
      </c>
      <c r="H10" s="18">
        <v>0.31787359814891297</v>
      </c>
      <c r="I10" s="18">
        <v>0.3158616577132578</v>
      </c>
    </row>
    <row r="11" spans="1:9" x14ac:dyDescent="0.35">
      <c r="A11" s="14" t="s">
        <v>197</v>
      </c>
      <c r="B11" s="18">
        <v>0.17543090010852341</v>
      </c>
      <c r="C11" s="18">
        <v>0.1662489914417451</v>
      </c>
      <c r="D11" s="18">
        <v>0.17220140670594761</v>
      </c>
      <c r="E11" s="18">
        <v>0.15536590833558961</v>
      </c>
      <c r="F11" s="18">
        <v>0.17543090010852341</v>
      </c>
      <c r="G11" s="18">
        <v>0.19367320348432379</v>
      </c>
      <c r="H11" s="18">
        <v>0.18787711246173339</v>
      </c>
      <c r="I11" s="18">
        <v>0.1867396951115565</v>
      </c>
    </row>
    <row r="12" spans="1:9" x14ac:dyDescent="0.35">
      <c r="A12" s="14" t="s">
        <v>198</v>
      </c>
      <c r="B12" s="18">
        <v>0.3044970421626314</v>
      </c>
      <c r="C12" s="18">
        <v>0.31912954353192008</v>
      </c>
      <c r="D12" s="18">
        <v>0.34981626947286071</v>
      </c>
      <c r="E12" s="18">
        <v>0.32745774539736838</v>
      </c>
      <c r="F12" s="18">
        <v>0.30449704216263129</v>
      </c>
      <c r="G12" s="18">
        <v>0.23372213237995201</v>
      </c>
      <c r="H12" s="18">
        <v>0.25396142415307632</v>
      </c>
      <c r="I12" s="18">
        <v>0.26250132032173301</v>
      </c>
    </row>
    <row r="13" spans="1:9" x14ac:dyDescent="0.35">
      <c r="A13" s="14" t="s">
        <v>199</v>
      </c>
      <c r="B13" s="18">
        <v>0.1259422192115249</v>
      </c>
      <c r="C13" s="18">
        <v>9.540834917321396E-2</v>
      </c>
      <c r="D13" s="18">
        <v>0.1150370510013724</v>
      </c>
      <c r="E13" s="18">
        <v>0.12672140893092379</v>
      </c>
      <c r="F13" s="18">
        <v>0.1259422192115249</v>
      </c>
      <c r="G13" s="18">
        <v>0.12649205431139471</v>
      </c>
      <c r="H13" s="18">
        <v>0.1217361309482216</v>
      </c>
      <c r="I13" s="18">
        <v>0.1211688641891223</v>
      </c>
    </row>
    <row r="14" spans="1:9" x14ac:dyDescent="0.35">
      <c r="A14" s="14" t="s">
        <v>200</v>
      </c>
      <c r="B14" s="18">
        <v>2.9048502623532368E-2</v>
      </c>
      <c r="C14" s="18">
        <v>5.1135202821768901E-2</v>
      </c>
      <c r="D14" s="18">
        <v>4.9381923546553637E-2</v>
      </c>
      <c r="E14" s="18">
        <v>3.7417290340970737E-2</v>
      </c>
      <c r="F14" s="18">
        <v>2.9048502623532368E-2</v>
      </c>
      <c r="G14" s="18">
        <v>2.1437039024997179E-2</v>
      </c>
      <c r="H14" s="18">
        <v>2.7790038556246351E-2</v>
      </c>
      <c r="I14" s="18">
        <v>2.034904444589274E-2</v>
      </c>
    </row>
    <row r="15" spans="1:9" x14ac:dyDescent="0.35">
      <c r="A15" s="14" t="s">
        <v>201</v>
      </c>
      <c r="B15" s="18">
        <v>3.8452380369001997E-2</v>
      </c>
      <c r="C15" s="18">
        <v>0</v>
      </c>
      <c r="D15" s="23">
        <v>0</v>
      </c>
      <c r="E15" s="18">
        <v>1.929816598024393E-2</v>
      </c>
      <c r="F15" s="18">
        <v>3.8452380369001997E-2</v>
      </c>
      <c r="G15" s="18">
        <v>5.7560833715672867E-2</v>
      </c>
      <c r="H15" s="18">
        <v>6.3630738702866965E-2</v>
      </c>
      <c r="I15" s="18">
        <v>6.546595800105505E-2</v>
      </c>
    </row>
    <row r="16" spans="1:9" x14ac:dyDescent="0.35">
      <c r="A16" s="14" t="s">
        <v>202</v>
      </c>
      <c r="B16" s="18">
        <v>0</v>
      </c>
      <c r="C16" s="18">
        <v>0</v>
      </c>
      <c r="D16" s="18">
        <v>0</v>
      </c>
      <c r="E16" s="18">
        <v>0</v>
      </c>
      <c r="F16" s="18">
        <v>0</v>
      </c>
      <c r="G16" s="18">
        <v>0</v>
      </c>
      <c r="H16" s="18">
        <v>0</v>
      </c>
      <c r="I16" s="18">
        <v>0</v>
      </c>
    </row>
    <row r="17" spans="1:9" x14ac:dyDescent="0.35">
      <c r="A17" s="14" t="s">
        <v>211</v>
      </c>
      <c r="B17" s="18">
        <v>0</v>
      </c>
      <c r="C17" s="18">
        <v>0</v>
      </c>
      <c r="D17" s="18">
        <v>0</v>
      </c>
      <c r="E17" s="18">
        <v>0</v>
      </c>
      <c r="F17" s="18">
        <v>0</v>
      </c>
      <c r="G17" s="18">
        <v>0</v>
      </c>
      <c r="H17" s="18">
        <v>0</v>
      </c>
      <c r="I17" s="18">
        <v>0</v>
      </c>
    </row>
    <row r="18" spans="1:9" x14ac:dyDescent="0.35">
      <c r="A18" s="14" t="s">
        <v>212</v>
      </c>
      <c r="B18" s="18">
        <v>1.4725842693645019E-2</v>
      </c>
      <c r="C18" s="18">
        <v>0</v>
      </c>
      <c r="D18" s="18">
        <v>0</v>
      </c>
      <c r="E18" s="18">
        <v>1.8968314433433459E-2</v>
      </c>
      <c r="F18" s="18">
        <v>1.4725842693645019E-2</v>
      </c>
      <c r="G18" s="18">
        <v>1.0867288706437659E-2</v>
      </c>
      <c r="H18" s="18">
        <v>9.1058826402035942E-3</v>
      </c>
      <c r="I18" s="18">
        <v>9.3685118645219431E-3</v>
      </c>
    </row>
    <row r="19" spans="1:9" x14ac:dyDescent="0.35">
      <c r="A19" s="14" t="s">
        <v>203</v>
      </c>
      <c r="B19" s="18">
        <v>0</v>
      </c>
      <c r="C19" s="18">
        <v>0</v>
      </c>
      <c r="D19" s="18">
        <v>0</v>
      </c>
      <c r="E19" s="18">
        <v>0</v>
      </c>
      <c r="F19" s="18">
        <v>0</v>
      </c>
      <c r="G19" s="18">
        <v>0</v>
      </c>
      <c r="H19" s="18">
        <v>0</v>
      </c>
      <c r="I19" s="18">
        <v>0</v>
      </c>
    </row>
    <row r="20" spans="1:9" x14ac:dyDescent="0.35">
      <c r="A20" s="14" t="s">
        <v>204</v>
      </c>
      <c r="B20" s="18">
        <v>0</v>
      </c>
      <c r="C20" s="18">
        <v>0</v>
      </c>
      <c r="D20" s="18">
        <v>0</v>
      </c>
      <c r="E20" s="18">
        <v>0</v>
      </c>
      <c r="F20" s="18">
        <v>0</v>
      </c>
      <c r="G20" s="18">
        <v>2.1511773770571931E-2</v>
      </c>
      <c r="H20" s="18">
        <v>1.802507438873863E-2</v>
      </c>
      <c r="I20" s="18">
        <v>1.854494835286092E-2</v>
      </c>
    </row>
    <row r="21" spans="1:9" x14ac:dyDescent="0.35">
      <c r="A21" s="14" t="s">
        <v>213</v>
      </c>
      <c r="B21" s="1">
        <v>40.5107287253485</v>
      </c>
      <c r="C21" s="1">
        <v>48.31917016513281</v>
      </c>
      <c r="D21" s="1">
        <v>43.638283243265953</v>
      </c>
      <c r="E21" s="1">
        <v>39.445330416241141</v>
      </c>
      <c r="F21" s="1">
        <v>40.510728725348507</v>
      </c>
      <c r="G21" s="1">
        <v>41.703194287329403</v>
      </c>
      <c r="H21" s="1">
        <v>38.719897632259091</v>
      </c>
      <c r="I21" s="1">
        <v>38.887289016048364</v>
      </c>
    </row>
    <row r="23" spans="1:9" x14ac:dyDescent="0.35">
      <c r="C23" s="187"/>
      <c r="D23" s="187"/>
      <c r="E23" s="187"/>
      <c r="F23" s="187"/>
      <c r="G23" s="170"/>
      <c r="H23" s="170"/>
      <c r="I23" s="170"/>
    </row>
    <row r="24" spans="1:9" ht="29" x14ac:dyDescent="0.35">
      <c r="A24" s="12" t="s">
        <v>541</v>
      </c>
      <c r="B24" s="13" t="s">
        <v>208</v>
      </c>
      <c r="C24" s="13" t="s">
        <v>458</v>
      </c>
      <c r="D24" s="13" t="s">
        <v>466</v>
      </c>
      <c r="E24" s="13" t="s">
        <v>467</v>
      </c>
      <c r="F24" s="13" t="s">
        <v>468</v>
      </c>
      <c r="G24" s="13" t="s">
        <v>634</v>
      </c>
      <c r="H24" s="13" t="s">
        <v>641</v>
      </c>
      <c r="I24" s="13" t="s">
        <v>647</v>
      </c>
    </row>
    <row r="25" spans="1:9" x14ac:dyDescent="0.35">
      <c r="A25" s="14" t="s">
        <v>209</v>
      </c>
      <c r="B25" s="15">
        <v>232</v>
      </c>
      <c r="C25" s="15">
        <v>74</v>
      </c>
      <c r="D25" s="15">
        <v>135</v>
      </c>
      <c r="E25" s="15">
        <v>182</v>
      </c>
      <c r="F25" s="15">
        <v>232</v>
      </c>
      <c r="G25" s="15">
        <v>274</v>
      </c>
      <c r="H25" s="15">
        <v>311</v>
      </c>
      <c r="I25" s="15">
        <v>293</v>
      </c>
    </row>
    <row r="26" spans="1:9" x14ac:dyDescent="0.35">
      <c r="A26" s="16" t="s">
        <v>336</v>
      </c>
      <c r="B26" s="17">
        <v>0.51093619140202839</v>
      </c>
      <c r="C26" s="17">
        <v>0.46321529254495991</v>
      </c>
      <c r="D26" s="17">
        <v>0.49739301652364698</v>
      </c>
      <c r="E26" s="17">
        <v>0.49510570721819652</v>
      </c>
      <c r="F26" s="17">
        <v>0.51093619140202839</v>
      </c>
      <c r="G26" s="17">
        <v>0.48823294083215152</v>
      </c>
      <c r="H26" s="17">
        <v>0.49215915509231711</v>
      </c>
      <c r="I26" s="17">
        <v>0.48576448651125259</v>
      </c>
    </row>
    <row r="27" spans="1:9" x14ac:dyDescent="0.35">
      <c r="A27" s="16" t="s">
        <v>194</v>
      </c>
      <c r="B27" s="17">
        <v>0.3587676269855522</v>
      </c>
      <c r="C27" s="149">
        <v>0.45464665057880538</v>
      </c>
      <c r="D27" s="17">
        <v>0.40202653596620341</v>
      </c>
      <c r="E27" s="17">
        <v>0.38330223182599421</v>
      </c>
      <c r="F27" s="17">
        <v>0.35876762698555209</v>
      </c>
      <c r="G27" s="17">
        <v>0.36916920849582008</v>
      </c>
      <c r="H27" s="152">
        <v>0.36442359060545848</v>
      </c>
      <c r="I27" s="155">
        <v>0.33353067848491558</v>
      </c>
    </row>
    <row r="28" spans="1:9" x14ac:dyDescent="0.35">
      <c r="A28" s="16" t="s">
        <v>195</v>
      </c>
      <c r="B28" s="17">
        <v>0.1302961816124194</v>
      </c>
      <c r="C28" s="17">
        <v>8.213805687623485E-2</v>
      </c>
      <c r="D28" s="17">
        <v>0.1005804475101495</v>
      </c>
      <c r="E28" s="17">
        <v>0.12159206095580929</v>
      </c>
      <c r="F28" s="17">
        <v>0.1302961816124194</v>
      </c>
      <c r="G28" s="17">
        <v>0.1425978506720281</v>
      </c>
      <c r="H28" s="17">
        <v>0.1434172543022243</v>
      </c>
      <c r="I28" s="149">
        <v>0.18070483500383169</v>
      </c>
    </row>
    <row r="29" spans="1:9" x14ac:dyDescent="0.35">
      <c r="A29" s="14" t="s">
        <v>210</v>
      </c>
      <c r="B29" s="18">
        <v>0.24511359743190761</v>
      </c>
      <c r="C29" s="18">
        <v>0.22766397788265599</v>
      </c>
      <c r="D29" s="18">
        <v>0.21497003649962909</v>
      </c>
      <c r="E29" s="18">
        <v>0.22445427265583151</v>
      </c>
      <c r="F29" s="18">
        <v>0.24511359743190761</v>
      </c>
      <c r="G29" s="18">
        <v>0.23673886867997451</v>
      </c>
      <c r="H29" s="18">
        <v>0.24249495225674619</v>
      </c>
      <c r="I29" s="18">
        <v>0.25573439745412913</v>
      </c>
    </row>
    <row r="30" spans="1:9" x14ac:dyDescent="0.35">
      <c r="A30" s="14" t="s">
        <v>197</v>
      </c>
      <c r="B30" s="18">
        <v>0.26582259397012092</v>
      </c>
      <c r="C30" s="18">
        <v>0.23555131466230389</v>
      </c>
      <c r="D30" s="18">
        <v>0.28242298002401789</v>
      </c>
      <c r="E30" s="18">
        <v>0.27065143456236512</v>
      </c>
      <c r="F30" s="18">
        <v>0.26582259397012092</v>
      </c>
      <c r="G30" s="18">
        <v>0.25149407215217701</v>
      </c>
      <c r="H30" s="18">
        <v>0.24966420283557089</v>
      </c>
      <c r="I30" s="18">
        <v>0.23003008905712349</v>
      </c>
    </row>
    <row r="31" spans="1:9" x14ac:dyDescent="0.35">
      <c r="A31" s="14" t="s">
        <v>198</v>
      </c>
      <c r="B31" s="18">
        <v>0.24988875794713189</v>
      </c>
      <c r="C31" s="18">
        <v>0.2629220882587035</v>
      </c>
      <c r="D31" s="18">
        <v>0.26895273688824328</v>
      </c>
      <c r="E31" s="18">
        <v>0.26449240590499762</v>
      </c>
      <c r="F31" s="18">
        <v>0.24988875794713181</v>
      </c>
      <c r="G31" s="18">
        <v>0.25082276336891018</v>
      </c>
      <c r="H31" s="18">
        <v>0.24507709379788109</v>
      </c>
      <c r="I31" s="18">
        <v>0.22920891001193061</v>
      </c>
    </row>
    <row r="32" spans="1:9" x14ac:dyDescent="0.35">
      <c r="A32" s="14" t="s">
        <v>199</v>
      </c>
      <c r="B32" s="18">
        <v>0.1088788690384203</v>
      </c>
      <c r="C32" s="22">
        <v>0.1917245623201019</v>
      </c>
      <c r="D32" s="18">
        <v>0.13307379907795999</v>
      </c>
      <c r="E32" s="18">
        <v>0.11880982592099661</v>
      </c>
      <c r="F32" s="18">
        <v>0.1088788690384203</v>
      </c>
      <c r="G32" s="18">
        <v>0.11834644512691</v>
      </c>
      <c r="H32" s="18">
        <v>0.1193464968075774</v>
      </c>
      <c r="I32" s="21">
        <v>0.10432176847298499</v>
      </c>
    </row>
    <row r="33" spans="1:9" x14ac:dyDescent="0.35">
      <c r="A33" s="14" t="s">
        <v>200</v>
      </c>
      <c r="B33" s="18">
        <v>6.2444791037801803E-2</v>
      </c>
      <c r="C33" s="18">
        <v>3.6951967358261797E-2</v>
      </c>
      <c r="D33" s="21">
        <v>3.5770309327140107E-2</v>
      </c>
      <c r="E33" s="18">
        <v>5.6016473938457753E-2</v>
      </c>
      <c r="F33" s="25">
        <v>6.2444791037801782E-2</v>
      </c>
      <c r="G33" s="18">
        <v>6.7562723093679194E-2</v>
      </c>
      <c r="H33" s="18">
        <v>7.1650764068530715E-2</v>
      </c>
      <c r="I33" s="18">
        <v>9.1970293590714902E-2</v>
      </c>
    </row>
    <row r="34" spans="1:9" x14ac:dyDescent="0.35">
      <c r="A34" s="14" t="s">
        <v>201</v>
      </c>
      <c r="B34" s="18">
        <v>2.107603469895418E-2</v>
      </c>
      <c r="C34" s="18">
        <v>0</v>
      </c>
      <c r="D34" s="18">
        <v>1.3381095410677789E-2</v>
      </c>
      <c r="E34" s="18">
        <v>1.6385353365386102E-2</v>
      </c>
      <c r="F34" s="18">
        <v>2.1076034698954169E-2</v>
      </c>
      <c r="G34" s="18">
        <v>3.5290918385245472E-2</v>
      </c>
      <c r="H34" s="18">
        <v>3.102563072640515E-2</v>
      </c>
      <c r="I34" s="19">
        <v>5.3920835384314858E-2</v>
      </c>
    </row>
    <row r="35" spans="1:9" x14ac:dyDescent="0.35">
      <c r="A35" s="14" t="s">
        <v>202</v>
      </c>
      <c r="B35" s="18">
        <v>9.2295423758860795E-3</v>
      </c>
      <c r="C35" s="18">
        <v>1.428396906727555E-2</v>
      </c>
      <c r="D35" s="18">
        <v>1.5789158314651192E-2</v>
      </c>
      <c r="E35" s="18">
        <v>1.171992397041592E-2</v>
      </c>
      <c r="F35" s="18">
        <v>9.2295423758860778E-3</v>
      </c>
      <c r="G35" s="18">
        <v>7.8421821935229959E-3</v>
      </c>
      <c r="H35" s="18">
        <v>9.9147415882620722E-3</v>
      </c>
      <c r="I35" s="18">
        <v>6.8650575885992821E-3</v>
      </c>
    </row>
    <row r="36" spans="1:9" x14ac:dyDescent="0.35">
      <c r="A36" s="14" t="s">
        <v>211</v>
      </c>
      <c r="B36" s="18">
        <v>1.527517201406613E-2</v>
      </c>
      <c r="C36" s="18">
        <v>0</v>
      </c>
      <c r="D36" s="18">
        <v>1.8375524421607441E-2</v>
      </c>
      <c r="E36" s="18">
        <v>1.939682893786952E-2</v>
      </c>
      <c r="F36" s="18">
        <v>1.527517201406613E-2</v>
      </c>
      <c r="G36" s="18">
        <v>1.2979048916302281E-2</v>
      </c>
      <c r="H36" s="18">
        <v>1.419018558519675E-2</v>
      </c>
      <c r="I36" s="18">
        <v>1.514985070782685E-2</v>
      </c>
    </row>
    <row r="37" spans="1:9" x14ac:dyDescent="0.35">
      <c r="A37" s="14" t="s">
        <v>212</v>
      </c>
      <c r="B37" s="18">
        <v>5.3843377158719922E-3</v>
      </c>
      <c r="C37" s="18">
        <v>1.6487275678520479E-2</v>
      </c>
      <c r="D37" s="18">
        <v>9.2110916395558018E-3</v>
      </c>
      <c r="E37" s="18">
        <v>6.8371784960794858E-3</v>
      </c>
      <c r="F37" s="18">
        <v>5.3843377158719914E-3</v>
      </c>
      <c r="G37" s="18">
        <v>4.574978437679237E-3</v>
      </c>
      <c r="H37" s="18">
        <v>4.0220430094572244E-3</v>
      </c>
      <c r="I37" s="18">
        <v>3.086138389294865E-3</v>
      </c>
    </row>
    <row r="38" spans="1:9" x14ac:dyDescent="0.35">
      <c r="A38" s="14" t="s">
        <v>203</v>
      </c>
      <c r="B38" s="18">
        <v>1.6886303769839229E-2</v>
      </c>
      <c r="C38" s="18">
        <v>1.441484477217703E-2</v>
      </c>
      <c r="D38" s="18">
        <v>8.053268396517127E-3</v>
      </c>
      <c r="E38" s="18">
        <v>1.1236302247600491E-2</v>
      </c>
      <c r="F38" s="18">
        <v>1.6886303769839229E-2</v>
      </c>
      <c r="G38" s="25">
        <v>1.434799964559889E-2</v>
      </c>
      <c r="H38" s="18">
        <v>1.2613889324372331E-2</v>
      </c>
      <c r="I38" s="18">
        <v>9.7126593430809285E-3</v>
      </c>
    </row>
    <row r="39" spans="1:9" x14ac:dyDescent="0.35">
      <c r="A39" s="14" t="s">
        <v>204</v>
      </c>
      <c r="B39" s="18">
        <v>0</v>
      </c>
      <c r="C39" s="18">
        <v>0</v>
      </c>
      <c r="D39" s="18">
        <v>0</v>
      </c>
      <c r="E39" s="18">
        <v>0</v>
      </c>
      <c r="F39" s="18">
        <v>0</v>
      </c>
      <c r="G39" s="18">
        <v>0</v>
      </c>
      <c r="H39" s="18">
        <v>0</v>
      </c>
      <c r="I39" s="18">
        <v>0</v>
      </c>
    </row>
    <row r="40" spans="1:9" x14ac:dyDescent="0.35">
      <c r="A40" s="14" t="s">
        <v>213</v>
      </c>
      <c r="B40" s="1">
        <v>38.064000978960912</v>
      </c>
      <c r="C40" s="1">
        <v>38.107723566872487</v>
      </c>
      <c r="D40" s="1">
        <v>39.681256901349769</v>
      </c>
      <c r="E40" s="1">
        <v>37.35136462623872</v>
      </c>
      <c r="F40" s="1">
        <v>38.064000978960912</v>
      </c>
      <c r="G40" s="1">
        <v>34.563509016012347</v>
      </c>
      <c r="H40" s="1">
        <v>34.874190079009288</v>
      </c>
      <c r="I40" s="1">
        <v>30.505965150742099</v>
      </c>
    </row>
    <row r="42" spans="1:9" x14ac:dyDescent="0.35">
      <c r="C42" s="187"/>
      <c r="D42" s="187"/>
      <c r="E42" s="187"/>
      <c r="F42" s="187"/>
      <c r="G42" s="170"/>
      <c r="H42" s="170"/>
      <c r="I42" s="170"/>
    </row>
    <row r="43" spans="1:9" ht="29" x14ac:dyDescent="0.35">
      <c r="A43" s="12" t="s">
        <v>542</v>
      </c>
      <c r="B43" s="13" t="s">
        <v>208</v>
      </c>
      <c r="C43" s="13" t="s">
        <v>458</v>
      </c>
      <c r="D43" s="13" t="s">
        <v>466</v>
      </c>
      <c r="E43" s="13" t="s">
        <v>467</v>
      </c>
      <c r="F43" s="13" t="s">
        <v>468</v>
      </c>
      <c r="G43" s="13" t="s">
        <v>634</v>
      </c>
      <c r="H43" s="13" t="s">
        <v>641</v>
      </c>
      <c r="I43" s="13" t="s">
        <v>647</v>
      </c>
    </row>
    <row r="44" spans="1:9" x14ac:dyDescent="0.35">
      <c r="A44" s="14" t="s">
        <v>209</v>
      </c>
      <c r="B44" s="15">
        <v>48</v>
      </c>
      <c r="C44" s="15">
        <v>12</v>
      </c>
      <c r="D44" s="15">
        <v>26</v>
      </c>
      <c r="E44" s="15">
        <v>37</v>
      </c>
      <c r="F44" s="15">
        <v>48</v>
      </c>
      <c r="G44" s="15">
        <v>59</v>
      </c>
      <c r="H44" s="15">
        <v>65</v>
      </c>
      <c r="I44" s="15">
        <v>66</v>
      </c>
    </row>
    <row r="45" spans="1:9" x14ac:dyDescent="0.35">
      <c r="A45" s="16" t="s">
        <v>336</v>
      </c>
      <c r="B45" s="17">
        <v>0.56999378032875769</v>
      </c>
      <c r="C45" s="17">
        <v>0.59116158401218999</v>
      </c>
      <c r="D45" s="17">
        <v>0.46251746165383922</v>
      </c>
      <c r="E45" s="17">
        <v>0.51327732804313853</v>
      </c>
      <c r="F45" s="17">
        <v>0.56999378032875769</v>
      </c>
      <c r="G45" s="17">
        <v>0.50938692361885707</v>
      </c>
      <c r="H45" s="17">
        <v>0.4898764018595127</v>
      </c>
      <c r="I45" s="17">
        <v>0.48609024230797893</v>
      </c>
    </row>
    <row r="46" spans="1:9" x14ac:dyDescent="0.35">
      <c r="A46" s="16" t="s">
        <v>194</v>
      </c>
      <c r="B46" s="17">
        <v>0.33383350547156621</v>
      </c>
      <c r="C46" s="17">
        <v>0.40883841598781001</v>
      </c>
      <c r="D46" s="17">
        <v>0.42370868831197073</v>
      </c>
      <c r="E46" s="149">
        <v>0.40884830446105003</v>
      </c>
      <c r="F46" s="17">
        <v>0.33383350547156609</v>
      </c>
      <c r="G46" s="17">
        <v>0.36405543396507928</v>
      </c>
      <c r="H46" s="17">
        <v>0.37831798051487742</v>
      </c>
      <c r="I46" s="17">
        <v>0.32549631096127279</v>
      </c>
    </row>
    <row r="47" spans="1:9" x14ac:dyDescent="0.35">
      <c r="A47" s="16" t="s">
        <v>195</v>
      </c>
      <c r="B47" s="17">
        <v>9.6172714199676129E-2</v>
      </c>
      <c r="C47" s="17">
        <v>0</v>
      </c>
      <c r="D47" s="17">
        <v>0.1137738500341901</v>
      </c>
      <c r="E47" s="17">
        <v>7.7874367495811461E-2</v>
      </c>
      <c r="F47" s="17">
        <v>9.6172714199676129E-2</v>
      </c>
      <c r="G47" s="17">
        <v>0.12655764241606371</v>
      </c>
      <c r="H47" s="17">
        <v>0.1318056176256098</v>
      </c>
      <c r="I47" s="17">
        <v>0.18841344673074831</v>
      </c>
    </row>
    <row r="48" spans="1:9" x14ac:dyDescent="0.35">
      <c r="A48" s="14" t="s">
        <v>210</v>
      </c>
      <c r="B48" s="18">
        <v>0.30333610388982613</v>
      </c>
      <c r="C48" s="18">
        <v>0.35082055469894058</v>
      </c>
      <c r="D48" s="18">
        <v>0.2460763002940127</v>
      </c>
      <c r="E48" s="18">
        <v>0.30275007274754451</v>
      </c>
      <c r="F48" s="18">
        <v>0.30333610388982613</v>
      </c>
      <c r="G48" s="18">
        <v>0.27666904901883099</v>
      </c>
      <c r="H48" s="18">
        <v>0.26618870791998339</v>
      </c>
      <c r="I48" s="18">
        <v>0.27967232804959968</v>
      </c>
    </row>
    <row r="49" spans="1:9" x14ac:dyDescent="0.35">
      <c r="A49" s="14" t="s">
        <v>197</v>
      </c>
      <c r="B49" s="18">
        <v>0.26665767643893151</v>
      </c>
      <c r="C49" s="18">
        <v>0.24034102931324941</v>
      </c>
      <c r="D49" s="18">
        <v>0.21644116135982649</v>
      </c>
      <c r="E49" s="18">
        <v>0.21052725529559399</v>
      </c>
      <c r="F49" s="18">
        <v>0.26665767643893151</v>
      </c>
      <c r="G49" s="18">
        <v>0.23271787460002599</v>
      </c>
      <c r="H49" s="18">
        <v>0.22368769393952931</v>
      </c>
      <c r="I49" s="18">
        <v>0.20641791425837919</v>
      </c>
    </row>
    <row r="50" spans="1:9" x14ac:dyDescent="0.35">
      <c r="A50" s="14" t="s">
        <v>198</v>
      </c>
      <c r="B50" s="18">
        <v>0.24793750242636819</v>
      </c>
      <c r="C50" s="18">
        <v>0.33066549832230702</v>
      </c>
      <c r="D50" s="18">
        <v>0.29600386686172958</v>
      </c>
      <c r="E50" s="19">
        <v>0.32143865634230823</v>
      </c>
      <c r="F50" s="18">
        <v>0.24793750242636819</v>
      </c>
      <c r="G50" s="18">
        <v>0.25483172516949493</v>
      </c>
      <c r="H50" s="18">
        <v>0.24508932330384769</v>
      </c>
      <c r="I50" s="18">
        <v>0.19475635619055631</v>
      </c>
    </row>
    <row r="51" spans="1:9" x14ac:dyDescent="0.35">
      <c r="A51" s="14" t="s">
        <v>199</v>
      </c>
      <c r="B51" s="18">
        <v>8.5896003045197997E-2</v>
      </c>
      <c r="C51" s="18">
        <v>7.8172917665502981E-2</v>
      </c>
      <c r="D51" s="18">
        <v>0.12770482145024109</v>
      </c>
      <c r="E51" s="18">
        <v>8.7409648118741787E-2</v>
      </c>
      <c r="F51" s="18">
        <v>8.5896003045197997E-2</v>
      </c>
      <c r="G51" s="18">
        <v>0.10922370879558441</v>
      </c>
      <c r="H51" s="18">
        <v>0.13322865721102961</v>
      </c>
      <c r="I51" s="18">
        <v>0.1307399547707164</v>
      </c>
    </row>
    <row r="52" spans="1:9" x14ac:dyDescent="0.35">
      <c r="A52" s="14" t="s">
        <v>200</v>
      </c>
      <c r="B52" s="18">
        <v>1.6826906296787628E-2</v>
      </c>
      <c r="C52" s="18">
        <v>0</v>
      </c>
      <c r="D52" s="18">
        <v>3.187190927598442E-2</v>
      </c>
      <c r="E52" s="18">
        <v>2.1815248187569521E-2</v>
      </c>
      <c r="F52" s="18">
        <v>1.6826906296787628E-2</v>
      </c>
      <c r="G52" s="18">
        <v>4.2994130402100983E-2</v>
      </c>
      <c r="H52" s="18">
        <v>5.6585757688398138E-2</v>
      </c>
      <c r="I52" s="18">
        <v>7.0216256389930745E-2</v>
      </c>
    </row>
    <row r="53" spans="1:9" x14ac:dyDescent="0.35">
      <c r="A53" s="14" t="s">
        <v>201</v>
      </c>
      <c r="B53" s="18">
        <v>7.9345807902888504E-2</v>
      </c>
      <c r="C53" s="18">
        <v>0</v>
      </c>
      <c r="D53" s="18">
        <v>8.1901940758205727E-2</v>
      </c>
      <c r="E53" s="18">
        <v>5.6059119308241943E-2</v>
      </c>
      <c r="F53" s="18">
        <v>7.9345807902888504E-2</v>
      </c>
      <c r="G53" s="18">
        <v>6.4194001598032693E-2</v>
      </c>
      <c r="H53" s="18">
        <v>5.7784356983540057E-2</v>
      </c>
      <c r="I53" s="18">
        <v>7.4482197555608379E-2</v>
      </c>
    </row>
    <row r="54" spans="1:9" x14ac:dyDescent="0.35">
      <c r="A54" s="14" t="s">
        <v>202</v>
      </c>
      <c r="B54" s="18">
        <v>0</v>
      </c>
      <c r="C54" s="18">
        <v>0</v>
      </c>
      <c r="D54" s="18">
        <v>0</v>
      </c>
      <c r="E54" s="18">
        <v>0</v>
      </c>
      <c r="F54" s="18">
        <v>0</v>
      </c>
      <c r="G54" s="18">
        <v>0</v>
      </c>
      <c r="H54" s="18">
        <v>0</v>
      </c>
      <c r="I54" s="18">
        <v>1.3084792452923129E-2</v>
      </c>
    </row>
    <row r="55" spans="1:9" x14ac:dyDescent="0.35">
      <c r="A55" s="14" t="s">
        <v>211</v>
      </c>
      <c r="B55" s="18">
        <v>0</v>
      </c>
      <c r="C55" s="18">
        <v>0</v>
      </c>
      <c r="D55" s="18">
        <v>0</v>
      </c>
      <c r="E55" s="18">
        <v>0</v>
      </c>
      <c r="F55" s="18">
        <v>0</v>
      </c>
      <c r="G55" s="18">
        <v>0</v>
      </c>
      <c r="H55" s="18">
        <v>0</v>
      </c>
      <c r="I55" s="18">
        <v>0</v>
      </c>
    </row>
    <row r="56" spans="1:9" x14ac:dyDescent="0.35">
      <c r="A56" s="14" t="s">
        <v>212</v>
      </c>
      <c r="B56" s="18">
        <v>0</v>
      </c>
      <c r="C56" s="18">
        <v>0</v>
      </c>
      <c r="D56" s="18">
        <v>0</v>
      </c>
      <c r="E56" s="18">
        <v>0</v>
      </c>
      <c r="F56" s="18">
        <v>0</v>
      </c>
      <c r="G56" s="18">
        <v>1.9369510415930071E-2</v>
      </c>
      <c r="H56" s="18">
        <v>1.743550295367164E-2</v>
      </c>
      <c r="I56" s="18">
        <v>1.693598282958507E-2</v>
      </c>
    </row>
    <row r="57" spans="1:9" x14ac:dyDescent="0.35">
      <c r="A57" s="14" t="s">
        <v>203</v>
      </c>
      <c r="B57" s="18">
        <v>0</v>
      </c>
      <c r="C57" s="18">
        <v>0</v>
      </c>
      <c r="D57" s="18">
        <v>0</v>
      </c>
      <c r="E57" s="18">
        <v>0</v>
      </c>
      <c r="F57" s="18">
        <v>0</v>
      </c>
      <c r="G57" s="18">
        <v>0</v>
      </c>
      <c r="H57" s="18">
        <v>0</v>
      </c>
      <c r="I57" s="18">
        <v>0</v>
      </c>
    </row>
    <row r="58" spans="1:9" x14ac:dyDescent="0.35">
      <c r="A58" s="14" t="s">
        <v>204</v>
      </c>
      <c r="B58" s="18">
        <v>0</v>
      </c>
      <c r="C58" s="18">
        <v>0</v>
      </c>
      <c r="D58" s="18">
        <v>0</v>
      </c>
      <c r="E58" s="18">
        <v>0</v>
      </c>
      <c r="F58" s="18">
        <v>0</v>
      </c>
      <c r="G58" s="18">
        <v>0</v>
      </c>
      <c r="H58" s="18">
        <v>0</v>
      </c>
      <c r="I58" s="18">
        <v>1.369421750270098E-2</v>
      </c>
    </row>
    <row r="59" spans="1:9" x14ac:dyDescent="0.35">
      <c r="A59" s="14" t="s">
        <v>213</v>
      </c>
      <c r="B59" s="1">
        <v>47.382106612908153</v>
      </c>
      <c r="C59" s="1">
        <v>59.116158401219003</v>
      </c>
      <c r="D59" s="1">
        <v>34.874361161964913</v>
      </c>
      <c r="E59" s="1">
        <v>43.540296054732707</v>
      </c>
      <c r="F59" s="1">
        <v>47.382106612908153</v>
      </c>
      <c r="G59" s="1">
        <v>38.282928120279323</v>
      </c>
      <c r="H59" s="1">
        <v>35.80707842339028</v>
      </c>
      <c r="I59" s="1">
        <v>29.76767955772306</v>
      </c>
    </row>
    <row r="61" spans="1:9" x14ac:dyDescent="0.35">
      <c r="C61" s="187"/>
      <c r="D61" s="187"/>
      <c r="E61" s="187"/>
      <c r="F61" s="187"/>
      <c r="G61" s="170"/>
      <c r="H61" s="170"/>
      <c r="I61" s="170"/>
    </row>
    <row r="62" spans="1:9" ht="29" x14ac:dyDescent="0.35">
      <c r="A62" s="12" t="s">
        <v>543</v>
      </c>
      <c r="B62" s="13" t="s">
        <v>208</v>
      </c>
      <c r="C62" s="13" t="s">
        <v>458</v>
      </c>
      <c r="D62" s="13" t="s">
        <v>466</v>
      </c>
      <c r="E62" s="13" t="s">
        <v>467</v>
      </c>
      <c r="F62" s="13" t="s">
        <v>468</v>
      </c>
      <c r="G62" s="13" t="s">
        <v>634</v>
      </c>
      <c r="H62" s="13" t="s">
        <v>641</v>
      </c>
      <c r="I62" s="13" t="s">
        <v>647</v>
      </c>
    </row>
    <row r="63" spans="1:9" x14ac:dyDescent="0.35">
      <c r="A63" s="14" t="s">
        <v>209</v>
      </c>
      <c r="B63" s="15">
        <v>272</v>
      </c>
      <c r="C63" s="15">
        <v>69</v>
      </c>
      <c r="D63" s="15">
        <v>142</v>
      </c>
      <c r="E63" s="15">
        <v>210</v>
      </c>
      <c r="F63" s="15">
        <v>272</v>
      </c>
      <c r="G63" s="15">
        <v>342</v>
      </c>
      <c r="H63" s="15">
        <v>405</v>
      </c>
      <c r="I63" s="15">
        <v>379</v>
      </c>
    </row>
    <row r="64" spans="1:9" x14ac:dyDescent="0.35">
      <c r="A64" s="16" t="s">
        <v>336</v>
      </c>
      <c r="B64" s="17">
        <v>0.43848122122886901</v>
      </c>
      <c r="C64" s="149">
        <v>0.5571319407757801</v>
      </c>
      <c r="D64" s="17">
        <v>0.47960202912550898</v>
      </c>
      <c r="E64" s="17">
        <v>0.43960438291235587</v>
      </c>
      <c r="F64" s="17">
        <v>0.43848122122886901</v>
      </c>
      <c r="G64" s="17">
        <v>0.43516415918571349</v>
      </c>
      <c r="H64" s="17">
        <v>0.43564318059930279</v>
      </c>
      <c r="I64" s="155">
        <v>0.41505492161940388</v>
      </c>
    </row>
    <row r="65" spans="1:9" x14ac:dyDescent="0.35">
      <c r="A65" s="16" t="s">
        <v>194</v>
      </c>
      <c r="B65" s="17">
        <v>0.41676792385732558</v>
      </c>
      <c r="C65" s="17">
        <v>0.34771675482250569</v>
      </c>
      <c r="D65" s="17">
        <v>0.41129645812705617</v>
      </c>
      <c r="E65" s="17">
        <v>0.4387033388611693</v>
      </c>
      <c r="F65" s="17">
        <v>0.41676792385732558</v>
      </c>
      <c r="G65" s="17">
        <v>0.42863798148087201</v>
      </c>
      <c r="H65" s="17">
        <v>0.42142884869862812</v>
      </c>
      <c r="I65" s="17">
        <v>0.43849359463774368</v>
      </c>
    </row>
    <row r="66" spans="1:9" x14ac:dyDescent="0.35">
      <c r="A66" s="16" t="s">
        <v>195</v>
      </c>
      <c r="B66" s="17">
        <v>0.14475085491380521</v>
      </c>
      <c r="C66" s="17">
        <v>9.5151304401714321E-2</v>
      </c>
      <c r="D66" s="154">
        <v>0.1091015127474345</v>
      </c>
      <c r="E66" s="155">
        <v>0.12169227822647501</v>
      </c>
      <c r="F66" s="17">
        <v>0.14475085491380521</v>
      </c>
      <c r="G66" s="17">
        <v>0.13619785933341449</v>
      </c>
      <c r="H66" s="17">
        <v>0.142927970702069</v>
      </c>
      <c r="I66" s="17">
        <v>0.1464514837428525</v>
      </c>
    </row>
    <row r="67" spans="1:9" x14ac:dyDescent="0.35">
      <c r="A67" s="14" t="s">
        <v>210</v>
      </c>
      <c r="B67" s="18">
        <v>0.20933260251453231</v>
      </c>
      <c r="C67" s="18">
        <v>0.2747361079770852</v>
      </c>
      <c r="D67" s="18">
        <v>0.22158272392582881</v>
      </c>
      <c r="E67" s="18">
        <v>0.2026391947860289</v>
      </c>
      <c r="F67" s="18">
        <v>0.20933260251453231</v>
      </c>
      <c r="G67" s="18">
        <v>0.21145344269192939</v>
      </c>
      <c r="H67" s="18">
        <v>0.2169228272825921</v>
      </c>
      <c r="I67" s="18">
        <v>0.2042536635644599</v>
      </c>
    </row>
    <row r="68" spans="1:9" x14ac:dyDescent="0.35">
      <c r="A68" s="14" t="s">
        <v>197</v>
      </c>
      <c r="B68" s="18">
        <v>0.2291486187143367</v>
      </c>
      <c r="C68" s="18">
        <v>0.28239583279869479</v>
      </c>
      <c r="D68" s="18">
        <v>0.25801930519968042</v>
      </c>
      <c r="E68" s="18">
        <v>0.236965188126327</v>
      </c>
      <c r="F68" s="18">
        <v>0.2291486187143367</v>
      </c>
      <c r="G68" s="18">
        <v>0.2237107164937841</v>
      </c>
      <c r="H68" s="18">
        <v>0.21872035331671069</v>
      </c>
      <c r="I68" s="18">
        <v>0.2108012580549439</v>
      </c>
    </row>
    <row r="69" spans="1:9" x14ac:dyDescent="0.35">
      <c r="A69" s="14" t="s">
        <v>198</v>
      </c>
      <c r="B69" s="18">
        <v>0.26634187623099409</v>
      </c>
      <c r="C69" s="18">
        <v>0.24147069391607329</v>
      </c>
      <c r="D69" s="18">
        <v>0.22921573522883781</v>
      </c>
      <c r="E69" s="18">
        <v>0.27345841702387053</v>
      </c>
      <c r="F69" s="18">
        <v>0.26634187623099409</v>
      </c>
      <c r="G69" s="18">
        <v>0.28286224786757302</v>
      </c>
      <c r="H69" s="18">
        <v>0.2820862237561842</v>
      </c>
      <c r="I69" s="18">
        <v>0.29359595763710439</v>
      </c>
    </row>
    <row r="70" spans="1:9" x14ac:dyDescent="0.35">
      <c r="A70" s="14" t="s">
        <v>199</v>
      </c>
      <c r="B70" s="18">
        <v>0.15042604762633149</v>
      </c>
      <c r="C70" s="18">
        <v>0.1062460609064324</v>
      </c>
      <c r="D70" s="18">
        <v>0.1820807228982185</v>
      </c>
      <c r="E70" s="18">
        <v>0.1652449218372988</v>
      </c>
      <c r="F70" s="18">
        <v>0.15042604762633149</v>
      </c>
      <c r="G70" s="18">
        <v>0.1457757336132991</v>
      </c>
      <c r="H70" s="18">
        <v>0.13934262494244401</v>
      </c>
      <c r="I70" s="18">
        <v>0.14489763700063929</v>
      </c>
    </row>
    <row r="71" spans="1:9" x14ac:dyDescent="0.35">
      <c r="A71" s="14" t="s">
        <v>200</v>
      </c>
      <c r="B71" s="18">
        <v>6.0258270350560562E-2</v>
      </c>
      <c r="C71" s="18">
        <v>4.5211377600068582E-2</v>
      </c>
      <c r="D71" s="18">
        <v>4.9877804119911461E-2</v>
      </c>
      <c r="E71" s="21">
        <v>4.0332449101794898E-2</v>
      </c>
      <c r="F71" s="18">
        <v>6.0258270350560562E-2</v>
      </c>
      <c r="G71" s="18">
        <v>6.054685473621553E-2</v>
      </c>
      <c r="H71" s="18">
        <v>6.1147849877292347E-2</v>
      </c>
      <c r="I71" s="18">
        <v>6.0488790722518067E-2</v>
      </c>
    </row>
    <row r="72" spans="1:9" x14ac:dyDescent="0.35">
      <c r="A72" s="14" t="s">
        <v>201</v>
      </c>
      <c r="B72" s="18">
        <v>4.8457040645237801E-2</v>
      </c>
      <c r="C72" s="18">
        <v>2.1138226041485911E-2</v>
      </c>
      <c r="D72" s="18">
        <v>3.9318012764940277E-2</v>
      </c>
      <c r="E72" s="18">
        <v>4.7661134810219087E-2</v>
      </c>
      <c r="F72" s="18">
        <v>4.8457040645237801E-2</v>
      </c>
      <c r="G72" s="18">
        <v>4.1774826985361738E-2</v>
      </c>
      <c r="H72" s="18">
        <v>4.5043924445693093E-2</v>
      </c>
      <c r="I72" s="18">
        <v>4.6738395904656491E-2</v>
      </c>
    </row>
    <row r="73" spans="1:9" x14ac:dyDescent="0.35">
      <c r="A73" s="14" t="s">
        <v>202</v>
      </c>
      <c r="B73" s="18">
        <v>6.7193632643126862E-3</v>
      </c>
      <c r="C73" s="18">
        <v>1.419568719652169E-2</v>
      </c>
      <c r="D73" s="18">
        <v>1.270222767961195E-2</v>
      </c>
      <c r="E73" s="18">
        <v>8.7338243094146738E-3</v>
      </c>
      <c r="F73" s="18">
        <v>6.7193632643126862E-3</v>
      </c>
      <c r="G73" s="18">
        <v>5.3628249256833732E-3</v>
      </c>
      <c r="H73" s="18">
        <v>4.5188562728119041E-3</v>
      </c>
      <c r="I73" s="18">
        <v>2.187358389224642E-3</v>
      </c>
    </row>
    <row r="74" spans="1:9" x14ac:dyDescent="0.35">
      <c r="A74" s="14" t="s">
        <v>211</v>
      </c>
      <c r="B74" s="18">
        <v>1.052326128317076E-2</v>
      </c>
      <c r="C74" s="18">
        <v>1.460601356363813E-2</v>
      </c>
      <c r="D74" s="18">
        <v>7.2034681829708401E-3</v>
      </c>
      <c r="E74" s="23">
        <v>4.9529757390120938E-3</v>
      </c>
      <c r="F74" s="18">
        <v>1.052326128317076E-2</v>
      </c>
      <c r="G74" s="18">
        <v>1.3514440964581719E-2</v>
      </c>
      <c r="H74" s="18">
        <v>1.1387620735831539E-2</v>
      </c>
      <c r="I74" s="18">
        <v>1.4572578015294581E-2</v>
      </c>
    </row>
    <row r="75" spans="1:9" x14ac:dyDescent="0.35">
      <c r="A75" s="14" t="s">
        <v>212</v>
      </c>
      <c r="B75" s="18">
        <v>3.0121415625736911E-3</v>
      </c>
      <c r="C75" s="18">
        <v>0</v>
      </c>
      <c r="D75" s="18">
        <v>0</v>
      </c>
      <c r="E75" s="18">
        <v>3.915179782335426E-3</v>
      </c>
      <c r="F75" s="18">
        <v>3.0121415625736911E-3</v>
      </c>
      <c r="G75" s="25">
        <v>2.4040355039666671E-3</v>
      </c>
      <c r="H75" s="18">
        <v>2.0257030702485572E-3</v>
      </c>
      <c r="I75" s="18">
        <v>2.184672949955533E-3</v>
      </c>
    </row>
    <row r="76" spans="1:9" x14ac:dyDescent="0.35">
      <c r="A76" s="14" t="s">
        <v>203</v>
      </c>
      <c r="B76" s="18">
        <v>4.6448429733067856E-3</v>
      </c>
      <c r="C76" s="18">
        <v>0</v>
      </c>
      <c r="D76" s="18">
        <v>0</v>
      </c>
      <c r="E76" s="18">
        <v>6.0373640891151171E-3</v>
      </c>
      <c r="F76" s="18">
        <v>4.6448429733067856E-3</v>
      </c>
      <c r="G76" s="18">
        <v>3.707119066687766E-3</v>
      </c>
      <c r="H76" s="18">
        <v>3.1237152957082509E-3</v>
      </c>
      <c r="I76" s="18">
        <v>3.3688532194695322E-3</v>
      </c>
    </row>
    <row r="77" spans="1:9" x14ac:dyDescent="0.35">
      <c r="A77" s="14" t="s">
        <v>204</v>
      </c>
      <c r="B77" s="18">
        <v>1.113593483464295E-2</v>
      </c>
      <c r="C77" s="18">
        <v>0</v>
      </c>
      <c r="D77" s="23">
        <v>0</v>
      </c>
      <c r="E77" s="18">
        <v>1.0059350394583749E-2</v>
      </c>
      <c r="F77" s="18">
        <v>1.113593483464295E-2</v>
      </c>
      <c r="G77" s="18">
        <v>8.8877571509177241E-3</v>
      </c>
      <c r="H77" s="18">
        <v>1.5680301004483279E-2</v>
      </c>
      <c r="I77" s="18">
        <v>1.691083454173364E-2</v>
      </c>
    </row>
    <row r="78" spans="1:9" x14ac:dyDescent="0.35">
      <c r="A78" s="14" t="s">
        <v>213</v>
      </c>
      <c r="B78" s="1">
        <v>29.37303663150638</v>
      </c>
      <c r="C78" s="1">
        <v>46.198063637406577</v>
      </c>
      <c r="D78" s="1">
        <v>37.050051637807456</v>
      </c>
      <c r="E78" s="1">
        <v>31.791210468588069</v>
      </c>
      <c r="F78" s="1">
        <v>29.37303663150638</v>
      </c>
      <c r="G78" s="1">
        <v>29.8966299852299</v>
      </c>
      <c r="H78" s="1">
        <v>29.271520989723381</v>
      </c>
      <c r="I78" s="1">
        <v>26.86034378765514</v>
      </c>
    </row>
    <row r="80" spans="1:9" x14ac:dyDescent="0.35">
      <c r="C80" s="187"/>
      <c r="D80" s="187"/>
      <c r="E80" s="187"/>
      <c r="F80" s="187"/>
      <c r="G80" s="170"/>
      <c r="H80" s="170"/>
      <c r="I80" s="170"/>
    </row>
    <row r="81" spans="1:9" ht="29" x14ac:dyDescent="0.35">
      <c r="A81" s="12" t="s">
        <v>544</v>
      </c>
      <c r="B81" s="13" t="s">
        <v>208</v>
      </c>
      <c r="C81" s="13" t="s">
        <v>458</v>
      </c>
      <c r="D81" s="13" t="s">
        <v>466</v>
      </c>
      <c r="E81" s="13" t="s">
        <v>467</v>
      </c>
      <c r="F81" s="13" t="s">
        <v>468</v>
      </c>
      <c r="G81" s="13" t="s">
        <v>634</v>
      </c>
      <c r="H81" s="13" t="s">
        <v>641</v>
      </c>
      <c r="I81" s="13" t="s">
        <v>647</v>
      </c>
    </row>
    <row r="82" spans="1:9" x14ac:dyDescent="0.35">
      <c r="A82" s="14" t="s">
        <v>209</v>
      </c>
      <c r="B82" s="15">
        <v>53</v>
      </c>
      <c r="C82" s="15">
        <v>12</v>
      </c>
      <c r="D82" s="15">
        <v>22</v>
      </c>
      <c r="E82" s="15">
        <v>39</v>
      </c>
      <c r="F82" s="15">
        <v>53</v>
      </c>
      <c r="G82" s="15">
        <v>66</v>
      </c>
      <c r="H82" s="15">
        <v>76</v>
      </c>
      <c r="I82" s="15">
        <v>73</v>
      </c>
    </row>
    <row r="83" spans="1:9" x14ac:dyDescent="0.35">
      <c r="A83" s="16" t="s">
        <v>336</v>
      </c>
      <c r="B83" s="17">
        <v>0.56125459465857197</v>
      </c>
      <c r="C83" s="17">
        <v>0.44200525214412401</v>
      </c>
      <c r="D83" s="17">
        <v>0.44011230470596241</v>
      </c>
      <c r="E83" s="17">
        <v>0.5503147476614777</v>
      </c>
      <c r="F83" s="17">
        <v>0.56125459465857197</v>
      </c>
      <c r="G83" s="17">
        <v>0.53127680711061565</v>
      </c>
      <c r="H83" s="17">
        <v>0.53024642393642885</v>
      </c>
      <c r="I83" s="17">
        <v>0.50150757397886825</v>
      </c>
    </row>
    <row r="84" spans="1:9" x14ac:dyDescent="0.35">
      <c r="A84" s="16" t="s">
        <v>194</v>
      </c>
      <c r="B84" s="17">
        <v>0.33482912784889168</v>
      </c>
      <c r="C84" s="17">
        <v>0.48692314852676422</v>
      </c>
      <c r="D84" s="17">
        <v>0.43297476026315013</v>
      </c>
      <c r="E84" s="17">
        <v>0.35523591758488932</v>
      </c>
      <c r="F84" s="17">
        <v>0.33482912784889179</v>
      </c>
      <c r="G84" s="17">
        <v>0.35313607867106678</v>
      </c>
      <c r="H84" s="17">
        <v>0.35404327539530378</v>
      </c>
      <c r="I84" s="17">
        <v>0.39027183709921492</v>
      </c>
    </row>
    <row r="85" spans="1:9" x14ac:dyDescent="0.35">
      <c r="A85" s="16" t="s">
        <v>195</v>
      </c>
      <c r="B85" s="17">
        <v>0.1039162774925363</v>
      </c>
      <c r="C85" s="17">
        <v>7.1071599329111931E-2</v>
      </c>
      <c r="D85" s="17">
        <v>0.1269129350308876</v>
      </c>
      <c r="E85" s="17">
        <v>9.4449334753633193E-2</v>
      </c>
      <c r="F85" s="17">
        <v>0.1039162774925363</v>
      </c>
      <c r="G85" s="17">
        <v>0.11558711421831749</v>
      </c>
      <c r="H85" s="17">
        <v>0.1157103006682675</v>
      </c>
      <c r="I85" s="17">
        <v>0.10822058892191699</v>
      </c>
    </row>
    <row r="86" spans="1:9" x14ac:dyDescent="0.35">
      <c r="A86" s="14" t="s">
        <v>210</v>
      </c>
      <c r="B86" s="18">
        <v>0.31583160976001412</v>
      </c>
      <c r="C86" s="18">
        <v>0.3459135167971602</v>
      </c>
      <c r="D86" s="18">
        <v>0.29964437565024082</v>
      </c>
      <c r="E86" s="18">
        <v>0.37632642255159748</v>
      </c>
      <c r="F86" s="18">
        <v>0.31583160976001412</v>
      </c>
      <c r="G86" s="18">
        <v>0.28580460627814708</v>
      </c>
      <c r="H86" s="18">
        <v>0.27641025720468049</v>
      </c>
      <c r="I86" s="18">
        <v>0.24133347524108789</v>
      </c>
    </row>
    <row r="87" spans="1:9" x14ac:dyDescent="0.35">
      <c r="A87" s="14" t="s">
        <v>197</v>
      </c>
      <c r="B87" s="18">
        <v>0.24542298489855791</v>
      </c>
      <c r="C87" s="18">
        <v>9.6091735346963761E-2</v>
      </c>
      <c r="D87" s="18">
        <v>0.14046792905572161</v>
      </c>
      <c r="E87" s="21">
        <v>0.17398832510988019</v>
      </c>
      <c r="F87" s="18">
        <v>0.24542298489855799</v>
      </c>
      <c r="G87" s="18">
        <v>0.24547220083246851</v>
      </c>
      <c r="H87" s="18">
        <v>0.25383616673174841</v>
      </c>
      <c r="I87" s="18">
        <v>0.26017409873778019</v>
      </c>
    </row>
    <row r="88" spans="1:9" x14ac:dyDescent="0.35">
      <c r="A88" s="14" t="s">
        <v>198</v>
      </c>
      <c r="B88" s="18">
        <v>0.1797226051608099</v>
      </c>
      <c r="C88" s="18">
        <v>0.21604821992608819</v>
      </c>
      <c r="D88" s="18">
        <v>0.1971030856334432</v>
      </c>
      <c r="E88" s="18">
        <v>0.19347187657564779</v>
      </c>
      <c r="F88" s="18">
        <v>0.1797226051608099</v>
      </c>
      <c r="G88" s="18">
        <v>0.18871590357291801</v>
      </c>
      <c r="H88" s="18">
        <v>0.16325134325189741</v>
      </c>
      <c r="I88" s="18">
        <v>0.17840124262289461</v>
      </c>
    </row>
    <row r="89" spans="1:9" x14ac:dyDescent="0.35">
      <c r="A89" s="14" t="s">
        <v>199</v>
      </c>
      <c r="B89" s="18">
        <v>0.15510652268808181</v>
      </c>
      <c r="C89" s="18">
        <v>0.27087492860067602</v>
      </c>
      <c r="D89" s="18">
        <v>0.2358716746297069</v>
      </c>
      <c r="E89" s="18">
        <v>0.16176404100924141</v>
      </c>
      <c r="F89" s="18">
        <v>0.15510652268808189</v>
      </c>
      <c r="G89" s="18">
        <v>0.16442017509814891</v>
      </c>
      <c r="H89" s="18">
        <v>0.19079193214340651</v>
      </c>
      <c r="I89" s="18">
        <v>0.2118705944763204</v>
      </c>
    </row>
    <row r="90" spans="1:9" x14ac:dyDescent="0.35">
      <c r="A90" s="14" t="s">
        <v>200</v>
      </c>
      <c r="B90" s="18">
        <v>6.5865103313133014E-2</v>
      </c>
      <c r="C90" s="18">
        <v>7.1071599329111931E-2</v>
      </c>
      <c r="D90" s="18">
        <v>7.7809771988359297E-2</v>
      </c>
      <c r="E90" s="18">
        <v>4.3322816639686387E-2</v>
      </c>
      <c r="F90" s="18">
        <v>6.5865103313133028E-2</v>
      </c>
      <c r="G90" s="18">
        <v>8.4762906452679684E-2</v>
      </c>
      <c r="H90" s="18">
        <v>8.9045386757227687E-2</v>
      </c>
      <c r="I90" s="18">
        <v>8.0534938717089097E-2</v>
      </c>
    </row>
    <row r="91" spans="1:9" x14ac:dyDescent="0.35">
      <c r="A91" s="14" t="s">
        <v>201</v>
      </c>
      <c r="B91" s="18">
        <v>1.770354302570798E-2</v>
      </c>
      <c r="C91" s="18">
        <v>0</v>
      </c>
      <c r="D91" s="18">
        <v>0</v>
      </c>
      <c r="E91" s="18">
        <v>2.3786927281598261E-2</v>
      </c>
      <c r="F91" s="18">
        <v>1.770354302570798E-2</v>
      </c>
      <c r="G91" s="18">
        <v>1.4341152413312691E-2</v>
      </c>
      <c r="H91" s="18">
        <v>1.2406015343316659E-2</v>
      </c>
      <c r="I91" s="18">
        <v>1.2880919187539201E-2</v>
      </c>
    </row>
    <row r="92" spans="1:9" x14ac:dyDescent="0.35">
      <c r="A92" s="14" t="s">
        <v>202</v>
      </c>
      <c r="B92" s="18">
        <v>0</v>
      </c>
      <c r="C92" s="18">
        <v>0</v>
      </c>
      <c r="D92" s="18">
        <v>0</v>
      </c>
      <c r="E92" s="18">
        <v>0</v>
      </c>
      <c r="F92" s="18">
        <v>0</v>
      </c>
      <c r="G92" s="18">
        <v>0</v>
      </c>
      <c r="H92" s="18">
        <v>0</v>
      </c>
      <c r="I92" s="18">
        <v>0</v>
      </c>
    </row>
    <row r="93" spans="1:9" x14ac:dyDescent="0.35">
      <c r="A93" s="14" t="s">
        <v>211</v>
      </c>
      <c r="B93" s="18">
        <v>0</v>
      </c>
      <c r="C93" s="18">
        <v>0</v>
      </c>
      <c r="D93" s="18">
        <v>0</v>
      </c>
      <c r="E93" s="18">
        <v>0</v>
      </c>
      <c r="F93" s="18">
        <v>0</v>
      </c>
      <c r="G93" s="18">
        <v>0</v>
      </c>
      <c r="H93" s="18">
        <v>0</v>
      </c>
      <c r="I93" s="18">
        <v>0</v>
      </c>
    </row>
    <row r="94" spans="1:9" x14ac:dyDescent="0.35">
      <c r="A94" s="14" t="s">
        <v>212</v>
      </c>
      <c r="B94" s="18">
        <v>2.0347631153695301E-2</v>
      </c>
      <c r="C94" s="18">
        <v>0</v>
      </c>
      <c r="D94" s="18">
        <v>4.9103163042528257E-2</v>
      </c>
      <c r="E94" s="18">
        <v>2.7339590832348531E-2</v>
      </c>
      <c r="F94" s="18">
        <v>2.0347631153695301E-2</v>
      </c>
      <c r="G94" s="18">
        <v>1.648305535232512E-2</v>
      </c>
      <c r="H94" s="18">
        <v>1.4258898567723111E-2</v>
      </c>
      <c r="I94" s="18">
        <v>1.4804731017288721E-2</v>
      </c>
    </row>
    <row r="95" spans="1:9" x14ac:dyDescent="0.35">
      <c r="A95" s="14" t="s">
        <v>203</v>
      </c>
      <c r="B95" s="18">
        <v>0</v>
      </c>
      <c r="C95" s="18">
        <v>0</v>
      </c>
      <c r="D95" s="18">
        <v>0</v>
      </c>
      <c r="E95" s="18">
        <v>0</v>
      </c>
      <c r="F95" s="18">
        <v>0</v>
      </c>
      <c r="G95" s="18">
        <v>0</v>
      </c>
      <c r="H95" s="18">
        <v>0</v>
      </c>
      <c r="I95" s="18">
        <v>0</v>
      </c>
    </row>
    <row r="96" spans="1:9" x14ac:dyDescent="0.35">
      <c r="A96" s="14" t="s">
        <v>204</v>
      </c>
      <c r="B96" s="18">
        <v>0</v>
      </c>
      <c r="C96" s="18">
        <v>0</v>
      </c>
      <c r="D96" s="18">
        <v>0</v>
      </c>
      <c r="E96" s="18">
        <v>0</v>
      </c>
      <c r="F96" s="18">
        <v>0</v>
      </c>
      <c r="G96" s="18">
        <v>0</v>
      </c>
      <c r="H96" s="18">
        <v>0</v>
      </c>
      <c r="I96" s="18">
        <v>0</v>
      </c>
    </row>
    <row r="97" spans="1:9" x14ac:dyDescent="0.35">
      <c r="A97" s="14" t="s">
        <v>213</v>
      </c>
      <c r="B97" s="1">
        <v>45.733831716603582</v>
      </c>
      <c r="C97" s="1">
        <v>37.093365281501207</v>
      </c>
      <c r="D97" s="1">
        <v>31.319936967507491</v>
      </c>
      <c r="E97" s="1">
        <v>45.58654129078446</v>
      </c>
      <c r="F97" s="1">
        <v>45.733831716603582</v>
      </c>
      <c r="G97" s="1">
        <v>41.56896928922982</v>
      </c>
      <c r="H97" s="1">
        <v>41.453612326816142</v>
      </c>
      <c r="I97" s="1">
        <v>39.328698505695108</v>
      </c>
    </row>
    <row r="99" spans="1:9" x14ac:dyDescent="0.35">
      <c r="C99" s="187"/>
      <c r="D99" s="187"/>
      <c r="E99" s="187"/>
      <c r="F99" s="187"/>
      <c r="G99" s="170"/>
      <c r="H99" s="170"/>
      <c r="I99" s="170"/>
    </row>
    <row r="100" spans="1:9" ht="29" x14ac:dyDescent="0.35">
      <c r="A100" s="12" t="s">
        <v>545</v>
      </c>
      <c r="B100" s="13" t="s">
        <v>208</v>
      </c>
      <c r="C100" s="13" t="s">
        <v>458</v>
      </c>
      <c r="D100" s="13" t="s">
        <v>466</v>
      </c>
      <c r="E100" s="13" t="s">
        <v>467</v>
      </c>
      <c r="F100" s="13" t="s">
        <v>468</v>
      </c>
      <c r="G100" s="13" t="s">
        <v>634</v>
      </c>
      <c r="H100" s="13" t="s">
        <v>641</v>
      </c>
      <c r="I100" s="13" t="s">
        <v>647</v>
      </c>
    </row>
    <row r="101" spans="1:9" x14ac:dyDescent="0.35">
      <c r="A101" s="14" t="s">
        <v>209</v>
      </c>
      <c r="B101" s="15">
        <v>141</v>
      </c>
      <c r="C101" s="15">
        <v>38</v>
      </c>
      <c r="D101" s="15">
        <v>69</v>
      </c>
      <c r="E101" s="15">
        <v>99</v>
      </c>
      <c r="F101" s="15">
        <v>141</v>
      </c>
      <c r="G101" s="15">
        <v>176</v>
      </c>
      <c r="H101" s="15">
        <v>200</v>
      </c>
      <c r="I101" s="15">
        <v>184</v>
      </c>
    </row>
    <row r="102" spans="1:9" x14ac:dyDescent="0.35">
      <c r="A102" s="16" t="s">
        <v>336</v>
      </c>
      <c r="B102" s="17">
        <v>0.48719109426481932</v>
      </c>
      <c r="C102" s="17">
        <v>0.48419023707627962</v>
      </c>
      <c r="D102" s="17">
        <v>0.47697058970969453</v>
      </c>
      <c r="E102" s="17">
        <v>0.48359457074853901</v>
      </c>
      <c r="F102" s="17">
        <v>0.48719109426481921</v>
      </c>
      <c r="G102" s="17">
        <v>0.48367957794295408</v>
      </c>
      <c r="H102" s="17">
        <v>0.47072627787502502</v>
      </c>
      <c r="I102" s="17">
        <v>0.48816751490647281</v>
      </c>
    </row>
    <row r="103" spans="1:9" x14ac:dyDescent="0.35">
      <c r="A103" s="16" t="s">
        <v>194</v>
      </c>
      <c r="B103" s="17">
        <v>0.41973004604950331</v>
      </c>
      <c r="C103" s="17">
        <v>0.42734167401008699</v>
      </c>
      <c r="D103" s="17">
        <v>0.42149892853187942</v>
      </c>
      <c r="E103" s="17">
        <v>0.38957057152940627</v>
      </c>
      <c r="F103" s="17">
        <v>0.4197300460495032</v>
      </c>
      <c r="G103" s="17">
        <v>0.42319390297073117</v>
      </c>
      <c r="H103" s="17">
        <v>0.43279459040729279</v>
      </c>
      <c r="I103" s="17">
        <v>0.41397443153582142</v>
      </c>
    </row>
    <row r="104" spans="1:9" x14ac:dyDescent="0.35">
      <c r="A104" s="16" t="s">
        <v>195</v>
      </c>
      <c r="B104" s="17">
        <v>9.3078859685677334E-2</v>
      </c>
      <c r="C104" s="17">
        <v>8.8468088913633267E-2</v>
      </c>
      <c r="D104" s="17">
        <v>0.1015304817584262</v>
      </c>
      <c r="E104" s="149">
        <v>0.12683485772205491</v>
      </c>
      <c r="F104" s="17">
        <v>9.307885968567732E-2</v>
      </c>
      <c r="G104" s="17">
        <v>9.3126519086314474E-2</v>
      </c>
      <c r="H104" s="17">
        <v>9.6479131717682007E-2</v>
      </c>
      <c r="I104" s="17">
        <v>9.7858053557705688E-2</v>
      </c>
    </row>
    <row r="105" spans="1:9" x14ac:dyDescent="0.35">
      <c r="A105" s="14" t="s">
        <v>210</v>
      </c>
      <c r="B105" s="18">
        <v>0.24489140771695081</v>
      </c>
      <c r="C105" s="18">
        <v>0.24271880625665659</v>
      </c>
      <c r="D105" s="18">
        <v>0.24828499019055231</v>
      </c>
      <c r="E105" s="18">
        <v>0.24771709808227499</v>
      </c>
      <c r="F105" s="18">
        <v>0.24489140771695081</v>
      </c>
      <c r="G105" s="18">
        <v>0.25296779214677262</v>
      </c>
      <c r="H105" s="18">
        <v>0.2436059227498025</v>
      </c>
      <c r="I105" s="18">
        <v>0.25757044913938909</v>
      </c>
    </row>
    <row r="106" spans="1:9" x14ac:dyDescent="0.35">
      <c r="A106" s="14" t="s">
        <v>197</v>
      </c>
      <c r="B106" s="18">
        <v>0.24229968654786849</v>
      </c>
      <c r="C106" s="18">
        <v>0.241471430819623</v>
      </c>
      <c r="D106" s="18">
        <v>0.22868559951914211</v>
      </c>
      <c r="E106" s="18">
        <v>0.23587747266626399</v>
      </c>
      <c r="F106" s="18">
        <v>0.24229968654786849</v>
      </c>
      <c r="G106" s="18">
        <v>0.2307117857961816</v>
      </c>
      <c r="H106" s="18">
        <v>0.2271203551252225</v>
      </c>
      <c r="I106" s="18">
        <v>0.23059706576708369</v>
      </c>
    </row>
    <row r="107" spans="1:9" x14ac:dyDescent="0.35">
      <c r="A107" s="14" t="s">
        <v>198</v>
      </c>
      <c r="B107" s="18">
        <v>0.2849889249399693</v>
      </c>
      <c r="C107" s="18">
        <v>0.2845208532456372</v>
      </c>
      <c r="D107" s="18">
        <v>0.30468483466680679</v>
      </c>
      <c r="E107" s="18">
        <v>0.27688257011634138</v>
      </c>
      <c r="F107" s="18">
        <v>0.2849889249399693</v>
      </c>
      <c r="G107" s="18">
        <v>0.2793104709351259</v>
      </c>
      <c r="H107" s="18">
        <v>0.27567393920620581</v>
      </c>
      <c r="I107" s="18">
        <v>0.26286328079665211</v>
      </c>
    </row>
    <row r="108" spans="1:9" x14ac:dyDescent="0.35">
      <c r="A108" s="14" t="s">
        <v>199</v>
      </c>
      <c r="B108" s="18">
        <v>0.13474112110953401</v>
      </c>
      <c r="C108" s="18">
        <v>0.1428208207644498</v>
      </c>
      <c r="D108" s="18">
        <v>0.1168140938650726</v>
      </c>
      <c r="E108" s="18">
        <v>0.1126880014130649</v>
      </c>
      <c r="F108" s="18">
        <v>0.1347411211095339</v>
      </c>
      <c r="G108" s="18">
        <v>0.1438834320356053</v>
      </c>
      <c r="H108" s="18">
        <v>0.15712065120108701</v>
      </c>
      <c r="I108" s="18">
        <v>0.15111115073916939</v>
      </c>
    </row>
    <row r="109" spans="1:9" x14ac:dyDescent="0.35">
      <c r="A109" s="14" t="s">
        <v>200</v>
      </c>
      <c r="B109" s="18">
        <v>3.8054644933004998E-2</v>
      </c>
      <c r="C109" s="18">
        <v>0</v>
      </c>
      <c r="D109" s="18">
        <v>2.3370915622229999E-2</v>
      </c>
      <c r="E109" s="18">
        <v>5.5226293470593331E-2</v>
      </c>
      <c r="F109" s="18">
        <v>3.8054644933004991E-2</v>
      </c>
      <c r="G109" s="18">
        <v>4.8755760168824241E-2</v>
      </c>
      <c r="H109" s="18">
        <v>4.3076733421328221E-2</v>
      </c>
      <c r="I109" s="18">
        <v>5.1677068607196557E-2</v>
      </c>
    </row>
    <row r="110" spans="1:9" x14ac:dyDescent="0.35">
      <c r="A110" s="14" t="s">
        <v>201</v>
      </c>
      <c r="B110" s="18">
        <v>1.338975658454626E-2</v>
      </c>
      <c r="C110" s="18">
        <v>2.6257285445753571E-2</v>
      </c>
      <c r="D110" s="18">
        <v>1.447635066441509E-2</v>
      </c>
      <c r="E110" s="18">
        <v>1.9431704800814419E-2</v>
      </c>
      <c r="F110" s="18">
        <v>1.338975658454626E-2</v>
      </c>
      <c r="G110" s="25">
        <v>1.0797312856662369E-2</v>
      </c>
      <c r="H110" s="18">
        <v>1.459665650138223E-2</v>
      </c>
      <c r="I110" s="18">
        <v>1.0484380219808071E-2</v>
      </c>
    </row>
    <row r="111" spans="1:9" x14ac:dyDescent="0.35">
      <c r="A111" s="14" t="s">
        <v>202</v>
      </c>
      <c r="B111" s="18">
        <v>1.424226510897212E-2</v>
      </c>
      <c r="C111" s="18">
        <v>3.2353896162959431E-2</v>
      </c>
      <c r="D111" s="18">
        <v>2.9514439723579821E-2</v>
      </c>
      <c r="E111" s="18">
        <v>2.0668896372014481E-2</v>
      </c>
      <c r="F111" s="18">
        <v>1.424226510897212E-2</v>
      </c>
      <c r="G111" s="18">
        <v>1.14847638340626E-2</v>
      </c>
      <c r="H111" s="18">
        <v>1.014702895357926E-2</v>
      </c>
      <c r="I111" s="23">
        <v>4.3753375888287089E-3</v>
      </c>
    </row>
    <row r="112" spans="1:9" x14ac:dyDescent="0.35">
      <c r="A112" s="14" t="s">
        <v>211</v>
      </c>
      <c r="B112" s="18">
        <v>7.9432569449929234E-3</v>
      </c>
      <c r="C112" s="20">
        <v>2.9856907304920272E-2</v>
      </c>
      <c r="D112" s="18">
        <v>1.6460919419637201E-2</v>
      </c>
      <c r="E112" s="18">
        <v>1.152754519004962E-2</v>
      </c>
      <c r="F112" s="18">
        <v>7.9432569449929217E-3</v>
      </c>
      <c r="G112" s="18">
        <v>6.4053315528477209E-3</v>
      </c>
      <c r="H112" s="18">
        <v>9.8976859154642424E-3</v>
      </c>
      <c r="I112" s="18">
        <v>4.6194176687719196E-3</v>
      </c>
    </row>
    <row r="113" spans="1:9" x14ac:dyDescent="0.35">
      <c r="A113" s="14" t="s">
        <v>212</v>
      </c>
      <c r="B113" s="18">
        <v>8.5449694015878944E-3</v>
      </c>
      <c r="C113" s="18">
        <v>0</v>
      </c>
      <c r="D113" s="18">
        <v>1.7707856328564121E-2</v>
      </c>
      <c r="E113" s="18">
        <v>1.2400772328847721E-2</v>
      </c>
      <c r="F113" s="18">
        <v>8.5449694015878926E-3</v>
      </c>
      <c r="G113" s="18">
        <v>6.8905440809906978E-3</v>
      </c>
      <c r="H113" s="18">
        <v>6.0879397526970259E-3</v>
      </c>
      <c r="I113" s="18">
        <v>6.635159635736956E-3</v>
      </c>
    </row>
    <row r="114" spans="1:9" x14ac:dyDescent="0.35">
      <c r="A114" s="14" t="s">
        <v>203</v>
      </c>
      <c r="B114" s="18">
        <v>5.2228875480724588E-3</v>
      </c>
      <c r="C114" s="18">
        <v>0</v>
      </c>
      <c r="D114" s="18">
        <v>0</v>
      </c>
      <c r="E114" s="18">
        <v>7.5796455597353651E-3</v>
      </c>
      <c r="F114" s="18">
        <v>5.2228875480724579E-3</v>
      </c>
      <c r="G114" s="18">
        <v>4.2116636337355432E-3</v>
      </c>
      <c r="H114" s="18">
        <v>8.6255515931322572E-3</v>
      </c>
      <c r="I114" s="18">
        <v>1.5655337919272799E-2</v>
      </c>
    </row>
    <row r="115" spans="1:9" x14ac:dyDescent="0.35">
      <c r="A115" s="14" t="s">
        <v>204</v>
      </c>
      <c r="B115" s="18">
        <v>5.681079164500666E-3</v>
      </c>
      <c r="C115" s="18">
        <v>0</v>
      </c>
      <c r="D115" s="18">
        <v>0</v>
      </c>
      <c r="E115" s="18">
        <v>0</v>
      </c>
      <c r="F115" s="18">
        <v>5.6810791645006652E-3</v>
      </c>
      <c r="G115" s="18">
        <v>4.58114295919132E-3</v>
      </c>
      <c r="H115" s="18">
        <v>4.0475355800987838E-3</v>
      </c>
      <c r="I115" s="18">
        <v>4.4113519180906937E-3</v>
      </c>
    </row>
    <row r="116" spans="1:9" x14ac:dyDescent="0.35">
      <c r="A116" s="14" t="s">
        <v>213</v>
      </c>
      <c r="B116" s="1">
        <v>39.411223457914197</v>
      </c>
      <c r="C116" s="1">
        <v>39.572214816264633</v>
      </c>
      <c r="D116" s="1">
        <v>37.544010795126823</v>
      </c>
      <c r="E116" s="1">
        <v>35.675971302648399</v>
      </c>
      <c r="F116" s="1">
        <v>39.411223457914197</v>
      </c>
      <c r="G116" s="1">
        <v>39.055305885663977</v>
      </c>
      <c r="H116" s="1">
        <v>37.424714615734302</v>
      </c>
      <c r="I116" s="1">
        <v>39.030946134876729</v>
      </c>
    </row>
    <row r="118" spans="1:9" x14ac:dyDescent="0.35">
      <c r="C118" s="187"/>
      <c r="D118" s="187"/>
      <c r="E118" s="187"/>
      <c r="F118" s="187"/>
      <c r="G118" s="170"/>
      <c r="H118" s="170"/>
      <c r="I118" s="170"/>
    </row>
    <row r="119" spans="1:9" ht="29" x14ac:dyDescent="0.35">
      <c r="A119" s="12" t="s">
        <v>546</v>
      </c>
      <c r="B119" s="13" t="s">
        <v>208</v>
      </c>
      <c r="C119" s="13" t="s">
        <v>458</v>
      </c>
      <c r="D119" s="13" t="s">
        <v>466</v>
      </c>
      <c r="E119" s="13" t="s">
        <v>467</v>
      </c>
      <c r="F119" s="13" t="s">
        <v>468</v>
      </c>
      <c r="G119" s="13" t="s">
        <v>634</v>
      </c>
      <c r="H119" s="13" t="s">
        <v>641</v>
      </c>
      <c r="I119" s="13" t="s">
        <v>647</v>
      </c>
    </row>
    <row r="120" spans="1:9" x14ac:dyDescent="0.35">
      <c r="A120" s="14" t="s">
        <v>209</v>
      </c>
      <c r="B120" s="15">
        <v>20</v>
      </c>
      <c r="C120" s="15">
        <v>5</v>
      </c>
      <c r="D120" s="15">
        <v>7</v>
      </c>
      <c r="E120" s="15">
        <v>13</v>
      </c>
      <c r="F120" s="15">
        <v>20</v>
      </c>
      <c r="G120" s="15">
        <v>25</v>
      </c>
      <c r="H120" s="15">
        <v>32</v>
      </c>
      <c r="I120" s="15">
        <v>29</v>
      </c>
    </row>
    <row r="121" spans="1:9" x14ac:dyDescent="0.35">
      <c r="A121" s="16" t="s">
        <v>336</v>
      </c>
      <c r="B121" s="17">
        <v>0.57615747729762601</v>
      </c>
      <c r="C121" s="17">
        <v>0.61682651570923219</v>
      </c>
      <c r="D121" s="17">
        <v>0.45805929925693728</v>
      </c>
      <c r="E121" s="17">
        <v>0.50200531963416839</v>
      </c>
      <c r="F121" s="17">
        <v>0.5761574772976259</v>
      </c>
      <c r="G121" s="17">
        <v>0.5385291225708152</v>
      </c>
      <c r="H121" s="17">
        <v>0.58064799157151192</v>
      </c>
      <c r="I121" s="17">
        <v>0.57369761291323529</v>
      </c>
    </row>
    <row r="122" spans="1:9" x14ac:dyDescent="0.35">
      <c r="A122" s="16" t="s">
        <v>194</v>
      </c>
      <c r="B122" s="17">
        <v>0.33197355755053259</v>
      </c>
      <c r="C122" s="17">
        <v>0.38317348429076781</v>
      </c>
      <c r="D122" s="17">
        <v>0.4144829019712058</v>
      </c>
      <c r="E122" s="17">
        <v>0.42877900638810468</v>
      </c>
      <c r="F122" s="17">
        <v>0.33197355755053259</v>
      </c>
      <c r="G122" s="17">
        <v>0.38921215594607139</v>
      </c>
      <c r="H122" s="17">
        <v>0.32989254122910883</v>
      </c>
      <c r="I122" s="17">
        <v>0.32831613687678751</v>
      </c>
    </row>
    <row r="123" spans="1:9" x14ac:dyDescent="0.35">
      <c r="A123" s="16" t="s">
        <v>195</v>
      </c>
      <c r="B123" s="17">
        <v>9.1868965151841453E-2</v>
      </c>
      <c r="C123" s="17">
        <v>0</v>
      </c>
      <c r="D123" s="17">
        <v>0.12745779877185689</v>
      </c>
      <c r="E123" s="17">
        <v>6.9215673977726891E-2</v>
      </c>
      <c r="F123" s="17">
        <v>9.1868965151841439E-2</v>
      </c>
      <c r="G123" s="17">
        <v>7.2258721483113381E-2</v>
      </c>
      <c r="H123" s="17">
        <v>8.9459467199379222E-2</v>
      </c>
      <c r="I123" s="17">
        <v>9.7986250209977213E-2</v>
      </c>
    </row>
    <row r="124" spans="1:9" x14ac:dyDescent="0.35">
      <c r="A124" s="14" t="s">
        <v>210</v>
      </c>
      <c r="B124" s="18">
        <v>0.47109297993967952</v>
      </c>
      <c r="C124" s="18">
        <v>0.39789114244691909</v>
      </c>
      <c r="D124" s="18">
        <v>0.29547649662922898</v>
      </c>
      <c r="E124" s="18">
        <v>0.41371509047991017</v>
      </c>
      <c r="F124" s="18">
        <v>0.47109297993967919</v>
      </c>
      <c r="G124" s="18">
        <v>0.37053401411291381</v>
      </c>
      <c r="H124" s="18">
        <v>0.37948762365002869</v>
      </c>
      <c r="I124" s="18">
        <v>0.39160332722616831</v>
      </c>
    </row>
    <row r="125" spans="1:9" x14ac:dyDescent="0.35">
      <c r="A125" s="14" t="s">
        <v>197</v>
      </c>
      <c r="B125" s="18">
        <v>0.10506449735794671</v>
      </c>
      <c r="C125" s="18">
        <v>0.21893537326231299</v>
      </c>
      <c r="D125" s="18">
        <v>0.1625828026277083</v>
      </c>
      <c r="E125" s="18">
        <v>8.8290229154258174E-2</v>
      </c>
      <c r="F125" s="25">
        <v>0.1050644973579466</v>
      </c>
      <c r="G125" s="18">
        <v>0.16799510845790139</v>
      </c>
      <c r="H125" s="18">
        <v>0.2011603679214832</v>
      </c>
      <c r="I125" s="18">
        <v>0.18209428568706701</v>
      </c>
    </row>
    <row r="126" spans="1:9" x14ac:dyDescent="0.35">
      <c r="A126" s="14" t="s">
        <v>198</v>
      </c>
      <c r="B126" s="18">
        <v>0.23429017790911541</v>
      </c>
      <c r="C126" s="18">
        <v>0.18925131027486999</v>
      </c>
      <c r="D126" s="18">
        <v>0.27047506041794672</v>
      </c>
      <c r="E126" s="18">
        <v>0.28138519645250099</v>
      </c>
      <c r="F126" s="18">
        <v>0.23429017790911541</v>
      </c>
      <c r="G126" s="18">
        <v>0.1842788659236847</v>
      </c>
      <c r="H126" s="18">
        <v>0.17443519155692219</v>
      </c>
      <c r="I126" s="18">
        <v>0.19191218635947149</v>
      </c>
    </row>
    <row r="127" spans="1:9" x14ac:dyDescent="0.35">
      <c r="A127" s="14" t="s">
        <v>199</v>
      </c>
      <c r="B127" s="18">
        <v>9.7683379641417281E-2</v>
      </c>
      <c r="C127" s="18">
        <v>0.19392217401589781</v>
      </c>
      <c r="D127" s="18">
        <v>0.1440078415532591</v>
      </c>
      <c r="E127" s="18">
        <v>0.14739380993560369</v>
      </c>
      <c r="F127" s="18">
        <v>9.7683379641417267E-2</v>
      </c>
      <c r="G127" s="18">
        <v>0.20493329002238669</v>
      </c>
      <c r="H127" s="18">
        <v>0.15545734967218661</v>
      </c>
      <c r="I127" s="18">
        <v>0.13640395051731591</v>
      </c>
    </row>
    <row r="128" spans="1:9" x14ac:dyDescent="0.35">
      <c r="A128" s="14" t="s">
        <v>200</v>
      </c>
      <c r="B128" s="18">
        <v>9.1868965151841453E-2</v>
      </c>
      <c r="C128" s="18">
        <v>0</v>
      </c>
      <c r="D128" s="18">
        <v>0.12745779877185689</v>
      </c>
      <c r="E128" s="18">
        <v>6.9215673977726891E-2</v>
      </c>
      <c r="F128" s="18">
        <v>9.1868965151841439E-2</v>
      </c>
      <c r="G128" s="18">
        <v>7.2258721483113381E-2</v>
      </c>
      <c r="H128" s="18">
        <v>5.4813687572372462E-2</v>
      </c>
      <c r="I128" s="18">
        <v>6.0038225953521852E-2</v>
      </c>
    </row>
    <row r="129" spans="1:9" x14ac:dyDescent="0.35">
      <c r="A129" s="14" t="s">
        <v>201</v>
      </c>
      <c r="B129" s="18">
        <v>0</v>
      </c>
      <c r="C129" s="18">
        <v>0</v>
      </c>
      <c r="D129" s="18">
        <v>0</v>
      </c>
      <c r="E129" s="18">
        <v>0</v>
      </c>
      <c r="F129" s="18">
        <v>0</v>
      </c>
      <c r="G129" s="18">
        <v>0</v>
      </c>
      <c r="H129" s="18">
        <v>0</v>
      </c>
      <c r="I129" s="18">
        <v>0</v>
      </c>
    </row>
    <row r="130" spans="1:9" x14ac:dyDescent="0.35">
      <c r="A130" s="14" t="s">
        <v>202</v>
      </c>
      <c r="B130" s="18">
        <v>0</v>
      </c>
      <c r="C130" s="18">
        <v>0</v>
      </c>
      <c r="D130" s="18">
        <v>0</v>
      </c>
      <c r="E130" s="18">
        <v>0</v>
      </c>
      <c r="F130" s="18">
        <v>0</v>
      </c>
      <c r="G130" s="18">
        <v>0</v>
      </c>
      <c r="H130" s="18">
        <v>0</v>
      </c>
      <c r="I130" s="18">
        <v>0</v>
      </c>
    </row>
    <row r="131" spans="1:9" x14ac:dyDescent="0.35">
      <c r="A131" s="14" t="s">
        <v>211</v>
      </c>
      <c r="B131" s="18">
        <v>0</v>
      </c>
      <c r="C131" s="18">
        <v>0</v>
      </c>
      <c r="D131" s="18">
        <v>0</v>
      </c>
      <c r="E131" s="18">
        <v>0</v>
      </c>
      <c r="F131" s="18">
        <v>0</v>
      </c>
      <c r="G131" s="18">
        <v>0</v>
      </c>
      <c r="H131" s="18">
        <v>3.4645779627006747E-2</v>
      </c>
      <c r="I131" s="18">
        <v>3.7948024256455347E-2</v>
      </c>
    </row>
    <row r="132" spans="1:9" x14ac:dyDescent="0.35">
      <c r="A132" s="14" t="s">
        <v>212</v>
      </c>
      <c r="B132" s="18">
        <v>0</v>
      </c>
      <c r="C132" s="18">
        <v>0</v>
      </c>
      <c r="D132" s="18">
        <v>0</v>
      </c>
      <c r="E132" s="18">
        <v>0</v>
      </c>
      <c r="F132" s="18">
        <v>0</v>
      </c>
      <c r="G132" s="18">
        <v>0</v>
      </c>
      <c r="H132" s="18">
        <v>0</v>
      </c>
      <c r="I132" s="18">
        <v>0</v>
      </c>
    </row>
    <row r="133" spans="1:9" x14ac:dyDescent="0.35">
      <c r="A133" s="14" t="s">
        <v>203</v>
      </c>
      <c r="B133" s="18">
        <v>0</v>
      </c>
      <c r="C133" s="18">
        <v>0</v>
      </c>
      <c r="D133" s="18">
        <v>0</v>
      </c>
      <c r="E133" s="18">
        <v>0</v>
      </c>
      <c r="F133" s="18">
        <v>0</v>
      </c>
      <c r="G133" s="18">
        <v>0</v>
      </c>
      <c r="H133" s="18">
        <v>0</v>
      </c>
      <c r="I133" s="18">
        <v>0</v>
      </c>
    </row>
    <row r="134" spans="1:9" x14ac:dyDescent="0.35">
      <c r="A134" s="14" t="s">
        <v>204</v>
      </c>
      <c r="B134" s="18">
        <v>0</v>
      </c>
      <c r="C134" s="18">
        <v>0</v>
      </c>
      <c r="D134" s="18">
        <v>0</v>
      </c>
      <c r="E134" s="18">
        <v>0</v>
      </c>
      <c r="F134" s="18">
        <v>0</v>
      </c>
      <c r="G134" s="18">
        <v>0</v>
      </c>
      <c r="H134" s="18">
        <v>0</v>
      </c>
      <c r="I134" s="18">
        <v>0</v>
      </c>
    </row>
    <row r="135" spans="1:9" x14ac:dyDescent="0.35">
      <c r="A135" s="14" t="s">
        <v>213</v>
      </c>
      <c r="B135" s="1">
        <v>48.428851214578472</v>
      </c>
      <c r="C135" s="1">
        <v>61.68265157092322</v>
      </c>
      <c r="D135" s="1">
        <v>33.060150048508042</v>
      </c>
      <c r="E135" s="1">
        <v>43.278964565644152</v>
      </c>
      <c r="F135" s="1">
        <v>48.428851214578451</v>
      </c>
      <c r="G135" s="1">
        <v>46.627040108770188</v>
      </c>
      <c r="H135" s="1">
        <v>49.11885243721327</v>
      </c>
      <c r="I135" s="1">
        <v>47.571136270325809</v>
      </c>
    </row>
    <row r="137" spans="1:9" x14ac:dyDescent="0.35">
      <c r="C137" s="187"/>
      <c r="D137" s="187"/>
      <c r="E137" s="187"/>
      <c r="F137" s="187"/>
      <c r="G137" s="170"/>
      <c r="H137" s="170"/>
      <c r="I137" s="170"/>
    </row>
    <row r="138" spans="1:9" ht="29" x14ac:dyDescent="0.35">
      <c r="A138" s="12" t="s">
        <v>547</v>
      </c>
      <c r="B138" s="13" t="s">
        <v>208</v>
      </c>
      <c r="C138" s="13" t="s">
        <v>458</v>
      </c>
      <c r="D138" s="13" t="s">
        <v>466</v>
      </c>
      <c r="E138" s="13" t="s">
        <v>467</v>
      </c>
      <c r="F138" s="13" t="s">
        <v>468</v>
      </c>
      <c r="G138" s="13" t="s">
        <v>634</v>
      </c>
      <c r="H138" s="13" t="s">
        <v>641</v>
      </c>
      <c r="I138" s="13" t="s">
        <v>647</v>
      </c>
    </row>
    <row r="139" spans="1:9" x14ac:dyDescent="0.35">
      <c r="A139" s="14" t="s">
        <v>209</v>
      </c>
      <c r="B139" s="15">
        <v>97</v>
      </c>
      <c r="C139" s="15">
        <v>30</v>
      </c>
      <c r="D139" s="15">
        <v>53</v>
      </c>
      <c r="E139" s="15">
        <v>74</v>
      </c>
      <c r="F139" s="15">
        <v>97</v>
      </c>
      <c r="G139" s="15">
        <v>123</v>
      </c>
      <c r="H139" s="15">
        <v>146</v>
      </c>
      <c r="I139" s="15">
        <v>127</v>
      </c>
    </row>
    <row r="140" spans="1:9" x14ac:dyDescent="0.35">
      <c r="A140" s="16" t="s">
        <v>336</v>
      </c>
      <c r="B140" s="17">
        <v>0.46216896779609518</v>
      </c>
      <c r="C140" s="149">
        <v>0.62553739392092123</v>
      </c>
      <c r="D140" s="17">
        <v>0.52465737706672955</v>
      </c>
      <c r="E140" s="151">
        <v>0.5380333205586767</v>
      </c>
      <c r="F140" s="17">
        <v>0.46216896779609518</v>
      </c>
      <c r="G140" s="17">
        <v>0.52397800449096776</v>
      </c>
      <c r="H140" s="17">
        <v>0.55144507830350697</v>
      </c>
      <c r="I140" s="17">
        <v>0.55773135689316578</v>
      </c>
    </row>
    <row r="141" spans="1:9" x14ac:dyDescent="0.35">
      <c r="A141" s="16" t="s">
        <v>194</v>
      </c>
      <c r="B141" s="17">
        <v>0.41332352226185998</v>
      </c>
      <c r="C141" s="17">
        <v>0.34964624084943352</v>
      </c>
      <c r="D141" s="17">
        <v>0.38899839716717982</v>
      </c>
      <c r="E141" s="155">
        <v>0.34886348043119281</v>
      </c>
      <c r="F141" s="17">
        <v>0.41332352226185998</v>
      </c>
      <c r="G141" s="17">
        <v>0.35958355658151198</v>
      </c>
      <c r="H141" s="17">
        <v>0.33060615588418901</v>
      </c>
      <c r="I141" s="17">
        <v>0.31476763548747377</v>
      </c>
    </row>
    <row r="142" spans="1:9" x14ac:dyDescent="0.35">
      <c r="A142" s="16" t="s">
        <v>195</v>
      </c>
      <c r="B142" s="17">
        <v>0.12450750994204469</v>
      </c>
      <c r="C142" s="154">
        <v>2.481636522964523E-2</v>
      </c>
      <c r="D142" s="17">
        <v>8.6344225766090757E-2</v>
      </c>
      <c r="E142" s="17">
        <v>0.1131031990101305</v>
      </c>
      <c r="F142" s="17">
        <v>0.12450750994204469</v>
      </c>
      <c r="G142" s="17">
        <v>0.1164384389275202</v>
      </c>
      <c r="H142" s="17">
        <v>0.1179487658123041</v>
      </c>
      <c r="I142" s="17">
        <v>0.12750100761936031</v>
      </c>
    </row>
    <row r="143" spans="1:9" x14ac:dyDescent="0.35">
      <c r="A143" s="14" t="s">
        <v>210</v>
      </c>
      <c r="B143" s="18">
        <v>0.31303951555004728</v>
      </c>
      <c r="C143" s="20">
        <v>0.43779551753795221</v>
      </c>
      <c r="D143" s="18">
        <v>0.36751414422014772</v>
      </c>
      <c r="E143" s="19">
        <v>0.36661433151223288</v>
      </c>
      <c r="F143" s="18">
        <v>0.31303951555004728</v>
      </c>
      <c r="G143" s="18">
        <v>0.30318650839613542</v>
      </c>
      <c r="H143" s="18">
        <v>0.31669237387737342</v>
      </c>
      <c r="I143" s="18">
        <v>0.30194933835213222</v>
      </c>
    </row>
    <row r="144" spans="1:9" x14ac:dyDescent="0.35">
      <c r="A144" s="14" t="s">
        <v>197</v>
      </c>
      <c r="B144" s="18">
        <v>0.1491294522460479</v>
      </c>
      <c r="C144" s="18">
        <v>0.1877418763829691</v>
      </c>
      <c r="D144" s="18">
        <v>0.1571432328465818</v>
      </c>
      <c r="E144" s="18">
        <v>0.1714189890464437</v>
      </c>
      <c r="F144" s="18">
        <v>0.1491294522460479</v>
      </c>
      <c r="G144" s="18">
        <v>0.22079149609483231</v>
      </c>
      <c r="H144" s="18">
        <v>0.23475270442613341</v>
      </c>
      <c r="I144" s="18">
        <v>0.25578201854103372</v>
      </c>
    </row>
    <row r="145" spans="1:9" x14ac:dyDescent="0.35">
      <c r="A145" s="14" t="s">
        <v>198</v>
      </c>
      <c r="B145" s="18">
        <v>0.28097067558458111</v>
      </c>
      <c r="C145" s="18">
        <v>0.17184970506514441</v>
      </c>
      <c r="D145" s="18">
        <v>0.25337311244365179</v>
      </c>
      <c r="E145" s="23">
        <v>0.23731901640275249</v>
      </c>
      <c r="F145" s="18">
        <v>0.28097067558458111</v>
      </c>
      <c r="G145" s="25">
        <v>0.2384405502724124</v>
      </c>
      <c r="H145" s="18">
        <v>0.22268344811132099</v>
      </c>
      <c r="I145" s="18">
        <v>0.2227066759126507</v>
      </c>
    </row>
    <row r="146" spans="1:9" x14ac:dyDescent="0.35">
      <c r="A146" s="14" t="s">
        <v>199</v>
      </c>
      <c r="B146" s="18">
        <v>0.1323528466772789</v>
      </c>
      <c r="C146" s="18">
        <v>0.17779653578428919</v>
      </c>
      <c r="D146" s="18">
        <v>0.13562528472352789</v>
      </c>
      <c r="E146" s="18">
        <v>0.1115444640284403</v>
      </c>
      <c r="F146" s="18">
        <v>0.1323528466772789</v>
      </c>
      <c r="G146" s="18">
        <v>0.1211430063090996</v>
      </c>
      <c r="H146" s="25">
        <v>0.107922707772868</v>
      </c>
      <c r="I146" s="18">
        <v>9.2060959574823062E-2</v>
      </c>
    </row>
    <row r="147" spans="1:9" x14ac:dyDescent="0.35">
      <c r="A147" s="14" t="s">
        <v>200</v>
      </c>
      <c r="B147" s="18">
        <v>6.4689840402106166E-2</v>
      </c>
      <c r="C147" s="18">
        <v>2.481636522964523E-2</v>
      </c>
      <c r="D147" s="21">
        <v>1.3795418462713999E-2</v>
      </c>
      <c r="E147" s="21">
        <v>3.3264672750167368E-2</v>
      </c>
      <c r="F147" s="18">
        <v>6.4689840402106166E-2</v>
      </c>
      <c r="G147" s="18">
        <v>5.1259697515370413E-2</v>
      </c>
      <c r="H147" s="18">
        <v>6.3339332194546405E-2</v>
      </c>
      <c r="I147" s="18">
        <v>6.5952429890458908E-2</v>
      </c>
    </row>
    <row r="148" spans="1:9" x14ac:dyDescent="0.35">
      <c r="A148" s="14" t="s">
        <v>201</v>
      </c>
      <c r="B148" s="18">
        <v>4.1077091995237187E-2</v>
      </c>
      <c r="C148" s="18">
        <v>0</v>
      </c>
      <c r="D148" s="18">
        <v>3.6957580801662122E-2</v>
      </c>
      <c r="E148" s="18">
        <v>5.4825514152720613E-2</v>
      </c>
      <c r="F148" s="18">
        <v>4.1077091995237187E-2</v>
      </c>
      <c r="G148" s="18">
        <v>3.2549149872664523E-2</v>
      </c>
      <c r="H148" s="18">
        <v>2.7271018138352421E-2</v>
      </c>
      <c r="I148" s="18">
        <v>3.0736308151140711E-2</v>
      </c>
    </row>
    <row r="149" spans="1:9" x14ac:dyDescent="0.35">
      <c r="A149" s="14" t="s">
        <v>202</v>
      </c>
      <c r="B149" s="18">
        <v>1.015245260779014E-2</v>
      </c>
      <c r="C149" s="18">
        <v>0</v>
      </c>
      <c r="D149" s="18">
        <v>1.928106214709192E-2</v>
      </c>
      <c r="E149" s="18">
        <v>1.3550458591318039E-2</v>
      </c>
      <c r="F149" s="18">
        <v>1.015245260779014E-2</v>
      </c>
      <c r="G149" s="18">
        <v>8.0447199510715207E-3</v>
      </c>
      <c r="H149" s="18">
        <v>6.7401976568329238E-3</v>
      </c>
      <c r="I149" s="18">
        <v>7.5966651163882591E-3</v>
      </c>
    </row>
    <row r="150" spans="1:9" x14ac:dyDescent="0.35">
      <c r="A150" s="14" t="s">
        <v>211</v>
      </c>
      <c r="B150" s="18">
        <v>8.5881249369112213E-3</v>
      </c>
      <c r="C150" s="18">
        <v>0</v>
      </c>
      <c r="D150" s="18">
        <v>1.6310164354622719E-2</v>
      </c>
      <c r="E150" s="18">
        <v>1.146255351592447E-2</v>
      </c>
      <c r="F150" s="18">
        <v>8.5881249369112213E-3</v>
      </c>
      <c r="G150" s="18">
        <v>1.6288349984670911E-2</v>
      </c>
      <c r="H150" s="18">
        <v>1.364705037193127E-2</v>
      </c>
      <c r="I150" s="18">
        <v>1.5381161915473699E-2</v>
      </c>
    </row>
    <row r="151" spans="1:9" x14ac:dyDescent="0.35">
      <c r="A151" s="14" t="s">
        <v>212</v>
      </c>
      <c r="B151" s="18">
        <v>0</v>
      </c>
      <c r="C151" s="18">
        <v>0</v>
      </c>
      <c r="D151" s="18">
        <v>0</v>
      </c>
      <c r="E151" s="18">
        <v>0</v>
      </c>
      <c r="F151" s="18">
        <v>0</v>
      </c>
      <c r="G151" s="18">
        <v>0</v>
      </c>
      <c r="H151" s="18">
        <v>0</v>
      </c>
      <c r="I151" s="18">
        <v>0</v>
      </c>
    </row>
    <row r="152" spans="1:9" x14ac:dyDescent="0.35">
      <c r="A152" s="14" t="s">
        <v>203</v>
      </c>
      <c r="B152" s="18">
        <v>0</v>
      </c>
      <c r="C152" s="18">
        <v>0</v>
      </c>
      <c r="D152" s="18">
        <v>0</v>
      </c>
      <c r="E152" s="18">
        <v>0</v>
      </c>
      <c r="F152" s="18">
        <v>0</v>
      </c>
      <c r="G152" s="18">
        <v>0</v>
      </c>
      <c r="H152" s="18">
        <v>0</v>
      </c>
      <c r="I152" s="18">
        <v>0</v>
      </c>
    </row>
    <row r="153" spans="1:9" x14ac:dyDescent="0.35">
      <c r="A153" s="14" t="s">
        <v>204</v>
      </c>
      <c r="B153" s="18">
        <v>0</v>
      </c>
      <c r="C153" s="18">
        <v>0</v>
      </c>
      <c r="D153" s="18">
        <v>0</v>
      </c>
      <c r="E153" s="18">
        <v>0</v>
      </c>
      <c r="F153" s="18">
        <v>0</v>
      </c>
      <c r="G153" s="18">
        <v>8.2965216037428503E-3</v>
      </c>
      <c r="H153" s="18">
        <v>6.9511674506410846E-3</v>
      </c>
      <c r="I153" s="18">
        <v>7.8344425458987069E-3</v>
      </c>
    </row>
    <row r="154" spans="1:9" x14ac:dyDescent="0.35">
      <c r="A154" s="14" t="s">
        <v>213</v>
      </c>
      <c r="B154" s="1">
        <v>33.766145785405058</v>
      </c>
      <c r="C154" s="1">
        <v>60.072102869127598</v>
      </c>
      <c r="D154" s="1">
        <v>43.831315130063878</v>
      </c>
      <c r="E154" s="1">
        <v>42.493012154854611</v>
      </c>
      <c r="F154" s="1">
        <v>33.766145785405037</v>
      </c>
      <c r="G154" s="1">
        <v>40.753956556344747</v>
      </c>
      <c r="H154" s="1">
        <v>43.349631249120293</v>
      </c>
      <c r="I154" s="1">
        <v>43.02303492738055</v>
      </c>
    </row>
    <row r="156" spans="1:9" x14ac:dyDescent="0.35">
      <c r="C156" s="187"/>
      <c r="D156" s="187"/>
      <c r="E156" s="187"/>
      <c r="F156" s="187"/>
      <c r="G156" s="170"/>
      <c r="H156" s="170"/>
      <c r="I156" s="170"/>
    </row>
    <row r="157" spans="1:9" ht="29" x14ac:dyDescent="0.35">
      <c r="A157" s="12" t="s">
        <v>503</v>
      </c>
      <c r="B157" s="13" t="s">
        <v>208</v>
      </c>
      <c r="C157" s="13" t="s">
        <v>458</v>
      </c>
      <c r="D157" s="13" t="s">
        <v>466</v>
      </c>
      <c r="E157" s="13" t="s">
        <v>467</v>
      </c>
      <c r="F157" s="13" t="s">
        <v>468</v>
      </c>
      <c r="G157" s="13" t="s">
        <v>634</v>
      </c>
      <c r="H157" s="13" t="s">
        <v>641</v>
      </c>
      <c r="I157" s="13" t="s">
        <v>647</v>
      </c>
    </row>
    <row r="158" spans="1:9" x14ac:dyDescent="0.35">
      <c r="A158" s="14" t="s">
        <v>209</v>
      </c>
      <c r="B158" s="15">
        <v>26</v>
      </c>
      <c r="C158" s="15">
        <v>7</v>
      </c>
      <c r="D158" s="15">
        <v>11</v>
      </c>
      <c r="E158" s="15">
        <v>20</v>
      </c>
      <c r="F158" s="15">
        <v>26</v>
      </c>
      <c r="G158" s="15">
        <v>28</v>
      </c>
      <c r="H158" s="15">
        <v>31</v>
      </c>
      <c r="I158" s="15">
        <v>34</v>
      </c>
    </row>
    <row r="159" spans="1:9" x14ac:dyDescent="0.35">
      <c r="A159" s="16" t="s">
        <v>336</v>
      </c>
      <c r="B159" s="17">
        <v>0.47617324032831693</v>
      </c>
      <c r="C159" s="17">
        <v>0.32071370699912288</v>
      </c>
      <c r="D159" s="17">
        <v>0.49528992122517962</v>
      </c>
      <c r="E159" s="17">
        <v>0.41578091496663622</v>
      </c>
      <c r="F159" s="17">
        <v>0.47617324032831693</v>
      </c>
      <c r="G159" s="17">
        <v>0.47878442799410398</v>
      </c>
      <c r="H159" s="17">
        <v>0.46521662759375448</v>
      </c>
      <c r="I159" s="17">
        <v>0.50672554611222198</v>
      </c>
    </row>
    <row r="160" spans="1:9" x14ac:dyDescent="0.35">
      <c r="A160" s="16" t="s">
        <v>194</v>
      </c>
      <c r="B160" s="17">
        <v>0.395769394982385</v>
      </c>
      <c r="C160" s="17">
        <v>0.54524733403094594</v>
      </c>
      <c r="D160" s="17">
        <v>0.42070757030723038</v>
      </c>
      <c r="E160" s="153">
        <v>0.48845825470456011</v>
      </c>
      <c r="F160" s="17">
        <v>0.39576939498238511</v>
      </c>
      <c r="G160" s="17">
        <v>0.40184236611037571</v>
      </c>
      <c r="H160" s="17">
        <v>0.4255320255482305</v>
      </c>
      <c r="I160" s="17">
        <v>0.39438524752789722</v>
      </c>
    </row>
    <row r="161" spans="1:9" x14ac:dyDescent="0.35">
      <c r="A161" s="16" t="s">
        <v>195</v>
      </c>
      <c r="B161" s="17">
        <v>0.1280573646892981</v>
      </c>
      <c r="C161" s="17">
        <v>0.1340389589699312</v>
      </c>
      <c r="D161" s="17">
        <v>8.4002508467590067E-2</v>
      </c>
      <c r="E161" s="17">
        <v>9.5760830328803684E-2</v>
      </c>
      <c r="F161" s="17">
        <v>0.1280573646892981</v>
      </c>
      <c r="G161" s="17">
        <v>0.11937320589552031</v>
      </c>
      <c r="H161" s="17">
        <v>0.1092513468580151</v>
      </c>
      <c r="I161" s="17">
        <v>9.8889206359880882E-2</v>
      </c>
    </row>
    <row r="162" spans="1:9" x14ac:dyDescent="0.35">
      <c r="A162" s="14" t="s">
        <v>210</v>
      </c>
      <c r="B162" s="18">
        <v>0.22070701601192799</v>
      </c>
      <c r="C162" s="18">
        <v>0.1574030311546592</v>
      </c>
      <c r="D162" s="18">
        <v>0.27630796950503972</v>
      </c>
      <c r="E162" s="18">
        <v>0.25110808658803918</v>
      </c>
      <c r="F162" s="18">
        <v>0.22070701601192799</v>
      </c>
      <c r="G162" s="18">
        <v>0.2057398582963311</v>
      </c>
      <c r="H162" s="18">
        <v>0.18829482254941141</v>
      </c>
      <c r="I162" s="18">
        <v>0.26065724133116602</v>
      </c>
    </row>
    <row r="163" spans="1:9" x14ac:dyDescent="0.35">
      <c r="A163" s="14" t="s">
        <v>197</v>
      </c>
      <c r="B163" s="18">
        <v>0.25546622431638888</v>
      </c>
      <c r="C163" s="18">
        <v>0.16331067584446371</v>
      </c>
      <c r="D163" s="18">
        <v>0.21898195172014001</v>
      </c>
      <c r="E163" s="23">
        <v>0.16467282837859701</v>
      </c>
      <c r="F163" s="18">
        <v>0.25546622431638888</v>
      </c>
      <c r="G163" s="18">
        <v>0.27304456969777302</v>
      </c>
      <c r="H163" s="18">
        <v>0.27692180504434311</v>
      </c>
      <c r="I163" s="18">
        <v>0.24606830478105601</v>
      </c>
    </row>
    <row r="164" spans="1:9" x14ac:dyDescent="0.35">
      <c r="A164" s="14" t="s">
        <v>198</v>
      </c>
      <c r="B164" s="18">
        <v>0.2065951374440749</v>
      </c>
      <c r="C164" s="18">
        <v>0.40143962221918961</v>
      </c>
      <c r="D164" s="18">
        <v>0.25158308840833682</v>
      </c>
      <c r="E164" s="18">
        <v>0.27750984451630328</v>
      </c>
      <c r="F164" s="18">
        <v>0.2065951374440749</v>
      </c>
      <c r="G164" s="18">
        <v>0.22549688492665959</v>
      </c>
      <c r="H164" s="18">
        <v>0.26413918041924878</v>
      </c>
      <c r="I164" s="18">
        <v>0.27804129278653639</v>
      </c>
    </row>
    <row r="165" spans="1:9" x14ac:dyDescent="0.35">
      <c r="A165" s="14" t="s">
        <v>199</v>
      </c>
      <c r="B165" s="18">
        <v>0.1891742575383101</v>
      </c>
      <c r="C165" s="18">
        <v>0.14380771181175639</v>
      </c>
      <c r="D165" s="18">
        <v>0.16912448189889359</v>
      </c>
      <c r="E165" s="18">
        <v>0.2109484101882568</v>
      </c>
      <c r="F165" s="18">
        <v>0.18917425753831019</v>
      </c>
      <c r="G165" s="18">
        <v>0.1763454811837161</v>
      </c>
      <c r="H165" s="18">
        <v>0.16139284512898161</v>
      </c>
      <c r="I165" s="18">
        <v>0.11634395474136069</v>
      </c>
    </row>
    <row r="166" spans="1:9" x14ac:dyDescent="0.35">
      <c r="A166" s="14" t="s">
        <v>200</v>
      </c>
      <c r="B166" s="18">
        <v>9.1679329165479162E-2</v>
      </c>
      <c r="C166" s="18">
        <v>0.1340389589699312</v>
      </c>
      <c r="D166" s="18">
        <v>8.4002508467590067E-2</v>
      </c>
      <c r="E166" s="18">
        <v>4.6895871032477908E-2</v>
      </c>
      <c r="F166" s="18">
        <v>9.1679329165479176E-2</v>
      </c>
      <c r="G166" s="25">
        <v>8.5462132251332618E-2</v>
      </c>
      <c r="H166" s="18">
        <v>7.8215651358043009E-2</v>
      </c>
      <c r="I166" s="18">
        <v>4.3531632881022977E-2</v>
      </c>
    </row>
    <row r="167" spans="1:9" x14ac:dyDescent="0.35">
      <c r="A167" s="14" t="s">
        <v>201</v>
      </c>
      <c r="B167" s="18">
        <v>0</v>
      </c>
      <c r="C167" s="18">
        <v>0</v>
      </c>
      <c r="D167" s="18">
        <v>0</v>
      </c>
      <c r="E167" s="18">
        <v>0</v>
      </c>
      <c r="F167" s="18">
        <v>0</v>
      </c>
      <c r="G167" s="18">
        <v>0</v>
      </c>
      <c r="H167" s="18">
        <v>0</v>
      </c>
      <c r="I167" s="18">
        <v>0</v>
      </c>
    </row>
    <row r="168" spans="1:9" x14ac:dyDescent="0.35">
      <c r="A168" s="14" t="s">
        <v>202</v>
      </c>
      <c r="B168" s="18">
        <v>0</v>
      </c>
      <c r="C168" s="18">
        <v>0</v>
      </c>
      <c r="D168" s="18">
        <v>0</v>
      </c>
      <c r="E168" s="18">
        <v>0</v>
      </c>
      <c r="F168" s="18">
        <v>0</v>
      </c>
      <c r="G168" s="18">
        <v>0</v>
      </c>
      <c r="H168" s="18">
        <v>0</v>
      </c>
      <c r="I168" s="18">
        <v>0</v>
      </c>
    </row>
    <row r="169" spans="1:9" x14ac:dyDescent="0.35">
      <c r="A169" s="14" t="s">
        <v>211</v>
      </c>
      <c r="B169" s="18">
        <v>3.6378035523818908E-2</v>
      </c>
      <c r="C169" s="18">
        <v>0</v>
      </c>
      <c r="D169" s="18">
        <v>0</v>
      </c>
      <c r="E169" s="18">
        <v>4.8864959296325762E-2</v>
      </c>
      <c r="F169" s="18">
        <v>3.6378035523818908E-2</v>
      </c>
      <c r="G169" s="18">
        <v>3.3911073644187682E-2</v>
      </c>
      <c r="H169" s="18">
        <v>3.1035695499972111E-2</v>
      </c>
      <c r="I169" s="18">
        <v>2.7896306767650959E-2</v>
      </c>
    </row>
    <row r="170" spans="1:9" x14ac:dyDescent="0.35">
      <c r="A170" s="14" t="s">
        <v>212</v>
      </c>
      <c r="B170" s="18">
        <v>0</v>
      </c>
      <c r="C170" s="18">
        <v>0</v>
      </c>
      <c r="D170" s="18">
        <v>0</v>
      </c>
      <c r="E170" s="18">
        <v>0</v>
      </c>
      <c r="F170" s="18">
        <v>0</v>
      </c>
      <c r="G170" s="18">
        <v>0</v>
      </c>
      <c r="H170" s="18">
        <v>0</v>
      </c>
      <c r="I170" s="18">
        <v>0</v>
      </c>
    </row>
    <row r="171" spans="1:9" x14ac:dyDescent="0.35">
      <c r="A171" s="14" t="s">
        <v>203</v>
      </c>
      <c r="B171" s="18">
        <v>0</v>
      </c>
      <c r="C171" s="18">
        <v>0</v>
      </c>
      <c r="D171" s="18">
        <v>0</v>
      </c>
      <c r="E171" s="18">
        <v>0</v>
      </c>
      <c r="F171" s="18">
        <v>0</v>
      </c>
      <c r="G171" s="18">
        <v>0</v>
      </c>
      <c r="H171" s="18">
        <v>0</v>
      </c>
      <c r="I171" s="18">
        <v>2.7461266711206932E-2</v>
      </c>
    </row>
    <row r="172" spans="1:9" x14ac:dyDescent="0.35">
      <c r="A172" s="14" t="s">
        <v>204</v>
      </c>
      <c r="B172" s="18">
        <v>0</v>
      </c>
      <c r="C172" s="18">
        <v>0</v>
      </c>
      <c r="D172" s="18">
        <v>0</v>
      </c>
      <c r="E172" s="18">
        <v>0</v>
      </c>
      <c r="F172" s="18">
        <v>0</v>
      </c>
      <c r="G172" s="18">
        <v>0</v>
      </c>
      <c r="H172" s="18">
        <v>0</v>
      </c>
      <c r="I172" s="18">
        <v>0</v>
      </c>
    </row>
    <row r="173" spans="1:9" x14ac:dyDescent="0.35">
      <c r="A173" s="14" t="s">
        <v>213</v>
      </c>
      <c r="B173" s="1">
        <v>34.811587563901881</v>
      </c>
      <c r="C173" s="1">
        <v>18.66747480291917</v>
      </c>
      <c r="D173" s="1">
        <v>41.128741275758948</v>
      </c>
      <c r="E173" s="1">
        <v>32.002008463783248</v>
      </c>
      <c r="F173" s="1">
        <v>34.811587563901881</v>
      </c>
      <c r="G173" s="1">
        <v>35.941122209858378</v>
      </c>
      <c r="H173" s="1">
        <v>35.596528073573943</v>
      </c>
      <c r="I173" s="1">
        <v>40.78363397523411</v>
      </c>
    </row>
    <row r="175" spans="1:9" x14ac:dyDescent="0.35">
      <c r="C175" s="187"/>
      <c r="D175" s="187"/>
      <c r="E175" s="187"/>
      <c r="F175" s="187"/>
      <c r="G175" s="170"/>
      <c r="H175" s="170"/>
      <c r="I175" s="170"/>
    </row>
    <row r="176" spans="1:9" ht="29" x14ac:dyDescent="0.35">
      <c r="A176" s="12" t="s">
        <v>548</v>
      </c>
      <c r="B176" s="13" t="s">
        <v>208</v>
      </c>
      <c r="C176" s="13" t="s">
        <v>458</v>
      </c>
      <c r="D176" s="13" t="s">
        <v>466</v>
      </c>
      <c r="E176" s="13" t="s">
        <v>467</v>
      </c>
      <c r="F176" s="13" t="s">
        <v>468</v>
      </c>
      <c r="G176" s="13" t="s">
        <v>634</v>
      </c>
      <c r="H176" s="13" t="s">
        <v>641</v>
      </c>
      <c r="I176" s="13" t="s">
        <v>647</v>
      </c>
    </row>
    <row r="177" spans="1:9" x14ac:dyDescent="0.35">
      <c r="A177" s="14" t="s">
        <v>209</v>
      </c>
      <c r="B177" s="15">
        <v>110</v>
      </c>
      <c r="C177" s="15">
        <v>23</v>
      </c>
      <c r="D177" s="15">
        <v>57</v>
      </c>
      <c r="E177" s="15">
        <v>79</v>
      </c>
      <c r="F177" s="15">
        <v>110</v>
      </c>
      <c r="G177" s="15">
        <v>149</v>
      </c>
      <c r="H177" s="15">
        <v>176</v>
      </c>
      <c r="I177" s="15">
        <v>180</v>
      </c>
    </row>
    <row r="178" spans="1:9" x14ac:dyDescent="0.35">
      <c r="A178" s="16" t="s">
        <v>336</v>
      </c>
      <c r="B178" s="17">
        <v>0.67881111357121771</v>
      </c>
      <c r="C178" s="17">
        <v>0.6520809519378965</v>
      </c>
      <c r="D178" s="17">
        <v>0.717863206974931</v>
      </c>
      <c r="E178" s="17">
        <v>0.69823919066788886</v>
      </c>
      <c r="F178" s="17">
        <v>0.67881111357121771</v>
      </c>
      <c r="G178" s="17">
        <v>0.70667391495101628</v>
      </c>
      <c r="H178" s="17">
        <v>0.68205607313674499</v>
      </c>
      <c r="I178" s="17">
        <v>0.6888289373984694</v>
      </c>
    </row>
    <row r="179" spans="1:9" x14ac:dyDescent="0.35">
      <c r="A179" s="16" t="s">
        <v>194</v>
      </c>
      <c r="B179" s="17">
        <v>0.26830525442294351</v>
      </c>
      <c r="C179" s="17">
        <v>0.31933075133473271</v>
      </c>
      <c r="D179" s="17">
        <v>0.23338091813657849</v>
      </c>
      <c r="E179" s="17">
        <v>0.2274892572861873</v>
      </c>
      <c r="F179" s="17">
        <v>0.26830525442294351</v>
      </c>
      <c r="G179" s="17">
        <v>0.2470206341784254</v>
      </c>
      <c r="H179" s="152">
        <v>0.26692007373179499</v>
      </c>
      <c r="I179" s="17">
        <v>0.25425492284791013</v>
      </c>
    </row>
    <row r="180" spans="1:9" x14ac:dyDescent="0.35">
      <c r="A180" s="16" t="s">
        <v>195</v>
      </c>
      <c r="B180" s="17">
        <v>5.288363200583876E-2</v>
      </c>
      <c r="C180" s="17">
        <v>2.8588296727370819E-2</v>
      </c>
      <c r="D180" s="17">
        <v>4.8755874888490668E-2</v>
      </c>
      <c r="E180" s="17">
        <v>7.4271552045923742E-2</v>
      </c>
      <c r="F180" s="17">
        <v>5.2883632005838767E-2</v>
      </c>
      <c r="G180" s="152">
        <v>4.6305450870558387E-2</v>
      </c>
      <c r="H180" s="17">
        <v>5.1023853131459858E-2</v>
      </c>
      <c r="I180" s="17">
        <v>5.691613975362033E-2</v>
      </c>
    </row>
    <row r="181" spans="1:9" x14ac:dyDescent="0.35">
      <c r="A181" s="14" t="s">
        <v>210</v>
      </c>
      <c r="B181" s="18">
        <v>0.36834396671307812</v>
      </c>
      <c r="C181" s="18">
        <v>0.38303645320023871</v>
      </c>
      <c r="D181" s="18">
        <v>0.34014030174369131</v>
      </c>
      <c r="E181" s="18">
        <v>0.38226437448174128</v>
      </c>
      <c r="F181" s="18">
        <v>0.36834396671307812</v>
      </c>
      <c r="G181" s="18">
        <v>0.38521343123950719</v>
      </c>
      <c r="H181" s="18">
        <v>0.3816980399916674</v>
      </c>
      <c r="I181" s="18">
        <v>0.36833271616918262</v>
      </c>
    </row>
    <row r="182" spans="1:9" x14ac:dyDescent="0.35">
      <c r="A182" s="14" t="s">
        <v>197</v>
      </c>
      <c r="B182" s="18">
        <v>0.31046714685813959</v>
      </c>
      <c r="C182" s="18">
        <v>0.26904449873765779</v>
      </c>
      <c r="D182" s="18">
        <v>0.37772290523123958</v>
      </c>
      <c r="E182" s="18">
        <v>0.31597481618614748</v>
      </c>
      <c r="F182" s="18">
        <v>0.31046714685813959</v>
      </c>
      <c r="G182" s="18">
        <v>0.32146048371150898</v>
      </c>
      <c r="H182" s="18">
        <v>0.30035803314507747</v>
      </c>
      <c r="I182" s="18">
        <v>0.32049622122928673</v>
      </c>
    </row>
    <row r="183" spans="1:9" x14ac:dyDescent="0.35">
      <c r="A183" s="14" t="s">
        <v>198</v>
      </c>
      <c r="B183" s="18">
        <v>0.1949492183732722</v>
      </c>
      <c r="C183" s="20">
        <v>0.31933075133473271</v>
      </c>
      <c r="D183" s="18">
        <v>0.1779128181423339</v>
      </c>
      <c r="E183" s="18">
        <v>0.1665388775625847</v>
      </c>
      <c r="F183" s="25">
        <v>0.1949492183732722</v>
      </c>
      <c r="G183" s="18">
        <v>0.1731186136075632</v>
      </c>
      <c r="H183" s="18">
        <v>0.18904865293890241</v>
      </c>
      <c r="I183" s="23">
        <v>0.17169469856272601</v>
      </c>
    </row>
    <row r="184" spans="1:9" x14ac:dyDescent="0.35">
      <c r="A184" s="14" t="s">
        <v>199</v>
      </c>
      <c r="B184" s="18">
        <v>7.335603604967128E-2</v>
      </c>
      <c r="C184" s="18">
        <v>0</v>
      </c>
      <c r="D184" s="18">
        <v>5.5468099994244582E-2</v>
      </c>
      <c r="E184" s="18">
        <v>6.0950379723602587E-2</v>
      </c>
      <c r="F184" s="18">
        <v>7.3356036049671267E-2</v>
      </c>
      <c r="G184" s="18">
        <v>7.3902020570862204E-2</v>
      </c>
      <c r="H184" s="18">
        <v>7.7871420792892679E-2</v>
      </c>
      <c r="I184" s="18">
        <v>8.2560224285184128E-2</v>
      </c>
    </row>
    <row r="185" spans="1:9" x14ac:dyDescent="0.35">
      <c r="A185" s="14" t="s">
        <v>200</v>
      </c>
      <c r="B185" s="18">
        <v>2.7563905368550169E-2</v>
      </c>
      <c r="C185" s="18">
        <v>0</v>
      </c>
      <c r="D185" s="23">
        <v>0</v>
      </c>
      <c r="E185" s="18">
        <v>3.8711676080477271E-2</v>
      </c>
      <c r="F185" s="18">
        <v>2.7563905368550169E-2</v>
      </c>
      <c r="G185" s="18">
        <v>2.7580459561848899E-2</v>
      </c>
      <c r="H185" s="18">
        <v>2.839410656488469E-2</v>
      </c>
      <c r="I185" s="18">
        <v>2.7851251958144051E-2</v>
      </c>
    </row>
    <row r="186" spans="1:9" x14ac:dyDescent="0.35">
      <c r="A186" s="14" t="s">
        <v>201</v>
      </c>
      <c r="B186" s="18">
        <v>1.5758668079793169E-2</v>
      </c>
      <c r="C186" s="18">
        <v>2.8588296727370819E-2</v>
      </c>
      <c r="D186" s="18">
        <v>3.034502150493695E-2</v>
      </c>
      <c r="E186" s="18">
        <v>2.2132003647812461E-2</v>
      </c>
      <c r="F186" s="18">
        <v>1.5758668079793169E-2</v>
      </c>
      <c r="G186" s="18">
        <v>1.165419070506063E-2</v>
      </c>
      <c r="H186" s="25">
        <v>1.662658733726935E-2</v>
      </c>
      <c r="I186" s="18">
        <v>1.8098849511700311E-2</v>
      </c>
    </row>
    <row r="187" spans="1:9" x14ac:dyDescent="0.35">
      <c r="A187" s="14" t="s">
        <v>202</v>
      </c>
      <c r="B187" s="18">
        <v>0</v>
      </c>
      <c r="C187" s="18">
        <v>0</v>
      </c>
      <c r="D187" s="18">
        <v>0</v>
      </c>
      <c r="E187" s="18">
        <v>0</v>
      </c>
      <c r="F187" s="18">
        <v>0</v>
      </c>
      <c r="G187" s="18">
        <v>0</v>
      </c>
      <c r="H187" s="18">
        <v>0</v>
      </c>
      <c r="I187" s="18">
        <v>0</v>
      </c>
    </row>
    <row r="188" spans="1:9" x14ac:dyDescent="0.35">
      <c r="A188" s="14" t="s">
        <v>211</v>
      </c>
      <c r="B188" s="18">
        <v>9.5610585574954204E-3</v>
      </c>
      <c r="C188" s="18">
        <v>0</v>
      </c>
      <c r="D188" s="18">
        <v>1.8410853383553711E-2</v>
      </c>
      <c r="E188" s="18">
        <v>1.3427872317633999E-2</v>
      </c>
      <c r="F188" s="18">
        <v>9.5610585574954221E-3</v>
      </c>
      <c r="G188" s="18">
        <v>7.0708006036488587E-3</v>
      </c>
      <c r="H188" s="18">
        <v>6.0031592293058314E-3</v>
      </c>
      <c r="I188" s="18">
        <v>1.0966038283775971E-2</v>
      </c>
    </row>
    <row r="189" spans="1:9" x14ac:dyDescent="0.35">
      <c r="A189" s="14" t="s">
        <v>212</v>
      </c>
      <c r="B189" s="18">
        <v>0</v>
      </c>
      <c r="C189" s="18">
        <v>0</v>
      </c>
      <c r="D189" s="18">
        <v>0</v>
      </c>
      <c r="E189" s="18">
        <v>0</v>
      </c>
      <c r="F189" s="18">
        <v>0</v>
      </c>
      <c r="G189" s="18">
        <v>0</v>
      </c>
      <c r="H189" s="18">
        <v>0</v>
      </c>
      <c r="I189" s="18">
        <v>0</v>
      </c>
    </row>
    <row r="190" spans="1:9" x14ac:dyDescent="0.35">
      <c r="A190" s="14" t="s">
        <v>203</v>
      </c>
      <c r="B190" s="18">
        <v>0</v>
      </c>
      <c r="C190" s="18">
        <v>0</v>
      </c>
      <c r="D190" s="18">
        <v>0</v>
      </c>
      <c r="E190" s="18">
        <v>0</v>
      </c>
      <c r="F190" s="18">
        <v>0</v>
      </c>
      <c r="G190" s="18">
        <v>0</v>
      </c>
      <c r="H190" s="18">
        <v>0</v>
      </c>
      <c r="I190" s="18">
        <v>0</v>
      </c>
    </row>
    <row r="191" spans="1:9" x14ac:dyDescent="0.35">
      <c r="A191" s="14" t="s">
        <v>204</v>
      </c>
      <c r="B191" s="18">
        <v>0</v>
      </c>
      <c r="C191" s="18">
        <v>0</v>
      </c>
      <c r="D191" s="18">
        <v>0</v>
      </c>
      <c r="E191" s="18">
        <v>0</v>
      </c>
      <c r="F191" s="18">
        <v>0</v>
      </c>
      <c r="G191" s="18">
        <v>0</v>
      </c>
      <c r="H191" s="18">
        <v>0</v>
      </c>
      <c r="I191" s="18">
        <v>0</v>
      </c>
    </row>
    <row r="192" spans="1:9" x14ac:dyDescent="0.35">
      <c r="A192" s="14" t="s">
        <v>213</v>
      </c>
      <c r="B192" s="1">
        <v>62.592748156537887</v>
      </c>
      <c r="C192" s="1">
        <v>62.349265521052573</v>
      </c>
      <c r="D192" s="1">
        <v>66.910733208644032</v>
      </c>
      <c r="E192" s="1">
        <v>62.396763862196522</v>
      </c>
      <c r="F192" s="1">
        <v>62.592748156537887</v>
      </c>
      <c r="G192" s="1">
        <v>66.036846408045776</v>
      </c>
      <c r="H192" s="1">
        <v>63.103222000528518</v>
      </c>
      <c r="I192" s="1">
        <v>63.191279764484918</v>
      </c>
    </row>
    <row r="194" spans="1:9" x14ac:dyDescent="0.35">
      <c r="C194" s="187"/>
      <c r="D194" s="187"/>
      <c r="E194" s="187"/>
      <c r="F194" s="187"/>
      <c r="G194" s="170"/>
      <c r="H194" s="170"/>
      <c r="I194" s="170"/>
    </row>
    <row r="195" spans="1:9" ht="29" x14ac:dyDescent="0.35">
      <c r="A195" s="12" t="s">
        <v>478</v>
      </c>
      <c r="B195" s="13" t="s">
        <v>208</v>
      </c>
      <c r="C195" s="13" t="s">
        <v>458</v>
      </c>
      <c r="D195" s="13" t="s">
        <v>466</v>
      </c>
      <c r="E195" s="13" t="s">
        <v>467</v>
      </c>
      <c r="F195" s="13" t="s">
        <v>468</v>
      </c>
      <c r="G195" s="13" t="s">
        <v>634</v>
      </c>
      <c r="H195" s="13" t="s">
        <v>641</v>
      </c>
      <c r="I195" s="13" t="s">
        <v>647</v>
      </c>
    </row>
    <row r="196" spans="1:9" x14ac:dyDescent="0.35">
      <c r="A196" s="14" t="s">
        <v>209</v>
      </c>
      <c r="B196" s="15">
        <v>0</v>
      </c>
      <c r="C196" s="15">
        <v>0</v>
      </c>
      <c r="D196" s="15">
        <v>0</v>
      </c>
      <c r="E196" s="15">
        <v>0</v>
      </c>
      <c r="F196" s="15">
        <v>0</v>
      </c>
      <c r="G196" s="15">
        <v>0</v>
      </c>
      <c r="H196" s="15">
        <v>0</v>
      </c>
      <c r="I196" s="15">
        <v>0</v>
      </c>
    </row>
    <row r="197" spans="1:9" x14ac:dyDescent="0.35">
      <c r="A197" s="16" t="s">
        <v>336</v>
      </c>
      <c r="B197" s="17" t="s">
        <v>214</v>
      </c>
      <c r="C197" s="168" t="s">
        <v>214</v>
      </c>
      <c r="D197" s="168" t="s">
        <v>214</v>
      </c>
      <c r="E197" s="168" t="s">
        <v>214</v>
      </c>
      <c r="F197" s="168" t="s">
        <v>214</v>
      </c>
      <c r="G197" s="168" t="s">
        <v>214</v>
      </c>
      <c r="H197" s="168" t="s">
        <v>214</v>
      </c>
      <c r="I197" s="168" t="s">
        <v>214</v>
      </c>
    </row>
    <row r="198" spans="1:9" x14ac:dyDescent="0.35">
      <c r="A198" s="16" t="s">
        <v>194</v>
      </c>
      <c r="B198" s="17" t="s">
        <v>214</v>
      </c>
      <c r="C198" s="168" t="s">
        <v>214</v>
      </c>
      <c r="D198" s="168" t="s">
        <v>214</v>
      </c>
      <c r="E198" s="168" t="s">
        <v>214</v>
      </c>
      <c r="F198" s="168" t="s">
        <v>214</v>
      </c>
      <c r="G198" s="168" t="s">
        <v>214</v>
      </c>
      <c r="H198" s="168" t="s">
        <v>214</v>
      </c>
      <c r="I198" s="168" t="s">
        <v>214</v>
      </c>
    </row>
    <row r="199" spans="1:9" x14ac:dyDescent="0.35">
      <c r="A199" s="16" t="s">
        <v>195</v>
      </c>
      <c r="B199" s="17" t="s">
        <v>214</v>
      </c>
      <c r="C199" s="168" t="s">
        <v>214</v>
      </c>
      <c r="D199" s="168" t="s">
        <v>214</v>
      </c>
      <c r="E199" s="168" t="s">
        <v>214</v>
      </c>
      <c r="F199" s="168" t="s">
        <v>214</v>
      </c>
      <c r="G199" s="168" t="s">
        <v>214</v>
      </c>
      <c r="H199" s="168" t="s">
        <v>214</v>
      </c>
      <c r="I199" s="168" t="s">
        <v>214</v>
      </c>
    </row>
    <row r="200" spans="1:9" x14ac:dyDescent="0.35">
      <c r="A200" s="14" t="s">
        <v>210</v>
      </c>
      <c r="B200" s="18" t="s">
        <v>214</v>
      </c>
      <c r="C200" s="18" t="s">
        <v>214</v>
      </c>
      <c r="D200" s="18" t="s">
        <v>214</v>
      </c>
      <c r="E200" s="18" t="s">
        <v>214</v>
      </c>
      <c r="F200" s="18" t="s">
        <v>214</v>
      </c>
      <c r="G200" s="18" t="s">
        <v>214</v>
      </c>
      <c r="H200" s="18" t="s">
        <v>214</v>
      </c>
      <c r="I200" s="18" t="s">
        <v>214</v>
      </c>
    </row>
    <row r="201" spans="1:9" x14ac:dyDescent="0.35">
      <c r="A201" s="14" t="s">
        <v>197</v>
      </c>
      <c r="B201" s="18" t="s">
        <v>214</v>
      </c>
      <c r="C201" s="18" t="s">
        <v>214</v>
      </c>
      <c r="D201" s="18" t="s">
        <v>214</v>
      </c>
      <c r="E201" s="18" t="s">
        <v>214</v>
      </c>
      <c r="F201" s="18" t="s">
        <v>214</v>
      </c>
      <c r="G201" s="18" t="s">
        <v>214</v>
      </c>
      <c r="H201" s="18" t="s">
        <v>214</v>
      </c>
      <c r="I201" s="18" t="s">
        <v>214</v>
      </c>
    </row>
    <row r="202" spans="1:9" x14ac:dyDescent="0.35">
      <c r="A202" s="14" t="s">
        <v>198</v>
      </c>
      <c r="B202" s="18" t="s">
        <v>214</v>
      </c>
      <c r="C202" s="18" t="s">
        <v>214</v>
      </c>
      <c r="D202" s="18" t="s">
        <v>214</v>
      </c>
      <c r="E202" s="18" t="s">
        <v>214</v>
      </c>
      <c r="F202" s="18" t="s">
        <v>214</v>
      </c>
      <c r="G202" s="18" t="s">
        <v>214</v>
      </c>
      <c r="H202" s="18" t="s">
        <v>214</v>
      </c>
      <c r="I202" s="18" t="s">
        <v>214</v>
      </c>
    </row>
    <row r="203" spans="1:9" x14ac:dyDescent="0.35">
      <c r="A203" s="14" t="s">
        <v>199</v>
      </c>
      <c r="B203" s="18" t="s">
        <v>214</v>
      </c>
      <c r="C203" s="18" t="s">
        <v>214</v>
      </c>
      <c r="D203" s="18" t="s">
        <v>214</v>
      </c>
      <c r="E203" s="18" t="s">
        <v>214</v>
      </c>
      <c r="F203" s="18" t="s">
        <v>214</v>
      </c>
      <c r="G203" s="18" t="s">
        <v>214</v>
      </c>
      <c r="H203" s="18" t="s">
        <v>214</v>
      </c>
      <c r="I203" s="18" t="s">
        <v>214</v>
      </c>
    </row>
    <row r="204" spans="1:9" x14ac:dyDescent="0.35">
      <c r="A204" s="14" t="s">
        <v>200</v>
      </c>
      <c r="B204" s="18" t="s">
        <v>214</v>
      </c>
      <c r="C204" s="18" t="s">
        <v>214</v>
      </c>
      <c r="D204" s="18" t="s">
        <v>214</v>
      </c>
      <c r="E204" s="18" t="s">
        <v>214</v>
      </c>
      <c r="F204" s="18" t="s">
        <v>214</v>
      </c>
      <c r="G204" s="18" t="s">
        <v>214</v>
      </c>
      <c r="H204" s="18" t="s">
        <v>214</v>
      </c>
      <c r="I204" s="18" t="s">
        <v>214</v>
      </c>
    </row>
    <row r="205" spans="1:9" x14ac:dyDescent="0.35">
      <c r="A205" s="14" t="s">
        <v>201</v>
      </c>
      <c r="B205" s="18" t="s">
        <v>214</v>
      </c>
      <c r="C205" s="18" t="s">
        <v>214</v>
      </c>
      <c r="D205" s="18" t="s">
        <v>214</v>
      </c>
      <c r="E205" s="18" t="s">
        <v>214</v>
      </c>
      <c r="F205" s="18" t="s">
        <v>214</v>
      </c>
      <c r="G205" s="18" t="s">
        <v>214</v>
      </c>
      <c r="H205" s="18" t="s">
        <v>214</v>
      </c>
      <c r="I205" s="18" t="s">
        <v>214</v>
      </c>
    </row>
    <row r="206" spans="1:9" x14ac:dyDescent="0.35">
      <c r="A206" s="14" t="s">
        <v>202</v>
      </c>
      <c r="B206" s="18" t="s">
        <v>214</v>
      </c>
      <c r="C206" s="18" t="s">
        <v>214</v>
      </c>
      <c r="D206" s="18" t="s">
        <v>214</v>
      </c>
      <c r="E206" s="18" t="s">
        <v>214</v>
      </c>
      <c r="F206" s="18" t="s">
        <v>214</v>
      </c>
      <c r="G206" s="18" t="s">
        <v>214</v>
      </c>
      <c r="H206" s="18" t="s">
        <v>214</v>
      </c>
      <c r="I206" s="18" t="s">
        <v>214</v>
      </c>
    </row>
    <row r="207" spans="1:9" x14ac:dyDescent="0.35">
      <c r="A207" s="14" t="s">
        <v>211</v>
      </c>
      <c r="B207" s="18" t="s">
        <v>214</v>
      </c>
      <c r="C207" s="18" t="s">
        <v>214</v>
      </c>
      <c r="D207" s="18" t="s">
        <v>214</v>
      </c>
      <c r="E207" s="18" t="s">
        <v>214</v>
      </c>
      <c r="F207" s="18" t="s">
        <v>214</v>
      </c>
      <c r="G207" s="18" t="s">
        <v>214</v>
      </c>
      <c r="H207" s="18" t="s">
        <v>214</v>
      </c>
      <c r="I207" s="18" t="s">
        <v>214</v>
      </c>
    </row>
    <row r="208" spans="1:9" x14ac:dyDescent="0.35">
      <c r="A208" s="14" t="s">
        <v>212</v>
      </c>
      <c r="B208" s="18" t="s">
        <v>214</v>
      </c>
      <c r="C208" s="18" t="s">
        <v>214</v>
      </c>
      <c r="D208" s="18" t="s">
        <v>214</v>
      </c>
      <c r="E208" s="18" t="s">
        <v>214</v>
      </c>
      <c r="F208" s="18" t="s">
        <v>214</v>
      </c>
      <c r="G208" s="18" t="s">
        <v>214</v>
      </c>
      <c r="H208" s="18" t="s">
        <v>214</v>
      </c>
      <c r="I208" s="18" t="s">
        <v>214</v>
      </c>
    </row>
    <row r="209" spans="1:9" x14ac:dyDescent="0.35">
      <c r="A209" s="14" t="s">
        <v>203</v>
      </c>
      <c r="B209" s="18" t="s">
        <v>214</v>
      </c>
      <c r="C209" s="18" t="s">
        <v>214</v>
      </c>
      <c r="D209" s="18" t="s">
        <v>214</v>
      </c>
      <c r="E209" s="18" t="s">
        <v>214</v>
      </c>
      <c r="F209" s="18" t="s">
        <v>214</v>
      </c>
      <c r="G209" s="18" t="s">
        <v>214</v>
      </c>
      <c r="H209" s="18" t="s">
        <v>214</v>
      </c>
      <c r="I209" s="18" t="s">
        <v>214</v>
      </c>
    </row>
    <row r="210" spans="1:9" x14ac:dyDescent="0.35">
      <c r="A210" s="14" t="s">
        <v>204</v>
      </c>
      <c r="B210" s="18" t="s">
        <v>214</v>
      </c>
      <c r="C210" s="18" t="s">
        <v>214</v>
      </c>
      <c r="D210" s="18" t="s">
        <v>214</v>
      </c>
      <c r="E210" s="18" t="s">
        <v>214</v>
      </c>
      <c r="F210" s="18" t="s">
        <v>214</v>
      </c>
      <c r="G210" s="18" t="s">
        <v>214</v>
      </c>
      <c r="H210" s="18" t="s">
        <v>214</v>
      </c>
      <c r="I210" s="18" t="s">
        <v>214</v>
      </c>
    </row>
    <row r="212" spans="1:9" x14ac:dyDescent="0.35">
      <c r="C212" s="187"/>
      <c r="D212" s="187"/>
      <c r="E212" s="187"/>
      <c r="F212" s="187"/>
      <c r="G212" s="170"/>
      <c r="H212" s="170"/>
      <c r="I212" s="170"/>
    </row>
    <row r="213" spans="1:9" ht="29" x14ac:dyDescent="0.35">
      <c r="A213" s="12" t="s">
        <v>549</v>
      </c>
      <c r="B213" s="13" t="s">
        <v>208</v>
      </c>
      <c r="C213" s="13" t="s">
        <v>458</v>
      </c>
      <c r="D213" s="13" t="s">
        <v>466</v>
      </c>
      <c r="E213" s="13" t="s">
        <v>467</v>
      </c>
      <c r="F213" s="13" t="s">
        <v>468</v>
      </c>
      <c r="G213" s="13" t="s">
        <v>634</v>
      </c>
      <c r="H213" s="13" t="s">
        <v>641</v>
      </c>
      <c r="I213" s="13" t="s">
        <v>647</v>
      </c>
    </row>
    <row r="214" spans="1:9" x14ac:dyDescent="0.35">
      <c r="A214" s="14" t="s">
        <v>209</v>
      </c>
      <c r="B214" s="15">
        <v>11</v>
      </c>
      <c r="C214" s="15">
        <v>0</v>
      </c>
      <c r="D214" s="15">
        <v>4</v>
      </c>
      <c r="E214" s="15">
        <v>8</v>
      </c>
      <c r="F214" s="15">
        <v>11</v>
      </c>
      <c r="G214" s="15">
        <v>15</v>
      </c>
      <c r="H214" s="15">
        <v>17</v>
      </c>
      <c r="I214" s="15">
        <v>17</v>
      </c>
    </row>
    <row r="215" spans="1:9" x14ac:dyDescent="0.35">
      <c r="A215" s="16" t="s">
        <v>336</v>
      </c>
      <c r="B215" s="17">
        <v>0.73588544302074588</v>
      </c>
      <c r="C215" s="168" t="s">
        <v>214</v>
      </c>
      <c r="D215" s="148">
        <v>0.26339898031616849</v>
      </c>
      <c r="E215" s="17">
        <v>0.65422577654774061</v>
      </c>
      <c r="F215" s="17">
        <v>0.73588544302074588</v>
      </c>
      <c r="G215" s="17">
        <v>0.74131351779209431</v>
      </c>
      <c r="H215" s="17">
        <v>0.70705649989084762</v>
      </c>
      <c r="I215" s="17">
        <v>0.70705649989084762</v>
      </c>
    </row>
    <row r="216" spans="1:9" x14ac:dyDescent="0.35">
      <c r="A216" s="16" t="s">
        <v>194</v>
      </c>
      <c r="B216" s="17">
        <v>0.26411455697925401</v>
      </c>
      <c r="C216" s="168" t="s">
        <v>214</v>
      </c>
      <c r="D216" s="151">
        <v>0.73660101968383151</v>
      </c>
      <c r="E216" s="17">
        <v>0.34577422345225939</v>
      </c>
      <c r="F216" s="17">
        <v>0.26411455697925401</v>
      </c>
      <c r="G216" s="17">
        <v>0.25868648220790569</v>
      </c>
      <c r="H216" s="17">
        <v>0.29294350010915232</v>
      </c>
      <c r="I216" s="17">
        <v>0.29294350010915232</v>
      </c>
    </row>
    <row r="217" spans="1:9" x14ac:dyDescent="0.35">
      <c r="A217" s="16" t="s">
        <v>195</v>
      </c>
      <c r="B217" s="17">
        <v>0</v>
      </c>
      <c r="C217" s="168" t="s">
        <v>214</v>
      </c>
      <c r="D217" s="17">
        <v>0</v>
      </c>
      <c r="E217" s="17">
        <v>0</v>
      </c>
      <c r="F217" s="17">
        <v>0</v>
      </c>
      <c r="G217" s="17">
        <v>0</v>
      </c>
      <c r="H217" s="17">
        <v>0</v>
      </c>
      <c r="I217" s="17">
        <v>0</v>
      </c>
    </row>
    <row r="218" spans="1:9" x14ac:dyDescent="0.35">
      <c r="A218" s="14" t="s">
        <v>210</v>
      </c>
      <c r="B218" s="18">
        <v>0.47018418730126682</v>
      </c>
      <c r="C218" s="18" t="s">
        <v>214</v>
      </c>
      <c r="D218" s="18">
        <v>0.26339898031616849</v>
      </c>
      <c r="E218" s="18">
        <v>0.4058679781239215</v>
      </c>
      <c r="F218" s="18">
        <v>0.47018418730126682</v>
      </c>
      <c r="G218" s="18">
        <v>0.48748971921468298</v>
      </c>
      <c r="H218" s="18">
        <v>0.42726075761156368</v>
      </c>
      <c r="I218" s="18">
        <v>0.42726075761156368</v>
      </c>
    </row>
    <row r="219" spans="1:9" x14ac:dyDescent="0.35">
      <c r="A219" s="14" t="s">
        <v>197</v>
      </c>
      <c r="B219" s="18">
        <v>0.26570125571947911</v>
      </c>
      <c r="C219" s="18" t="s">
        <v>214</v>
      </c>
      <c r="D219" s="18">
        <v>0</v>
      </c>
      <c r="E219" s="18">
        <v>0.24835779842381911</v>
      </c>
      <c r="F219" s="18">
        <v>0.26570125571947911</v>
      </c>
      <c r="G219" s="18">
        <v>0.25382379857741127</v>
      </c>
      <c r="H219" s="18">
        <v>0.27979574227928389</v>
      </c>
      <c r="I219" s="18">
        <v>0.27979574227928389</v>
      </c>
    </row>
    <row r="220" spans="1:9" x14ac:dyDescent="0.35">
      <c r="A220" s="14" t="s">
        <v>198</v>
      </c>
      <c r="B220" s="18">
        <v>0.26411455697925401</v>
      </c>
      <c r="C220" s="18" t="s">
        <v>214</v>
      </c>
      <c r="D220" s="22">
        <v>0.73660101968383151</v>
      </c>
      <c r="E220" s="18">
        <v>0.34577422345225939</v>
      </c>
      <c r="F220" s="18">
        <v>0.26411455697925401</v>
      </c>
      <c r="G220" s="18">
        <v>0.25868648220790569</v>
      </c>
      <c r="H220" s="18">
        <v>0.29294350010915232</v>
      </c>
      <c r="I220" s="18">
        <v>0.29294350010915232</v>
      </c>
    </row>
    <row r="221" spans="1:9" x14ac:dyDescent="0.35">
      <c r="A221" s="14" t="s">
        <v>199</v>
      </c>
      <c r="B221" s="18">
        <v>0</v>
      </c>
      <c r="C221" s="18" t="s">
        <v>214</v>
      </c>
      <c r="D221" s="18">
        <v>0</v>
      </c>
      <c r="E221" s="18">
        <v>0</v>
      </c>
      <c r="F221" s="18">
        <v>0</v>
      </c>
      <c r="G221" s="18">
        <v>0</v>
      </c>
      <c r="H221" s="18">
        <v>0</v>
      </c>
      <c r="I221" s="18">
        <v>0</v>
      </c>
    </row>
    <row r="222" spans="1:9" x14ac:dyDescent="0.35">
      <c r="A222" s="14" t="s">
        <v>200</v>
      </c>
      <c r="B222" s="18">
        <v>0</v>
      </c>
      <c r="C222" s="18" t="s">
        <v>214</v>
      </c>
      <c r="D222" s="18">
        <v>0</v>
      </c>
      <c r="E222" s="18">
        <v>0</v>
      </c>
      <c r="F222" s="18">
        <v>0</v>
      </c>
      <c r="G222" s="18">
        <v>0</v>
      </c>
      <c r="H222" s="18">
        <v>0</v>
      </c>
      <c r="I222" s="18">
        <v>0</v>
      </c>
    </row>
    <row r="223" spans="1:9" x14ac:dyDescent="0.35">
      <c r="A223" s="14" t="s">
        <v>201</v>
      </c>
      <c r="B223" s="18">
        <v>0</v>
      </c>
      <c r="C223" s="18" t="s">
        <v>214</v>
      </c>
      <c r="D223" s="18">
        <v>0</v>
      </c>
      <c r="E223" s="18">
        <v>0</v>
      </c>
      <c r="F223" s="18">
        <v>0</v>
      </c>
      <c r="G223" s="18">
        <v>0</v>
      </c>
      <c r="H223" s="18">
        <v>0</v>
      </c>
      <c r="I223" s="18">
        <v>0</v>
      </c>
    </row>
    <row r="224" spans="1:9" x14ac:dyDescent="0.35">
      <c r="A224" s="14" t="s">
        <v>202</v>
      </c>
      <c r="B224" s="18">
        <v>0</v>
      </c>
      <c r="C224" s="18" t="s">
        <v>214</v>
      </c>
      <c r="D224" s="18">
        <v>0</v>
      </c>
      <c r="E224" s="18">
        <v>0</v>
      </c>
      <c r="F224" s="18">
        <v>0</v>
      </c>
      <c r="G224" s="18">
        <v>0</v>
      </c>
      <c r="H224" s="18">
        <v>0</v>
      </c>
      <c r="I224" s="18">
        <v>0</v>
      </c>
    </row>
    <row r="225" spans="1:9" x14ac:dyDescent="0.35">
      <c r="A225" s="14" t="s">
        <v>211</v>
      </c>
      <c r="B225" s="18">
        <v>0</v>
      </c>
      <c r="C225" s="18" t="s">
        <v>214</v>
      </c>
      <c r="D225" s="18">
        <v>0</v>
      </c>
      <c r="E225" s="18">
        <v>0</v>
      </c>
      <c r="F225" s="18">
        <v>0</v>
      </c>
      <c r="G225" s="18">
        <v>0</v>
      </c>
      <c r="H225" s="18">
        <v>0</v>
      </c>
      <c r="I225" s="18">
        <v>0</v>
      </c>
    </row>
    <row r="226" spans="1:9" x14ac:dyDescent="0.35">
      <c r="A226" s="14" t="s">
        <v>212</v>
      </c>
      <c r="B226" s="18">
        <v>0</v>
      </c>
      <c r="C226" s="18" t="s">
        <v>214</v>
      </c>
      <c r="D226" s="18">
        <v>0</v>
      </c>
      <c r="E226" s="18">
        <v>0</v>
      </c>
      <c r="F226" s="18">
        <v>0</v>
      </c>
      <c r="G226" s="18">
        <v>0</v>
      </c>
      <c r="H226" s="18">
        <v>0</v>
      </c>
      <c r="I226" s="18">
        <v>0</v>
      </c>
    </row>
    <row r="227" spans="1:9" x14ac:dyDescent="0.35">
      <c r="A227" s="14" t="s">
        <v>203</v>
      </c>
      <c r="B227" s="18">
        <v>0</v>
      </c>
      <c r="C227" s="18" t="s">
        <v>214</v>
      </c>
      <c r="D227" s="18">
        <v>0</v>
      </c>
      <c r="E227" s="18">
        <v>0</v>
      </c>
      <c r="F227" s="18">
        <v>0</v>
      </c>
      <c r="G227" s="18">
        <v>0</v>
      </c>
      <c r="H227" s="18">
        <v>0</v>
      </c>
      <c r="I227" s="18">
        <v>0</v>
      </c>
    </row>
    <row r="228" spans="1:9" x14ac:dyDescent="0.35">
      <c r="A228" s="14" t="s">
        <v>204</v>
      </c>
      <c r="B228" s="18">
        <v>0</v>
      </c>
      <c r="C228" s="18" t="s">
        <v>214</v>
      </c>
      <c r="D228" s="18">
        <v>0</v>
      </c>
      <c r="E228" s="18">
        <v>0</v>
      </c>
      <c r="F228" s="18">
        <v>0</v>
      </c>
      <c r="G228" s="18">
        <v>0</v>
      </c>
      <c r="H228" s="18">
        <v>0</v>
      </c>
      <c r="I228" s="18">
        <v>0</v>
      </c>
    </row>
    <row r="229" spans="1:9" x14ac:dyDescent="0.35">
      <c r="A229" s="14" t="s">
        <v>213</v>
      </c>
      <c r="B229" s="1">
        <v>73.588544302074581</v>
      </c>
      <c r="C229" s="1" t="s">
        <v>214</v>
      </c>
      <c r="D229" s="1">
        <v>26.339898031616851</v>
      </c>
      <c r="E229" s="1">
        <v>65.422577654774059</v>
      </c>
      <c r="F229" s="1">
        <v>73.588544302074595</v>
      </c>
      <c r="G229" s="1">
        <v>74.131351779209425</v>
      </c>
      <c r="H229" s="1">
        <v>70.705649989084762</v>
      </c>
      <c r="I229" s="1">
        <v>70.705649989084762</v>
      </c>
    </row>
    <row r="231" spans="1:9" x14ac:dyDescent="0.35">
      <c r="C231" s="187"/>
      <c r="D231" s="187"/>
      <c r="E231" s="187"/>
      <c r="F231" s="187"/>
      <c r="G231" s="170"/>
      <c r="H231" s="170"/>
      <c r="I231" s="170"/>
    </row>
    <row r="232" spans="1:9" ht="29" x14ac:dyDescent="0.35">
      <c r="A232" s="12" t="s">
        <v>486</v>
      </c>
      <c r="B232" s="13" t="s">
        <v>208</v>
      </c>
      <c r="C232" s="13" t="s">
        <v>458</v>
      </c>
      <c r="D232" s="13" t="s">
        <v>466</v>
      </c>
      <c r="E232" s="13" t="s">
        <v>467</v>
      </c>
      <c r="F232" s="13" t="s">
        <v>468</v>
      </c>
      <c r="G232" s="13" t="s">
        <v>634</v>
      </c>
      <c r="H232" s="13" t="s">
        <v>641</v>
      </c>
      <c r="I232" s="13" t="s">
        <v>647</v>
      </c>
    </row>
    <row r="233" spans="1:9" x14ac:dyDescent="0.35">
      <c r="A233" s="14" t="s">
        <v>209</v>
      </c>
      <c r="B233" s="15">
        <v>0</v>
      </c>
      <c r="C233" s="15">
        <v>0</v>
      </c>
      <c r="D233" s="15">
        <v>0</v>
      </c>
      <c r="E233" s="15">
        <v>0</v>
      </c>
      <c r="F233" s="15">
        <v>0</v>
      </c>
      <c r="G233" s="15">
        <v>0</v>
      </c>
      <c r="H233" s="15">
        <v>0</v>
      </c>
      <c r="I233" s="15">
        <v>0</v>
      </c>
    </row>
    <row r="234" spans="1:9" x14ac:dyDescent="0.35">
      <c r="A234" s="16" t="s">
        <v>336</v>
      </c>
      <c r="B234" s="17" t="s">
        <v>214</v>
      </c>
      <c r="C234" s="168" t="s">
        <v>214</v>
      </c>
      <c r="D234" s="168" t="s">
        <v>214</v>
      </c>
      <c r="E234" s="168" t="s">
        <v>214</v>
      </c>
      <c r="F234" s="168" t="s">
        <v>214</v>
      </c>
      <c r="G234" s="168" t="s">
        <v>214</v>
      </c>
      <c r="H234" s="168" t="s">
        <v>214</v>
      </c>
      <c r="I234" s="168" t="s">
        <v>214</v>
      </c>
    </row>
    <row r="235" spans="1:9" x14ac:dyDescent="0.35">
      <c r="A235" s="16" t="s">
        <v>194</v>
      </c>
      <c r="B235" s="17" t="s">
        <v>214</v>
      </c>
      <c r="C235" s="168" t="s">
        <v>214</v>
      </c>
      <c r="D235" s="168" t="s">
        <v>214</v>
      </c>
      <c r="E235" s="168" t="s">
        <v>214</v>
      </c>
      <c r="F235" s="168" t="s">
        <v>214</v>
      </c>
      <c r="G235" s="168" t="s">
        <v>214</v>
      </c>
      <c r="H235" s="168" t="s">
        <v>214</v>
      </c>
      <c r="I235" s="168" t="s">
        <v>214</v>
      </c>
    </row>
    <row r="236" spans="1:9" x14ac:dyDescent="0.35">
      <c r="A236" s="16" t="s">
        <v>195</v>
      </c>
      <c r="B236" s="17" t="s">
        <v>214</v>
      </c>
      <c r="C236" s="168" t="s">
        <v>214</v>
      </c>
      <c r="D236" s="168" t="s">
        <v>214</v>
      </c>
      <c r="E236" s="168" t="s">
        <v>214</v>
      </c>
      <c r="F236" s="168" t="s">
        <v>214</v>
      </c>
      <c r="G236" s="168" t="s">
        <v>214</v>
      </c>
      <c r="H236" s="168" t="s">
        <v>214</v>
      </c>
      <c r="I236" s="168" t="s">
        <v>214</v>
      </c>
    </row>
    <row r="237" spans="1:9" x14ac:dyDescent="0.35">
      <c r="A237" s="14" t="s">
        <v>210</v>
      </c>
      <c r="B237" s="18" t="s">
        <v>214</v>
      </c>
      <c r="C237" s="18" t="s">
        <v>214</v>
      </c>
      <c r="D237" s="18" t="s">
        <v>214</v>
      </c>
      <c r="E237" s="18" t="s">
        <v>214</v>
      </c>
      <c r="F237" s="18" t="s">
        <v>214</v>
      </c>
      <c r="G237" s="18" t="s">
        <v>214</v>
      </c>
      <c r="H237" s="18" t="s">
        <v>214</v>
      </c>
      <c r="I237" s="18" t="s">
        <v>214</v>
      </c>
    </row>
    <row r="238" spans="1:9" x14ac:dyDescent="0.35">
      <c r="A238" s="14" t="s">
        <v>197</v>
      </c>
      <c r="B238" s="18" t="s">
        <v>214</v>
      </c>
      <c r="C238" s="18" t="s">
        <v>214</v>
      </c>
      <c r="D238" s="18" t="s">
        <v>214</v>
      </c>
      <c r="E238" s="18" t="s">
        <v>214</v>
      </c>
      <c r="F238" s="18" t="s">
        <v>214</v>
      </c>
      <c r="G238" s="18" t="s">
        <v>214</v>
      </c>
      <c r="H238" s="18" t="s">
        <v>214</v>
      </c>
      <c r="I238" s="18" t="s">
        <v>214</v>
      </c>
    </row>
    <row r="239" spans="1:9" x14ac:dyDescent="0.35">
      <c r="A239" s="14" t="s">
        <v>198</v>
      </c>
      <c r="B239" s="18" t="s">
        <v>214</v>
      </c>
      <c r="C239" s="18" t="s">
        <v>214</v>
      </c>
      <c r="D239" s="18" t="s">
        <v>214</v>
      </c>
      <c r="E239" s="18" t="s">
        <v>214</v>
      </c>
      <c r="F239" s="18" t="s">
        <v>214</v>
      </c>
      <c r="G239" s="18" t="s">
        <v>214</v>
      </c>
      <c r="H239" s="18" t="s">
        <v>214</v>
      </c>
      <c r="I239" s="18" t="s">
        <v>214</v>
      </c>
    </row>
    <row r="240" spans="1:9" x14ac:dyDescent="0.35">
      <c r="A240" s="14" t="s">
        <v>199</v>
      </c>
      <c r="B240" s="18" t="s">
        <v>214</v>
      </c>
      <c r="C240" s="18" t="s">
        <v>214</v>
      </c>
      <c r="D240" s="18" t="s">
        <v>214</v>
      </c>
      <c r="E240" s="18" t="s">
        <v>214</v>
      </c>
      <c r="F240" s="18" t="s">
        <v>214</v>
      </c>
      <c r="G240" s="18" t="s">
        <v>214</v>
      </c>
      <c r="H240" s="18" t="s">
        <v>214</v>
      </c>
      <c r="I240" s="18" t="s">
        <v>214</v>
      </c>
    </row>
    <row r="241" spans="1:9" x14ac:dyDescent="0.35">
      <c r="A241" s="14" t="s">
        <v>200</v>
      </c>
      <c r="B241" s="18" t="s">
        <v>214</v>
      </c>
      <c r="C241" s="18" t="s">
        <v>214</v>
      </c>
      <c r="D241" s="18" t="s">
        <v>214</v>
      </c>
      <c r="E241" s="18" t="s">
        <v>214</v>
      </c>
      <c r="F241" s="18" t="s">
        <v>214</v>
      </c>
      <c r="G241" s="18" t="s">
        <v>214</v>
      </c>
      <c r="H241" s="18" t="s">
        <v>214</v>
      </c>
      <c r="I241" s="18" t="s">
        <v>214</v>
      </c>
    </row>
    <row r="242" spans="1:9" x14ac:dyDescent="0.35">
      <c r="A242" s="14" t="s">
        <v>201</v>
      </c>
      <c r="B242" s="18" t="s">
        <v>214</v>
      </c>
      <c r="C242" s="18" t="s">
        <v>214</v>
      </c>
      <c r="D242" s="18" t="s">
        <v>214</v>
      </c>
      <c r="E242" s="18" t="s">
        <v>214</v>
      </c>
      <c r="F242" s="18" t="s">
        <v>214</v>
      </c>
      <c r="G242" s="18" t="s">
        <v>214</v>
      </c>
      <c r="H242" s="18" t="s">
        <v>214</v>
      </c>
      <c r="I242" s="18" t="s">
        <v>214</v>
      </c>
    </row>
    <row r="243" spans="1:9" x14ac:dyDescent="0.35">
      <c r="A243" s="14" t="s">
        <v>202</v>
      </c>
      <c r="B243" s="18" t="s">
        <v>214</v>
      </c>
      <c r="C243" s="18" t="s">
        <v>214</v>
      </c>
      <c r="D243" s="18" t="s">
        <v>214</v>
      </c>
      <c r="E243" s="18" t="s">
        <v>214</v>
      </c>
      <c r="F243" s="18" t="s">
        <v>214</v>
      </c>
      <c r="G243" s="18" t="s">
        <v>214</v>
      </c>
      <c r="H243" s="18" t="s">
        <v>214</v>
      </c>
      <c r="I243" s="18" t="s">
        <v>214</v>
      </c>
    </row>
    <row r="244" spans="1:9" x14ac:dyDescent="0.35">
      <c r="A244" s="14" t="s">
        <v>211</v>
      </c>
      <c r="B244" s="18" t="s">
        <v>214</v>
      </c>
      <c r="C244" s="18" t="s">
        <v>214</v>
      </c>
      <c r="D244" s="18" t="s">
        <v>214</v>
      </c>
      <c r="E244" s="18" t="s">
        <v>214</v>
      </c>
      <c r="F244" s="18" t="s">
        <v>214</v>
      </c>
      <c r="G244" s="18" t="s">
        <v>214</v>
      </c>
      <c r="H244" s="18" t="s">
        <v>214</v>
      </c>
      <c r="I244" s="18" t="s">
        <v>214</v>
      </c>
    </row>
    <row r="245" spans="1:9" x14ac:dyDescent="0.35">
      <c r="A245" s="14" t="s">
        <v>212</v>
      </c>
      <c r="B245" s="18" t="s">
        <v>214</v>
      </c>
      <c r="C245" s="18" t="s">
        <v>214</v>
      </c>
      <c r="D245" s="18" t="s">
        <v>214</v>
      </c>
      <c r="E245" s="18" t="s">
        <v>214</v>
      </c>
      <c r="F245" s="18" t="s">
        <v>214</v>
      </c>
      <c r="G245" s="18" t="s">
        <v>214</v>
      </c>
      <c r="H245" s="18" t="s">
        <v>214</v>
      </c>
      <c r="I245" s="18" t="s">
        <v>214</v>
      </c>
    </row>
    <row r="246" spans="1:9" x14ac:dyDescent="0.35">
      <c r="A246" s="14" t="s">
        <v>203</v>
      </c>
      <c r="B246" s="18" t="s">
        <v>214</v>
      </c>
      <c r="C246" s="18" t="s">
        <v>214</v>
      </c>
      <c r="D246" s="18" t="s">
        <v>214</v>
      </c>
      <c r="E246" s="18" t="s">
        <v>214</v>
      </c>
      <c r="F246" s="18" t="s">
        <v>214</v>
      </c>
      <c r="G246" s="18" t="s">
        <v>214</v>
      </c>
      <c r="H246" s="18" t="s">
        <v>214</v>
      </c>
      <c r="I246" s="18" t="s">
        <v>214</v>
      </c>
    </row>
    <row r="247" spans="1:9" x14ac:dyDescent="0.35">
      <c r="A247" s="14" t="s">
        <v>204</v>
      </c>
      <c r="B247" s="18" t="s">
        <v>214</v>
      </c>
      <c r="C247" s="18" t="s">
        <v>214</v>
      </c>
      <c r="D247" s="18" t="s">
        <v>214</v>
      </c>
      <c r="E247" s="18" t="s">
        <v>214</v>
      </c>
      <c r="F247" s="18" t="s">
        <v>214</v>
      </c>
      <c r="G247" s="18" t="s">
        <v>214</v>
      </c>
      <c r="H247" s="18" t="s">
        <v>214</v>
      </c>
      <c r="I247" s="18" t="s">
        <v>214</v>
      </c>
    </row>
    <row r="249" spans="1:9" x14ac:dyDescent="0.35">
      <c r="C249" s="187"/>
      <c r="D249" s="187"/>
      <c r="E249" s="187"/>
      <c r="F249" s="187"/>
      <c r="G249" s="170"/>
      <c r="H249" s="170"/>
      <c r="I249" s="170"/>
    </row>
    <row r="250" spans="1:9" ht="29" x14ac:dyDescent="0.35">
      <c r="A250" s="12" t="s">
        <v>550</v>
      </c>
      <c r="B250" s="13" t="s">
        <v>208</v>
      </c>
      <c r="C250" s="13" t="s">
        <v>458</v>
      </c>
      <c r="D250" s="13" t="s">
        <v>466</v>
      </c>
      <c r="E250" s="13" t="s">
        <v>467</v>
      </c>
      <c r="F250" s="13" t="s">
        <v>468</v>
      </c>
      <c r="G250" s="13" t="s">
        <v>634</v>
      </c>
      <c r="H250" s="13" t="s">
        <v>641</v>
      </c>
      <c r="I250" s="13" t="s">
        <v>647</v>
      </c>
    </row>
    <row r="251" spans="1:9" x14ac:dyDescent="0.35">
      <c r="A251" s="14" t="s">
        <v>209</v>
      </c>
      <c r="B251" s="15">
        <v>13</v>
      </c>
      <c r="C251" s="15">
        <v>4</v>
      </c>
      <c r="D251" s="15">
        <v>6</v>
      </c>
      <c r="E251" s="15">
        <v>9</v>
      </c>
      <c r="F251" s="15">
        <v>13</v>
      </c>
      <c r="G251" s="15">
        <v>21</v>
      </c>
      <c r="H251" s="15">
        <v>24</v>
      </c>
      <c r="I251" s="15">
        <v>21</v>
      </c>
    </row>
    <row r="252" spans="1:9" x14ac:dyDescent="0.35">
      <c r="A252" s="16" t="s">
        <v>336</v>
      </c>
      <c r="B252" s="17">
        <v>0.67043674993499502</v>
      </c>
      <c r="C252" s="17">
        <v>0.43369916519129992</v>
      </c>
      <c r="D252" s="17">
        <v>0.4359299699171138</v>
      </c>
      <c r="E252" s="17">
        <v>0.63416759493035335</v>
      </c>
      <c r="F252" s="17">
        <v>0.67043674993499502</v>
      </c>
      <c r="G252" s="17">
        <v>0.48898695139242948</v>
      </c>
      <c r="H252" s="152">
        <v>0.55575734756375128</v>
      </c>
      <c r="I252" s="17">
        <v>0.54711157375686437</v>
      </c>
    </row>
    <row r="253" spans="1:9" x14ac:dyDescent="0.35">
      <c r="A253" s="16" t="s">
        <v>194</v>
      </c>
      <c r="B253" s="17">
        <v>0.1859518956652709</v>
      </c>
      <c r="C253" s="17">
        <v>0.38448762634252109</v>
      </c>
      <c r="D253" s="17">
        <v>0.25365188824469842</v>
      </c>
      <c r="E253" s="17">
        <v>0.16450808477340981</v>
      </c>
      <c r="F253" s="17">
        <v>0.1859518956652709</v>
      </c>
      <c r="G253" s="17">
        <v>0.42720640406096011</v>
      </c>
      <c r="H253" s="17">
        <v>0.37138641879091377</v>
      </c>
      <c r="I253" s="17">
        <v>0.40283055699518411</v>
      </c>
    </row>
    <row r="254" spans="1:9" x14ac:dyDescent="0.35">
      <c r="A254" s="16" t="s">
        <v>195</v>
      </c>
      <c r="B254" s="17">
        <v>0.14361135439973399</v>
      </c>
      <c r="C254" s="17">
        <v>0.1818132084661791</v>
      </c>
      <c r="D254" s="17">
        <v>0.31041814183818772</v>
      </c>
      <c r="E254" s="17">
        <v>0.20132432029623679</v>
      </c>
      <c r="F254" s="17">
        <v>0.14361135439973399</v>
      </c>
      <c r="G254" s="17">
        <v>8.3806644546610409E-2</v>
      </c>
      <c r="H254" s="17">
        <v>7.2856233645335014E-2</v>
      </c>
      <c r="I254" s="17">
        <v>5.0057869247951442E-2</v>
      </c>
    </row>
    <row r="255" spans="1:9" x14ac:dyDescent="0.35">
      <c r="A255" s="14" t="s">
        <v>210</v>
      </c>
      <c r="B255" s="18">
        <v>0.44257340799163197</v>
      </c>
      <c r="C255" s="18">
        <v>0.43369916519129992</v>
      </c>
      <c r="D255" s="18">
        <v>0.4359299699171138</v>
      </c>
      <c r="E255" s="18">
        <v>0.41153287608767791</v>
      </c>
      <c r="F255" s="25">
        <v>0.44257340799163197</v>
      </c>
      <c r="G255" s="18">
        <v>0.2582706112923156</v>
      </c>
      <c r="H255" s="25">
        <v>0.2245242498591061</v>
      </c>
      <c r="I255" s="18">
        <v>0.1762156179406093</v>
      </c>
    </row>
    <row r="256" spans="1:9" x14ac:dyDescent="0.35">
      <c r="A256" s="14" t="s">
        <v>197</v>
      </c>
      <c r="B256" s="18">
        <v>0.227863341943363</v>
      </c>
      <c r="C256" s="18">
        <v>0</v>
      </c>
      <c r="D256" s="23">
        <v>0</v>
      </c>
      <c r="E256" s="18">
        <v>0.22263471884267561</v>
      </c>
      <c r="F256" s="18">
        <v>0.227863341943363</v>
      </c>
      <c r="G256" s="18">
        <v>0.23071634010011399</v>
      </c>
      <c r="H256" s="18">
        <v>0.33123309770464521</v>
      </c>
      <c r="I256" s="18">
        <v>0.37089595581625512</v>
      </c>
    </row>
    <row r="257" spans="1:9" x14ac:dyDescent="0.35">
      <c r="A257" s="14" t="s">
        <v>198</v>
      </c>
      <c r="B257" s="18">
        <v>6.8602790354732587E-2</v>
      </c>
      <c r="C257" s="18">
        <v>0</v>
      </c>
      <c r="D257" s="18">
        <v>0</v>
      </c>
      <c r="E257" s="18">
        <v>0</v>
      </c>
      <c r="F257" s="18">
        <v>6.8602790354732587E-2</v>
      </c>
      <c r="G257" s="18">
        <v>0.14476756493651499</v>
      </c>
      <c r="H257" s="25">
        <v>0.1258518294383561</v>
      </c>
      <c r="I257" s="18">
        <v>0.1409217101015228</v>
      </c>
    </row>
    <row r="258" spans="1:9" x14ac:dyDescent="0.35">
      <c r="A258" s="14" t="s">
        <v>199</v>
      </c>
      <c r="B258" s="18">
        <v>0.1173491053105383</v>
      </c>
      <c r="C258" s="20">
        <v>0.38448762634252109</v>
      </c>
      <c r="D258" s="18">
        <v>0.25365188824469842</v>
      </c>
      <c r="E258" s="18">
        <v>0.16450808477340981</v>
      </c>
      <c r="F258" s="18">
        <v>0.1173491053105383</v>
      </c>
      <c r="G258" s="18">
        <v>0.28243883912444512</v>
      </c>
      <c r="H258" s="18">
        <v>0.24553458935255781</v>
      </c>
      <c r="I258" s="18">
        <v>0.26190884689366128</v>
      </c>
    </row>
    <row r="259" spans="1:9" x14ac:dyDescent="0.35">
      <c r="A259" s="14" t="s">
        <v>200</v>
      </c>
      <c r="B259" s="18">
        <v>0</v>
      </c>
      <c r="C259" s="18">
        <v>0</v>
      </c>
      <c r="D259" s="18">
        <v>0</v>
      </c>
      <c r="E259" s="18">
        <v>0</v>
      </c>
      <c r="F259" s="18">
        <v>0</v>
      </c>
      <c r="G259" s="18">
        <v>0</v>
      </c>
      <c r="H259" s="18">
        <v>0</v>
      </c>
      <c r="I259" s="18">
        <v>0</v>
      </c>
    </row>
    <row r="260" spans="1:9" x14ac:dyDescent="0.35">
      <c r="A260" s="14" t="s">
        <v>201</v>
      </c>
      <c r="B260" s="18">
        <v>0.14361135439973399</v>
      </c>
      <c r="C260" s="18">
        <v>0.1818132084661791</v>
      </c>
      <c r="D260" s="18">
        <v>0.31041814183818772</v>
      </c>
      <c r="E260" s="18">
        <v>0.20132432029623679</v>
      </c>
      <c r="F260" s="18">
        <v>0.14361135439973399</v>
      </c>
      <c r="G260" s="18">
        <v>8.3806644546610409E-2</v>
      </c>
      <c r="H260" s="18">
        <v>7.2856233645335014E-2</v>
      </c>
      <c r="I260" s="18">
        <v>5.0057869247951442E-2</v>
      </c>
    </row>
    <row r="261" spans="1:9" x14ac:dyDescent="0.35">
      <c r="A261" s="14" t="s">
        <v>202</v>
      </c>
      <c r="B261" s="18">
        <v>0</v>
      </c>
      <c r="C261" s="18">
        <v>0</v>
      </c>
      <c r="D261" s="18">
        <v>0</v>
      </c>
      <c r="E261" s="18">
        <v>0</v>
      </c>
      <c r="F261" s="18">
        <v>0</v>
      </c>
      <c r="G261" s="18">
        <v>0</v>
      </c>
      <c r="H261" s="18">
        <v>0</v>
      </c>
      <c r="I261" s="18">
        <v>0</v>
      </c>
    </row>
    <row r="262" spans="1:9" x14ac:dyDescent="0.35">
      <c r="A262" s="14" t="s">
        <v>211</v>
      </c>
      <c r="B262" s="18">
        <v>0</v>
      </c>
      <c r="C262" s="18">
        <v>0</v>
      </c>
      <c r="D262" s="18">
        <v>0</v>
      </c>
      <c r="E262" s="18">
        <v>0</v>
      </c>
      <c r="F262" s="18">
        <v>0</v>
      </c>
      <c r="G262" s="18">
        <v>0</v>
      </c>
      <c r="H262" s="18">
        <v>0</v>
      </c>
      <c r="I262" s="18">
        <v>0</v>
      </c>
    </row>
    <row r="263" spans="1:9" x14ac:dyDescent="0.35">
      <c r="A263" s="14" t="s">
        <v>212</v>
      </c>
      <c r="B263" s="18">
        <v>0</v>
      </c>
      <c r="C263" s="18">
        <v>0</v>
      </c>
      <c r="D263" s="18">
        <v>0</v>
      </c>
      <c r="E263" s="18">
        <v>0</v>
      </c>
      <c r="F263" s="18">
        <v>0</v>
      </c>
      <c r="G263" s="18">
        <v>0</v>
      </c>
      <c r="H263" s="18">
        <v>0</v>
      </c>
      <c r="I263" s="18">
        <v>0</v>
      </c>
    </row>
    <row r="264" spans="1:9" x14ac:dyDescent="0.35">
      <c r="A264" s="14" t="s">
        <v>203</v>
      </c>
      <c r="B264" s="18">
        <v>0</v>
      </c>
      <c r="C264" s="18">
        <v>0</v>
      </c>
      <c r="D264" s="18">
        <v>0</v>
      </c>
      <c r="E264" s="18">
        <v>0</v>
      </c>
      <c r="F264" s="18">
        <v>0</v>
      </c>
      <c r="G264" s="18">
        <v>0</v>
      </c>
      <c r="H264" s="18">
        <v>0</v>
      </c>
      <c r="I264" s="18">
        <v>0</v>
      </c>
    </row>
    <row r="265" spans="1:9" x14ac:dyDescent="0.35">
      <c r="A265" s="14" t="s">
        <v>204</v>
      </c>
      <c r="B265" s="18">
        <v>0</v>
      </c>
      <c r="C265" s="18">
        <v>0</v>
      </c>
      <c r="D265" s="18">
        <v>0</v>
      </c>
      <c r="E265" s="18">
        <v>0</v>
      </c>
      <c r="F265" s="18">
        <v>0</v>
      </c>
      <c r="G265" s="18">
        <v>0</v>
      </c>
      <c r="H265" s="18">
        <v>0</v>
      </c>
      <c r="I265" s="18">
        <v>0</v>
      </c>
    </row>
    <row r="266" spans="1:9" x14ac:dyDescent="0.35">
      <c r="A266" s="14" t="s">
        <v>213</v>
      </c>
      <c r="B266" s="1">
        <v>52.682539553526112</v>
      </c>
      <c r="C266" s="1">
        <v>25.188595672512079</v>
      </c>
      <c r="D266" s="1">
        <v>12.55118280789261</v>
      </c>
      <c r="E266" s="1">
        <v>43.28432746341165</v>
      </c>
      <c r="F266" s="1">
        <v>52.682539553526112</v>
      </c>
      <c r="G266" s="1">
        <v>40.518030684581923</v>
      </c>
      <c r="H266" s="1">
        <v>48.290111391841627</v>
      </c>
      <c r="I266" s="1">
        <v>49.705370450891301</v>
      </c>
    </row>
    <row r="268" spans="1:9" x14ac:dyDescent="0.35">
      <c r="C268" s="187"/>
      <c r="D268" s="187"/>
      <c r="E268" s="187"/>
      <c r="F268" s="187"/>
      <c r="G268" s="170"/>
      <c r="H268" s="170"/>
      <c r="I268" s="170"/>
    </row>
    <row r="269" spans="1:9" ht="29" x14ac:dyDescent="0.35">
      <c r="A269" s="12" t="s">
        <v>551</v>
      </c>
      <c r="B269" s="13" t="s">
        <v>208</v>
      </c>
      <c r="C269" s="13" t="s">
        <v>458</v>
      </c>
      <c r="D269" s="13" t="s">
        <v>466</v>
      </c>
      <c r="E269" s="13" t="s">
        <v>467</v>
      </c>
      <c r="F269" s="13" t="s">
        <v>468</v>
      </c>
      <c r="G269" s="13" t="s">
        <v>634</v>
      </c>
      <c r="H269" s="13" t="s">
        <v>641</v>
      </c>
      <c r="I269" s="13" t="s">
        <v>647</v>
      </c>
    </row>
    <row r="270" spans="1:9" x14ac:dyDescent="0.35">
      <c r="A270" s="14" t="s">
        <v>209</v>
      </c>
      <c r="B270" s="15">
        <v>17</v>
      </c>
      <c r="C270" s="15">
        <v>6</v>
      </c>
      <c r="D270" s="15">
        <v>9</v>
      </c>
      <c r="E270" s="15">
        <v>12</v>
      </c>
      <c r="F270" s="15">
        <v>17</v>
      </c>
      <c r="G270" s="15">
        <v>18</v>
      </c>
      <c r="H270" s="15">
        <v>21</v>
      </c>
      <c r="I270" s="15">
        <v>19</v>
      </c>
    </row>
    <row r="271" spans="1:9" x14ac:dyDescent="0.35">
      <c r="A271" s="16" t="s">
        <v>336</v>
      </c>
      <c r="B271" s="17">
        <v>0.47490085478556843</v>
      </c>
      <c r="C271" s="17">
        <v>0.36567520629810041</v>
      </c>
      <c r="D271" s="155">
        <v>0.24849125660720281</v>
      </c>
      <c r="E271" s="17">
        <v>0.35221466816934571</v>
      </c>
      <c r="F271" s="17">
        <v>0.47490085478556843</v>
      </c>
      <c r="G271" s="17">
        <v>0.44839159109947763</v>
      </c>
      <c r="H271" s="17">
        <v>0.53082195579012248</v>
      </c>
      <c r="I271" s="17">
        <v>0.58729886245299012</v>
      </c>
    </row>
    <row r="272" spans="1:9" x14ac:dyDescent="0.35">
      <c r="A272" s="16" t="s">
        <v>194</v>
      </c>
      <c r="B272" s="17">
        <v>0.36450519073362081</v>
      </c>
      <c r="C272" s="17">
        <v>0.348295981628994</v>
      </c>
      <c r="D272" s="153">
        <v>0.55714046872251366</v>
      </c>
      <c r="E272" s="17">
        <v>0.42561740684695942</v>
      </c>
      <c r="F272" s="17">
        <v>0.36450519073362081</v>
      </c>
      <c r="G272" s="17">
        <v>0.39997890972195821</v>
      </c>
      <c r="H272" s="17">
        <v>0.34020750873359262</v>
      </c>
      <c r="I272" s="17">
        <v>0.36563402643128262</v>
      </c>
    </row>
    <row r="273" spans="1:9" x14ac:dyDescent="0.35">
      <c r="A273" s="16" t="s">
        <v>195</v>
      </c>
      <c r="B273" s="17">
        <v>0.16059395448081079</v>
      </c>
      <c r="C273" s="17">
        <v>0.28602881207290559</v>
      </c>
      <c r="D273" s="17">
        <v>0.19436827467028359</v>
      </c>
      <c r="E273" s="17">
        <v>0.222167924983695</v>
      </c>
      <c r="F273" s="17">
        <v>0.16059395448081079</v>
      </c>
      <c r="G273" s="17">
        <v>0.1516294991785643</v>
      </c>
      <c r="H273" s="17">
        <v>0.1289705354762852</v>
      </c>
      <c r="I273" s="154">
        <v>4.70671111157272E-2</v>
      </c>
    </row>
    <row r="274" spans="1:9" x14ac:dyDescent="0.35">
      <c r="A274" s="14" t="s">
        <v>210</v>
      </c>
      <c r="B274" s="18">
        <v>0.37429731156937229</v>
      </c>
      <c r="C274" s="18">
        <v>0.36567520629810041</v>
      </c>
      <c r="D274" s="18">
        <v>0.24849125660720281</v>
      </c>
      <c r="E274" s="18">
        <v>0.2832269230402869</v>
      </c>
      <c r="F274" s="18">
        <v>0.37429731156937229</v>
      </c>
      <c r="G274" s="18">
        <v>0.35340380078833228</v>
      </c>
      <c r="H274" s="18">
        <v>0.34940471372141879</v>
      </c>
      <c r="I274" s="18">
        <v>0.32636884874590433</v>
      </c>
    </row>
    <row r="275" spans="1:9" x14ac:dyDescent="0.35">
      <c r="A275" s="14" t="s">
        <v>197</v>
      </c>
      <c r="B275" s="18">
        <v>0.10060354321619611</v>
      </c>
      <c r="C275" s="18">
        <v>0</v>
      </c>
      <c r="D275" s="18">
        <v>0</v>
      </c>
      <c r="E275" s="18">
        <v>6.8987745129058739E-2</v>
      </c>
      <c r="F275" s="18">
        <v>0.10060354321619611</v>
      </c>
      <c r="G275" s="18">
        <v>9.4987790311145279E-2</v>
      </c>
      <c r="H275" s="25">
        <v>0.18141724206870349</v>
      </c>
      <c r="I275" s="18">
        <v>0.26093001370708591</v>
      </c>
    </row>
    <row r="276" spans="1:9" x14ac:dyDescent="0.35">
      <c r="A276" s="14" t="s">
        <v>198</v>
      </c>
      <c r="B276" s="18">
        <v>0.24474047653567449</v>
      </c>
      <c r="C276" s="18">
        <v>0.18062857969312121</v>
      </c>
      <c r="D276" s="19">
        <v>0.44320361251371349</v>
      </c>
      <c r="E276" s="18">
        <v>0.33857740166644029</v>
      </c>
      <c r="F276" s="18">
        <v>0.24474047653567449</v>
      </c>
      <c r="G276" s="18">
        <v>0.28689953701575599</v>
      </c>
      <c r="H276" s="18">
        <v>0.2440263083191086</v>
      </c>
      <c r="I276" s="18">
        <v>0.26280323171670411</v>
      </c>
    </row>
    <row r="277" spans="1:9" x14ac:dyDescent="0.35">
      <c r="A277" s="14" t="s">
        <v>199</v>
      </c>
      <c r="B277" s="18">
        <v>0.1197647141979462</v>
      </c>
      <c r="C277" s="18">
        <v>0.16766740193587279</v>
      </c>
      <c r="D277" s="18">
        <v>0.11393685620880011</v>
      </c>
      <c r="E277" s="18">
        <v>8.7040005180519034E-2</v>
      </c>
      <c r="F277" s="18">
        <v>0.1197647141979462</v>
      </c>
      <c r="G277" s="18">
        <v>0.11307937270620221</v>
      </c>
      <c r="H277" s="18">
        <v>9.6181200414483997E-2</v>
      </c>
      <c r="I277" s="18">
        <v>0.1028307947145785</v>
      </c>
    </row>
    <row r="278" spans="1:9" x14ac:dyDescent="0.35">
      <c r="A278" s="14" t="s">
        <v>200</v>
      </c>
      <c r="B278" s="18">
        <v>0.12042735897916421</v>
      </c>
      <c r="C278" s="18">
        <v>0.1789886111005842</v>
      </c>
      <c r="D278" s="18">
        <v>0.1216300808059273</v>
      </c>
      <c r="E278" s="18">
        <v>0.16660089442448101</v>
      </c>
      <c r="F278" s="18">
        <v>0.12042735897916421</v>
      </c>
      <c r="G278" s="18">
        <v>0.11370502823996249</v>
      </c>
      <c r="H278" s="18">
        <v>9.6713360249146132E-2</v>
      </c>
      <c r="I278" s="18">
        <v>4.70671111157272E-2</v>
      </c>
    </row>
    <row r="279" spans="1:9" x14ac:dyDescent="0.35">
      <c r="A279" s="14" t="s">
        <v>201</v>
      </c>
      <c r="B279" s="18">
        <v>4.0166595501646557E-2</v>
      </c>
      <c r="C279" s="18">
        <v>0.1070402009723215</v>
      </c>
      <c r="D279" s="18">
        <v>7.2738193864356274E-2</v>
      </c>
      <c r="E279" s="18">
        <v>5.5567030559213998E-2</v>
      </c>
      <c r="F279" s="18">
        <v>4.0166595501646557E-2</v>
      </c>
      <c r="G279" s="18">
        <v>3.7924470938601747E-2</v>
      </c>
      <c r="H279" s="18">
        <v>3.225717522713905E-2</v>
      </c>
      <c r="I279" s="18">
        <v>0</v>
      </c>
    </row>
    <row r="280" spans="1:9" x14ac:dyDescent="0.35">
      <c r="A280" s="14" t="s">
        <v>202</v>
      </c>
      <c r="B280" s="18">
        <v>0</v>
      </c>
      <c r="C280" s="18">
        <v>0</v>
      </c>
      <c r="D280" s="18">
        <v>0</v>
      </c>
      <c r="E280" s="18">
        <v>0</v>
      </c>
      <c r="F280" s="18">
        <v>0</v>
      </c>
      <c r="G280" s="18">
        <v>0</v>
      </c>
      <c r="H280" s="18">
        <v>0</v>
      </c>
      <c r="I280" s="18">
        <v>0</v>
      </c>
    </row>
    <row r="281" spans="1:9" x14ac:dyDescent="0.35">
      <c r="A281" s="14" t="s">
        <v>211</v>
      </c>
      <c r="B281" s="18">
        <v>0</v>
      </c>
      <c r="C281" s="18">
        <v>0</v>
      </c>
      <c r="D281" s="18">
        <v>0</v>
      </c>
      <c r="E281" s="18">
        <v>0</v>
      </c>
      <c r="F281" s="18">
        <v>0</v>
      </c>
      <c r="G281" s="18">
        <v>0</v>
      </c>
      <c r="H281" s="18">
        <v>0</v>
      </c>
      <c r="I281" s="18">
        <v>0</v>
      </c>
    </row>
    <row r="282" spans="1:9" x14ac:dyDescent="0.35">
      <c r="A282" s="14" t="s">
        <v>212</v>
      </c>
      <c r="B282" s="18">
        <v>0</v>
      </c>
      <c r="C282" s="18">
        <v>0</v>
      </c>
      <c r="D282" s="18">
        <v>0</v>
      </c>
      <c r="E282" s="18">
        <v>0</v>
      </c>
      <c r="F282" s="18">
        <v>0</v>
      </c>
      <c r="G282" s="18">
        <v>0</v>
      </c>
      <c r="H282" s="18">
        <v>0</v>
      </c>
      <c r="I282" s="18">
        <v>0</v>
      </c>
    </row>
    <row r="283" spans="1:9" x14ac:dyDescent="0.35">
      <c r="A283" s="14" t="s">
        <v>203</v>
      </c>
      <c r="B283" s="18">
        <v>0</v>
      </c>
      <c r="C283" s="18">
        <v>0</v>
      </c>
      <c r="D283" s="18">
        <v>0</v>
      </c>
      <c r="E283" s="18">
        <v>0</v>
      </c>
      <c r="F283" s="18">
        <v>0</v>
      </c>
      <c r="G283" s="18">
        <v>0</v>
      </c>
      <c r="H283" s="18">
        <v>0</v>
      </c>
      <c r="I283" s="18">
        <v>0</v>
      </c>
    </row>
    <row r="284" spans="1:9" x14ac:dyDescent="0.35">
      <c r="A284" s="14" t="s">
        <v>204</v>
      </c>
      <c r="B284" s="18">
        <v>0</v>
      </c>
      <c r="C284" s="18">
        <v>0</v>
      </c>
      <c r="D284" s="18">
        <v>0</v>
      </c>
      <c r="E284" s="18">
        <v>0</v>
      </c>
      <c r="F284" s="18">
        <v>0</v>
      </c>
      <c r="G284" s="18">
        <v>0</v>
      </c>
      <c r="H284" s="18">
        <v>0</v>
      </c>
      <c r="I284" s="18">
        <v>0</v>
      </c>
    </row>
    <row r="285" spans="1:9" x14ac:dyDescent="0.35">
      <c r="A285" s="14" t="s">
        <v>213</v>
      </c>
      <c r="B285" s="1">
        <v>31.43069003047577</v>
      </c>
      <c r="C285" s="1">
        <v>7.9646394225194683</v>
      </c>
      <c r="D285" s="1">
        <v>5.412298193691921</v>
      </c>
      <c r="E285" s="1">
        <v>13.004674318565071</v>
      </c>
      <c r="F285" s="1">
        <v>31.43069003047577</v>
      </c>
      <c r="G285" s="1">
        <v>29.676209192091331</v>
      </c>
      <c r="H285" s="1">
        <v>40.185142031383712</v>
      </c>
      <c r="I285" s="1">
        <v>54.023175133726298</v>
      </c>
    </row>
    <row r="287" spans="1:9" x14ac:dyDescent="0.35">
      <c r="C287" s="187"/>
      <c r="D287" s="187"/>
      <c r="E287" s="187"/>
      <c r="F287" s="187"/>
      <c r="G287" s="170"/>
      <c r="H287" s="170"/>
      <c r="I287" s="170"/>
    </row>
    <row r="288" spans="1:9" ht="29" x14ac:dyDescent="0.35">
      <c r="A288" s="12" t="s">
        <v>552</v>
      </c>
      <c r="B288" s="13" t="s">
        <v>208</v>
      </c>
      <c r="C288" s="13" t="s">
        <v>458</v>
      </c>
      <c r="D288" s="13" t="s">
        <v>466</v>
      </c>
      <c r="E288" s="13" t="s">
        <v>467</v>
      </c>
      <c r="F288" s="13" t="s">
        <v>468</v>
      </c>
      <c r="G288" s="13" t="s">
        <v>634</v>
      </c>
      <c r="H288" s="13" t="s">
        <v>641</v>
      </c>
      <c r="I288" s="13" t="s">
        <v>647</v>
      </c>
    </row>
    <row r="289" spans="1:9" x14ac:dyDescent="0.35">
      <c r="A289" s="14" t="s">
        <v>209</v>
      </c>
      <c r="B289" s="15">
        <v>12</v>
      </c>
      <c r="C289" s="15">
        <v>2</v>
      </c>
      <c r="D289" s="15">
        <v>6</v>
      </c>
      <c r="E289" s="15">
        <v>8</v>
      </c>
      <c r="F289" s="15">
        <v>12</v>
      </c>
      <c r="G289" s="15">
        <v>14</v>
      </c>
      <c r="H289" s="15">
        <v>17</v>
      </c>
      <c r="I289" s="15">
        <v>16</v>
      </c>
    </row>
    <row r="290" spans="1:9" x14ac:dyDescent="0.35">
      <c r="A290" s="16" t="s">
        <v>336</v>
      </c>
      <c r="B290" s="17">
        <v>0.49603793140637981</v>
      </c>
      <c r="C290" s="17">
        <v>0</v>
      </c>
      <c r="D290" s="155">
        <v>0.1611228730087807</v>
      </c>
      <c r="E290" s="17">
        <v>0.42016510749180991</v>
      </c>
      <c r="F290" s="17">
        <v>0.49603793140637981</v>
      </c>
      <c r="G290" s="17">
        <v>0.50547261700267521</v>
      </c>
      <c r="H290" s="17">
        <v>0.42366698073200593</v>
      </c>
      <c r="I290" s="17">
        <v>0.45114010606124999</v>
      </c>
    </row>
    <row r="291" spans="1:9" x14ac:dyDescent="0.35">
      <c r="A291" s="16" t="s">
        <v>194</v>
      </c>
      <c r="B291" s="17">
        <v>0.37832649296921139</v>
      </c>
      <c r="C291" s="153">
        <v>1</v>
      </c>
      <c r="D291" s="151">
        <v>0.8388771269912193</v>
      </c>
      <c r="E291" s="153">
        <v>0.5798348925081902</v>
      </c>
      <c r="F291" s="17">
        <v>0.37832649296921139</v>
      </c>
      <c r="G291" s="17">
        <v>0.3266980859002056</v>
      </c>
      <c r="H291" s="17">
        <v>0.38237818755243658</v>
      </c>
      <c r="I291" s="154">
        <v>0.28850204120942569</v>
      </c>
    </row>
    <row r="292" spans="1:9" x14ac:dyDescent="0.35">
      <c r="A292" s="16" t="s">
        <v>195</v>
      </c>
      <c r="B292" s="17">
        <v>0.1256355756244088</v>
      </c>
      <c r="C292" s="17">
        <v>0</v>
      </c>
      <c r="D292" s="17">
        <v>0</v>
      </c>
      <c r="E292" s="154">
        <v>0</v>
      </c>
      <c r="F292" s="17">
        <v>0.1256355756244088</v>
      </c>
      <c r="G292" s="17">
        <v>0.1678292970971193</v>
      </c>
      <c r="H292" s="17">
        <v>0.19395483171555761</v>
      </c>
      <c r="I292" s="17">
        <v>0.26035785272932438</v>
      </c>
    </row>
    <row r="293" spans="1:9" x14ac:dyDescent="0.35">
      <c r="A293" s="14" t="s">
        <v>210</v>
      </c>
      <c r="B293" s="18">
        <v>0.42492543560185642</v>
      </c>
      <c r="C293" s="18">
        <v>0</v>
      </c>
      <c r="D293" s="23">
        <v>0.1611228730087807</v>
      </c>
      <c r="E293" s="18">
        <v>0.42016510749180991</v>
      </c>
      <c r="F293" s="18">
        <v>0.42492543560185642</v>
      </c>
      <c r="G293" s="18">
        <v>0.44406450339003722</v>
      </c>
      <c r="H293" s="18">
        <v>0.37219714990123592</v>
      </c>
      <c r="I293" s="18">
        <v>0.39633266060059869</v>
      </c>
    </row>
    <row r="294" spans="1:9" x14ac:dyDescent="0.35">
      <c r="A294" s="14" t="s">
        <v>197</v>
      </c>
      <c r="B294" s="18">
        <v>7.1112495804523432E-2</v>
      </c>
      <c r="C294" s="18">
        <v>0</v>
      </c>
      <c r="D294" s="18">
        <v>0</v>
      </c>
      <c r="E294" s="18">
        <v>0</v>
      </c>
      <c r="F294" s="18">
        <v>7.1112495804523432E-2</v>
      </c>
      <c r="G294" s="18">
        <v>6.1408113612637948E-2</v>
      </c>
      <c r="H294" s="18">
        <v>5.1469830830770037E-2</v>
      </c>
      <c r="I294" s="18">
        <v>5.4807445460651243E-2</v>
      </c>
    </row>
    <row r="295" spans="1:9" x14ac:dyDescent="0.35">
      <c r="A295" s="14" t="s">
        <v>198</v>
      </c>
      <c r="B295" s="18">
        <v>0</v>
      </c>
      <c r="C295" s="18">
        <v>0</v>
      </c>
      <c r="D295" s="18">
        <v>0</v>
      </c>
      <c r="E295" s="18">
        <v>0</v>
      </c>
      <c r="F295" s="18">
        <v>0</v>
      </c>
      <c r="G295" s="18">
        <v>0</v>
      </c>
      <c r="H295" s="18">
        <v>0.1085528862235358</v>
      </c>
      <c r="I295" s="18">
        <v>0.1155921108591626</v>
      </c>
    </row>
    <row r="296" spans="1:9" x14ac:dyDescent="0.35">
      <c r="A296" s="14" t="s">
        <v>199</v>
      </c>
      <c r="B296" s="18">
        <v>0.37832649296921139</v>
      </c>
      <c r="C296" s="20">
        <v>1</v>
      </c>
      <c r="D296" s="22">
        <v>0.8388771269912193</v>
      </c>
      <c r="E296" s="20">
        <v>0.5798348925081902</v>
      </c>
      <c r="F296" s="18">
        <v>0.37832649296921139</v>
      </c>
      <c r="G296" s="18">
        <v>0.3266980859002056</v>
      </c>
      <c r="H296" s="18">
        <v>0.27382530132890082</v>
      </c>
      <c r="I296" s="21">
        <v>0.172909930350263</v>
      </c>
    </row>
    <row r="297" spans="1:9" x14ac:dyDescent="0.35">
      <c r="A297" s="14" t="s">
        <v>200</v>
      </c>
      <c r="B297" s="18">
        <v>0.1256355756244088</v>
      </c>
      <c r="C297" s="18">
        <v>0</v>
      </c>
      <c r="D297" s="18">
        <v>0</v>
      </c>
      <c r="E297" s="23">
        <v>0</v>
      </c>
      <c r="F297" s="18">
        <v>0.1256355756244088</v>
      </c>
      <c r="G297" s="18">
        <v>0.1084906894976693</v>
      </c>
      <c r="H297" s="18">
        <v>0.14421957825796591</v>
      </c>
      <c r="I297" s="18">
        <v>0.2073974651129146</v>
      </c>
    </row>
    <row r="298" spans="1:9" x14ac:dyDescent="0.35">
      <c r="A298" s="14" t="s">
        <v>201</v>
      </c>
      <c r="B298" s="18">
        <v>0</v>
      </c>
      <c r="C298" s="18">
        <v>0</v>
      </c>
      <c r="D298" s="18">
        <v>0</v>
      </c>
      <c r="E298" s="18">
        <v>0</v>
      </c>
      <c r="F298" s="18">
        <v>0</v>
      </c>
      <c r="G298" s="18">
        <v>5.9338607599449943E-2</v>
      </c>
      <c r="H298" s="18">
        <v>4.973525345759168E-2</v>
      </c>
      <c r="I298" s="18">
        <v>5.2960387616409817E-2</v>
      </c>
    </row>
    <row r="299" spans="1:9" x14ac:dyDescent="0.35">
      <c r="A299" s="14" t="s">
        <v>202</v>
      </c>
      <c r="B299" s="18">
        <v>0</v>
      </c>
      <c r="C299" s="18">
        <v>0</v>
      </c>
      <c r="D299" s="18">
        <v>0</v>
      </c>
      <c r="E299" s="18">
        <v>0</v>
      </c>
      <c r="F299" s="18">
        <v>0</v>
      </c>
      <c r="G299" s="18">
        <v>0</v>
      </c>
      <c r="H299" s="18">
        <v>0</v>
      </c>
      <c r="I299" s="18">
        <v>0</v>
      </c>
    </row>
    <row r="300" spans="1:9" x14ac:dyDescent="0.35">
      <c r="A300" s="14" t="s">
        <v>211</v>
      </c>
      <c r="B300" s="18">
        <v>0</v>
      </c>
      <c r="C300" s="18">
        <v>0</v>
      </c>
      <c r="D300" s="18">
        <v>0</v>
      </c>
      <c r="E300" s="18">
        <v>0</v>
      </c>
      <c r="F300" s="18">
        <v>0</v>
      </c>
      <c r="G300" s="18">
        <v>0</v>
      </c>
      <c r="H300" s="18">
        <v>0</v>
      </c>
      <c r="I300" s="18">
        <v>0</v>
      </c>
    </row>
    <row r="301" spans="1:9" x14ac:dyDescent="0.35">
      <c r="A301" s="14" t="s">
        <v>212</v>
      </c>
      <c r="B301" s="18">
        <v>0</v>
      </c>
      <c r="C301" s="18">
        <v>0</v>
      </c>
      <c r="D301" s="18">
        <v>0</v>
      </c>
      <c r="E301" s="18">
        <v>0</v>
      </c>
      <c r="F301" s="18">
        <v>0</v>
      </c>
      <c r="G301" s="18">
        <v>0</v>
      </c>
      <c r="H301" s="18">
        <v>0</v>
      </c>
      <c r="I301" s="18">
        <v>0</v>
      </c>
    </row>
    <row r="302" spans="1:9" x14ac:dyDescent="0.35">
      <c r="A302" s="14" t="s">
        <v>203</v>
      </c>
      <c r="B302" s="18">
        <v>0</v>
      </c>
      <c r="C302" s="18">
        <v>0</v>
      </c>
      <c r="D302" s="18">
        <v>0</v>
      </c>
      <c r="E302" s="18">
        <v>0</v>
      </c>
      <c r="F302" s="18">
        <v>0</v>
      </c>
      <c r="G302" s="18">
        <v>0</v>
      </c>
      <c r="H302" s="18">
        <v>0</v>
      </c>
      <c r="I302" s="18">
        <v>0</v>
      </c>
    </row>
    <row r="303" spans="1:9" x14ac:dyDescent="0.35">
      <c r="A303" s="14" t="s">
        <v>204</v>
      </c>
      <c r="B303" s="18">
        <v>0</v>
      </c>
      <c r="C303" s="18">
        <v>0</v>
      </c>
      <c r="D303" s="18">
        <v>0</v>
      </c>
      <c r="E303" s="18">
        <v>0</v>
      </c>
      <c r="F303" s="18">
        <v>0</v>
      </c>
      <c r="G303" s="18">
        <v>0</v>
      </c>
      <c r="H303" s="18">
        <v>0</v>
      </c>
      <c r="I303" s="18">
        <v>0</v>
      </c>
    </row>
    <row r="304" spans="1:9" x14ac:dyDescent="0.35">
      <c r="A304" s="14" t="s">
        <v>213</v>
      </c>
      <c r="B304" s="1">
        <v>37.040235578197112</v>
      </c>
      <c r="C304" s="1">
        <v>0</v>
      </c>
      <c r="D304" s="1">
        <v>16.112287300878069</v>
      </c>
      <c r="E304" s="1">
        <v>42.016510749180988</v>
      </c>
      <c r="F304" s="1">
        <v>37.040235578197112</v>
      </c>
      <c r="G304" s="1">
        <v>33.76433199055559</v>
      </c>
      <c r="H304" s="1">
        <v>22.971214901644821</v>
      </c>
      <c r="I304" s="1">
        <v>19.07822533319256</v>
      </c>
    </row>
    <row r="306" spans="1:9" x14ac:dyDescent="0.35">
      <c r="C306" s="187"/>
      <c r="D306" s="187"/>
      <c r="E306" s="187"/>
      <c r="F306" s="187"/>
      <c r="G306" s="170"/>
      <c r="H306" s="170"/>
      <c r="I306" s="170"/>
    </row>
    <row r="307" spans="1:9" ht="29" x14ac:dyDescent="0.35">
      <c r="A307" s="12" t="s">
        <v>492</v>
      </c>
      <c r="B307" s="13" t="s">
        <v>208</v>
      </c>
      <c r="C307" s="13" t="s">
        <v>458</v>
      </c>
      <c r="D307" s="13" t="s">
        <v>466</v>
      </c>
      <c r="E307" s="13" t="s">
        <v>467</v>
      </c>
      <c r="F307" s="13" t="s">
        <v>468</v>
      </c>
      <c r="G307" s="13" t="s">
        <v>634</v>
      </c>
      <c r="H307" s="13" t="s">
        <v>641</v>
      </c>
      <c r="I307" s="13" t="s">
        <v>647</v>
      </c>
    </row>
    <row r="308" spans="1:9" x14ac:dyDescent="0.35">
      <c r="A308" s="14" t="s">
        <v>209</v>
      </c>
      <c r="B308" s="15">
        <v>102</v>
      </c>
      <c r="C308" s="15">
        <v>26</v>
      </c>
      <c r="D308" s="15">
        <v>58</v>
      </c>
      <c r="E308" s="15">
        <v>78</v>
      </c>
      <c r="F308" s="15">
        <v>102</v>
      </c>
      <c r="G308" s="15">
        <v>128</v>
      </c>
      <c r="H308" s="15">
        <v>152</v>
      </c>
      <c r="I308" s="15">
        <v>146</v>
      </c>
    </row>
    <row r="309" spans="1:9" x14ac:dyDescent="0.35">
      <c r="A309" s="16" t="s">
        <v>336</v>
      </c>
      <c r="B309" s="17">
        <v>0.59482177274368975</v>
      </c>
      <c r="C309" s="17">
        <v>0.69582935232034915</v>
      </c>
      <c r="D309" s="17">
        <v>0.53938072067676712</v>
      </c>
      <c r="E309" s="154">
        <v>0.54406511031337879</v>
      </c>
      <c r="F309" s="17">
        <v>0.59482177274368975</v>
      </c>
      <c r="G309" s="17">
        <v>0.56906984661986415</v>
      </c>
      <c r="H309" s="17">
        <v>0.59410240638807843</v>
      </c>
      <c r="I309" s="17">
        <v>0.57511201839572601</v>
      </c>
    </row>
    <row r="310" spans="1:9" x14ac:dyDescent="0.35">
      <c r="A310" s="16" t="s">
        <v>194</v>
      </c>
      <c r="B310" s="17">
        <v>0.37471632618840789</v>
      </c>
      <c r="C310" s="17">
        <v>0.26816765288205618</v>
      </c>
      <c r="D310" s="17">
        <v>0.44517257338990279</v>
      </c>
      <c r="E310" s="17">
        <v>0.41596742824527438</v>
      </c>
      <c r="F310" s="17">
        <v>0.37471632618840789</v>
      </c>
      <c r="G310" s="17">
        <v>0.39132901207993492</v>
      </c>
      <c r="H310" s="17">
        <v>0.36644627676681329</v>
      </c>
      <c r="I310" s="17">
        <v>0.38227258119433838</v>
      </c>
    </row>
    <row r="311" spans="1:9" x14ac:dyDescent="0.35">
      <c r="A311" s="16" t="s">
        <v>195</v>
      </c>
      <c r="B311" s="17">
        <v>3.046190106790244E-2</v>
      </c>
      <c r="C311" s="17">
        <v>3.6002994797594487E-2</v>
      </c>
      <c r="D311" s="17">
        <v>1.5446705933330021E-2</v>
      </c>
      <c r="E311" s="17">
        <v>3.9967461441346899E-2</v>
      </c>
      <c r="F311" s="17">
        <v>3.046190106790244E-2</v>
      </c>
      <c r="G311" s="17">
        <v>3.9601141300200982E-2</v>
      </c>
      <c r="H311" s="17">
        <v>3.9451316845108372E-2</v>
      </c>
      <c r="I311" s="17">
        <v>4.2615400409935583E-2</v>
      </c>
    </row>
    <row r="312" spans="1:9" x14ac:dyDescent="0.35">
      <c r="A312" s="14" t="s">
        <v>210</v>
      </c>
      <c r="B312" s="18">
        <v>0.34223626931266488</v>
      </c>
      <c r="C312" s="18">
        <v>0.41374313404168012</v>
      </c>
      <c r="D312" s="18">
        <v>0.30258704938047287</v>
      </c>
      <c r="E312" s="18">
        <v>0.33255691832924661</v>
      </c>
      <c r="F312" s="18">
        <v>0.34223626931266482</v>
      </c>
      <c r="G312" s="18">
        <v>0.33678085939958352</v>
      </c>
      <c r="H312" s="18">
        <v>0.37041259031036822</v>
      </c>
      <c r="I312" s="18">
        <v>0.34703697006497819</v>
      </c>
    </row>
    <row r="313" spans="1:9" x14ac:dyDescent="0.35">
      <c r="A313" s="14" t="s">
        <v>197</v>
      </c>
      <c r="B313" s="18">
        <v>0.25258550343102493</v>
      </c>
      <c r="C313" s="18">
        <v>0.28208621827866898</v>
      </c>
      <c r="D313" s="18">
        <v>0.23679367129629419</v>
      </c>
      <c r="E313" s="18">
        <v>0.21150819198413229</v>
      </c>
      <c r="F313" s="25">
        <v>0.25258550343102493</v>
      </c>
      <c r="G313" s="18">
        <v>0.2322889872202806</v>
      </c>
      <c r="H313" s="18">
        <v>0.22368981607771021</v>
      </c>
      <c r="I313" s="18">
        <v>0.2280750483307479</v>
      </c>
    </row>
    <row r="314" spans="1:9" x14ac:dyDescent="0.35">
      <c r="A314" s="14" t="s">
        <v>198</v>
      </c>
      <c r="B314" s="18">
        <v>0.28080619921894362</v>
      </c>
      <c r="C314" s="18">
        <v>0.26816765288205618</v>
      </c>
      <c r="D314" s="18">
        <v>0.31741158346103182</v>
      </c>
      <c r="E314" s="18">
        <v>0.29429690586575619</v>
      </c>
      <c r="F314" s="18">
        <v>0.28080619921894362</v>
      </c>
      <c r="G314" s="18">
        <v>0.2766093641909359</v>
      </c>
      <c r="H314" s="18">
        <v>0.26384125544625048</v>
      </c>
      <c r="I314" s="18">
        <v>0.25326629084989583</v>
      </c>
    </row>
    <row r="315" spans="1:9" x14ac:dyDescent="0.35">
      <c r="A315" s="14" t="s">
        <v>199</v>
      </c>
      <c r="B315" s="18">
        <v>9.3910126969464311E-2</v>
      </c>
      <c r="C315" s="23">
        <v>0</v>
      </c>
      <c r="D315" s="18">
        <v>0.127760989928871</v>
      </c>
      <c r="E315" s="20">
        <v>0.1216705223795182</v>
      </c>
      <c r="F315" s="18">
        <v>9.3910126969464311E-2</v>
      </c>
      <c r="G315" s="18">
        <v>0.11471964788899899</v>
      </c>
      <c r="H315" s="18">
        <v>0.10260502132056271</v>
      </c>
      <c r="I315" s="20">
        <v>0.12900629034444269</v>
      </c>
    </row>
    <row r="316" spans="1:9" x14ac:dyDescent="0.35">
      <c r="A316" s="14" t="s">
        <v>200</v>
      </c>
      <c r="B316" s="18">
        <v>3.046190106790244E-2</v>
      </c>
      <c r="C316" s="18">
        <v>3.6002994797594487E-2</v>
      </c>
      <c r="D316" s="18">
        <v>1.5446705933330021E-2</v>
      </c>
      <c r="E316" s="18">
        <v>3.9967461441346899E-2</v>
      </c>
      <c r="F316" s="18">
        <v>3.046190106790244E-2</v>
      </c>
      <c r="G316" s="18">
        <v>2.3952004212289772E-2</v>
      </c>
      <c r="H316" s="18">
        <v>2.0035472967416559E-2</v>
      </c>
      <c r="I316" s="18">
        <v>1.4724520929682801E-2</v>
      </c>
    </row>
    <row r="317" spans="1:9" x14ac:dyDescent="0.35">
      <c r="A317" s="14" t="s">
        <v>201</v>
      </c>
      <c r="B317" s="18">
        <v>0</v>
      </c>
      <c r="C317" s="18">
        <v>0</v>
      </c>
      <c r="D317" s="18">
        <v>0</v>
      </c>
      <c r="E317" s="18">
        <v>0</v>
      </c>
      <c r="F317" s="18">
        <v>0</v>
      </c>
      <c r="G317" s="18">
        <v>1.564913708791121E-2</v>
      </c>
      <c r="H317" s="18">
        <v>1.941584387769181E-2</v>
      </c>
      <c r="I317" s="18">
        <v>2.7890879480252789E-2</v>
      </c>
    </row>
    <row r="318" spans="1:9" x14ac:dyDescent="0.35">
      <c r="A318" s="14" t="s">
        <v>202</v>
      </c>
      <c r="B318" s="18">
        <v>0</v>
      </c>
      <c r="C318" s="18">
        <v>0</v>
      </c>
      <c r="D318" s="18">
        <v>0</v>
      </c>
      <c r="E318" s="18">
        <v>0</v>
      </c>
      <c r="F318" s="18">
        <v>0</v>
      </c>
      <c r="G318" s="18">
        <v>0</v>
      </c>
      <c r="H318" s="18">
        <v>0</v>
      </c>
      <c r="I318" s="18">
        <v>0</v>
      </c>
    </row>
    <row r="319" spans="1:9" x14ac:dyDescent="0.35">
      <c r="A319" s="14" t="s">
        <v>211</v>
      </c>
      <c r="B319" s="18">
        <v>0</v>
      </c>
      <c r="C319" s="18">
        <v>0</v>
      </c>
      <c r="D319" s="18">
        <v>0</v>
      </c>
      <c r="E319" s="18">
        <v>0</v>
      </c>
      <c r="F319" s="18">
        <v>0</v>
      </c>
      <c r="G319" s="18">
        <v>0</v>
      </c>
      <c r="H319" s="18">
        <v>0</v>
      </c>
      <c r="I319" s="18">
        <v>0</v>
      </c>
    </row>
    <row r="320" spans="1:9" x14ac:dyDescent="0.35">
      <c r="A320" s="14" t="s">
        <v>212</v>
      </c>
      <c r="B320" s="18">
        <v>0</v>
      </c>
      <c r="C320" s="18">
        <v>0</v>
      </c>
      <c r="D320" s="18">
        <v>0</v>
      </c>
      <c r="E320" s="18">
        <v>0</v>
      </c>
      <c r="F320" s="18">
        <v>0</v>
      </c>
      <c r="G320" s="18">
        <v>0</v>
      </c>
      <c r="H320" s="18">
        <v>0</v>
      </c>
      <c r="I320" s="18">
        <v>0</v>
      </c>
    </row>
    <row r="321" spans="1:9" x14ac:dyDescent="0.35">
      <c r="A321" s="14" t="s">
        <v>203</v>
      </c>
      <c r="B321" s="18">
        <v>0</v>
      </c>
      <c r="C321" s="18">
        <v>0</v>
      </c>
      <c r="D321" s="18">
        <v>0</v>
      </c>
      <c r="E321" s="18">
        <v>0</v>
      </c>
      <c r="F321" s="18">
        <v>0</v>
      </c>
      <c r="G321" s="18">
        <v>0</v>
      </c>
      <c r="H321" s="18">
        <v>0</v>
      </c>
      <c r="I321" s="18">
        <v>0</v>
      </c>
    </row>
    <row r="322" spans="1:9" x14ac:dyDescent="0.35">
      <c r="A322" s="14" t="s">
        <v>204</v>
      </c>
      <c r="B322" s="18">
        <v>0</v>
      </c>
      <c r="C322" s="18">
        <v>0</v>
      </c>
      <c r="D322" s="18">
        <v>0</v>
      </c>
      <c r="E322" s="18">
        <v>0</v>
      </c>
      <c r="F322" s="18">
        <v>0</v>
      </c>
      <c r="G322" s="18">
        <v>0</v>
      </c>
      <c r="H322" s="18">
        <v>0</v>
      </c>
      <c r="I322" s="18">
        <v>0</v>
      </c>
    </row>
    <row r="323" spans="1:9" x14ac:dyDescent="0.35">
      <c r="A323" s="14" t="s">
        <v>213</v>
      </c>
      <c r="B323" s="1">
        <v>56.435987167578723</v>
      </c>
      <c r="C323" s="1">
        <v>65.982635752275485</v>
      </c>
      <c r="D323" s="1">
        <v>52.393401474343719</v>
      </c>
      <c r="E323" s="1">
        <v>50.409764887203181</v>
      </c>
      <c r="F323" s="1">
        <v>56.435987167578723</v>
      </c>
      <c r="G323" s="1">
        <v>52.946870531966319</v>
      </c>
      <c r="H323" s="1">
        <v>55.465108954296987</v>
      </c>
      <c r="I323" s="1">
        <v>53.249661798579027</v>
      </c>
    </row>
    <row r="325" spans="1:9" x14ac:dyDescent="0.35">
      <c r="C325" s="187"/>
      <c r="D325" s="187"/>
      <c r="E325" s="187"/>
      <c r="F325" s="187"/>
      <c r="G325" s="170"/>
      <c r="H325" s="170"/>
      <c r="I325" s="170"/>
    </row>
    <row r="326" spans="1:9" ht="29" x14ac:dyDescent="0.35">
      <c r="A326" s="12" t="s">
        <v>553</v>
      </c>
      <c r="B326" s="13" t="s">
        <v>208</v>
      </c>
      <c r="C326" s="13" t="s">
        <v>458</v>
      </c>
      <c r="D326" s="13" t="s">
        <v>466</v>
      </c>
      <c r="E326" s="13" t="s">
        <v>467</v>
      </c>
      <c r="F326" s="13" t="s">
        <v>468</v>
      </c>
      <c r="G326" s="13" t="s">
        <v>634</v>
      </c>
      <c r="H326" s="13" t="s">
        <v>641</v>
      </c>
      <c r="I326" s="13" t="s">
        <v>647</v>
      </c>
    </row>
    <row r="327" spans="1:9" x14ac:dyDescent="0.35">
      <c r="A327" s="14" t="s">
        <v>209</v>
      </c>
      <c r="B327" s="15">
        <v>24</v>
      </c>
      <c r="C327" s="15">
        <v>4</v>
      </c>
      <c r="D327" s="15">
        <v>13</v>
      </c>
      <c r="E327" s="15">
        <v>17</v>
      </c>
      <c r="F327" s="15">
        <v>24</v>
      </c>
      <c r="G327" s="15">
        <v>28</v>
      </c>
      <c r="H327" s="15">
        <v>32</v>
      </c>
      <c r="I327" s="15">
        <v>33</v>
      </c>
    </row>
    <row r="328" spans="1:9" x14ac:dyDescent="0.35">
      <c r="A328" s="16" t="s">
        <v>336</v>
      </c>
      <c r="B328" s="17">
        <v>0.38846765823120633</v>
      </c>
      <c r="C328" s="17">
        <v>0.2287944974503725</v>
      </c>
      <c r="D328" s="17">
        <v>0.29079122743127278</v>
      </c>
      <c r="E328" s="17">
        <v>0.42276567417240712</v>
      </c>
      <c r="F328" s="17">
        <v>0.38846765823120621</v>
      </c>
      <c r="G328" s="17">
        <v>0.40932656449693561</v>
      </c>
      <c r="H328" s="17">
        <v>0.4190301934528452</v>
      </c>
      <c r="I328" s="17">
        <v>0.46895523215382823</v>
      </c>
    </row>
    <row r="329" spans="1:9" x14ac:dyDescent="0.35">
      <c r="A329" s="16" t="s">
        <v>194</v>
      </c>
      <c r="B329" s="17">
        <v>0.53351852374112407</v>
      </c>
      <c r="C329" s="17">
        <v>0.7712055025496275</v>
      </c>
      <c r="D329" s="17">
        <v>0.56376091488728242</v>
      </c>
      <c r="E329" s="17">
        <v>0.46993399154168869</v>
      </c>
      <c r="F329" s="17">
        <v>0.53351852374112396</v>
      </c>
      <c r="G329" s="17">
        <v>0.52497857504378553</v>
      </c>
      <c r="H329" s="17">
        <v>0.5232060553813388</v>
      </c>
      <c r="I329" s="17">
        <v>0.44133383908138962</v>
      </c>
    </row>
    <row r="330" spans="1:9" x14ac:dyDescent="0.35">
      <c r="A330" s="16" t="s">
        <v>195</v>
      </c>
      <c r="B330" s="17">
        <v>7.8013818027669685E-2</v>
      </c>
      <c r="C330" s="17">
        <v>0</v>
      </c>
      <c r="D330" s="17">
        <v>0.14544785768144469</v>
      </c>
      <c r="E330" s="17">
        <v>0.1073003342859042</v>
      </c>
      <c r="F330" s="17">
        <v>7.8013818027669657E-2</v>
      </c>
      <c r="G330" s="17">
        <v>6.5694860459278692E-2</v>
      </c>
      <c r="H330" s="17">
        <v>5.7763751165815863E-2</v>
      </c>
      <c r="I330" s="17">
        <v>8.9710928764782219E-2</v>
      </c>
    </row>
    <row r="331" spans="1:9" x14ac:dyDescent="0.35">
      <c r="A331" s="14" t="s">
        <v>210</v>
      </c>
      <c r="B331" s="18">
        <v>0.27304043224862112</v>
      </c>
      <c r="C331" s="18">
        <v>0</v>
      </c>
      <c r="D331" s="18">
        <v>0.14804598011169839</v>
      </c>
      <c r="E331" s="18">
        <v>0.26400687673432771</v>
      </c>
      <c r="F331" s="18">
        <v>0.27304043224862101</v>
      </c>
      <c r="G331" s="18">
        <v>0.27174392433229272</v>
      </c>
      <c r="H331" s="18">
        <v>0.26774758948761801</v>
      </c>
      <c r="I331" s="18">
        <v>0.32359621743725342</v>
      </c>
    </row>
    <row r="332" spans="1:9" x14ac:dyDescent="0.35">
      <c r="A332" s="14" t="s">
        <v>197</v>
      </c>
      <c r="B332" s="18">
        <v>0.1154272259825852</v>
      </c>
      <c r="C332" s="18">
        <v>0.2287944974503725</v>
      </c>
      <c r="D332" s="18">
        <v>0.14274524731957439</v>
      </c>
      <c r="E332" s="18">
        <v>0.1587587974380795</v>
      </c>
      <c r="F332" s="18">
        <v>0.1154272259825852</v>
      </c>
      <c r="G332" s="18">
        <v>0.13758264016464289</v>
      </c>
      <c r="H332" s="18">
        <v>0.15128260396522719</v>
      </c>
      <c r="I332" s="18">
        <v>0.14535901471657481</v>
      </c>
    </row>
    <row r="333" spans="1:9" x14ac:dyDescent="0.35">
      <c r="A333" s="14" t="s">
        <v>198</v>
      </c>
      <c r="B333" s="18">
        <v>0.38392270627393699</v>
      </c>
      <c r="C333" s="18">
        <v>0.7712055025496275</v>
      </c>
      <c r="D333" s="18">
        <v>0.47471394558398161</v>
      </c>
      <c r="E333" s="18">
        <v>0.40424193030612632</v>
      </c>
      <c r="F333" s="18">
        <v>0.38392270627393688</v>
      </c>
      <c r="G333" s="18">
        <v>0.39900504109480051</v>
      </c>
      <c r="H333" s="18">
        <v>0.412440862828443</v>
      </c>
      <c r="I333" s="18">
        <v>0.33573849728156852</v>
      </c>
    </row>
    <row r="334" spans="1:9" x14ac:dyDescent="0.35">
      <c r="A334" s="14" t="s">
        <v>199</v>
      </c>
      <c r="B334" s="18">
        <v>0.14959581746718709</v>
      </c>
      <c r="C334" s="18">
        <v>0</v>
      </c>
      <c r="D334" s="18">
        <v>8.9046969303300874E-2</v>
      </c>
      <c r="E334" s="23">
        <v>6.5692061235562427E-2</v>
      </c>
      <c r="F334" s="18">
        <v>0.149595817467187</v>
      </c>
      <c r="G334" s="18">
        <v>0.12597353394898489</v>
      </c>
      <c r="H334" s="18">
        <v>0.1107651925528958</v>
      </c>
      <c r="I334" s="18">
        <v>0.105595341799821</v>
      </c>
    </row>
    <row r="335" spans="1:9" x14ac:dyDescent="0.35">
      <c r="A335" s="14" t="s">
        <v>200</v>
      </c>
      <c r="B335" s="18">
        <v>3.9344201382196013E-2</v>
      </c>
      <c r="C335" s="18">
        <v>0</v>
      </c>
      <c r="D335" s="18">
        <v>7.3352771956348803E-2</v>
      </c>
      <c r="E335" s="18">
        <v>5.4114079624000049E-2</v>
      </c>
      <c r="F335" s="25">
        <v>3.9344201382195999E-2</v>
      </c>
      <c r="G335" s="18">
        <v>3.3131461643992222E-2</v>
      </c>
      <c r="H335" s="18">
        <v>2.9131616884240381E-2</v>
      </c>
      <c r="I335" s="18">
        <v>2.7771928808806811E-2</v>
      </c>
    </row>
    <row r="336" spans="1:9" x14ac:dyDescent="0.35">
      <c r="A336" s="14" t="s">
        <v>201</v>
      </c>
      <c r="B336" s="18">
        <v>0</v>
      </c>
      <c r="C336" s="18">
        <v>0</v>
      </c>
      <c r="D336" s="18">
        <v>0</v>
      </c>
      <c r="E336" s="18">
        <v>0</v>
      </c>
      <c r="F336" s="18">
        <v>0</v>
      </c>
      <c r="G336" s="18">
        <v>0</v>
      </c>
      <c r="H336" s="18">
        <v>0</v>
      </c>
      <c r="I336" s="18">
        <v>0</v>
      </c>
    </row>
    <row r="337" spans="1:9" x14ac:dyDescent="0.35">
      <c r="A337" s="14" t="s">
        <v>202</v>
      </c>
      <c r="B337" s="18">
        <v>0</v>
      </c>
      <c r="C337" s="18">
        <v>0</v>
      </c>
      <c r="D337" s="18">
        <v>0</v>
      </c>
      <c r="E337" s="18">
        <v>0</v>
      </c>
      <c r="F337" s="18">
        <v>0</v>
      </c>
      <c r="G337" s="18">
        <v>0</v>
      </c>
      <c r="H337" s="18">
        <v>0</v>
      </c>
      <c r="I337" s="18">
        <v>0</v>
      </c>
    </row>
    <row r="338" spans="1:9" x14ac:dyDescent="0.35">
      <c r="A338" s="14" t="s">
        <v>211</v>
      </c>
      <c r="B338" s="18">
        <v>0</v>
      </c>
      <c r="C338" s="18">
        <v>0</v>
      </c>
      <c r="D338" s="18">
        <v>0</v>
      </c>
      <c r="E338" s="18">
        <v>0</v>
      </c>
      <c r="F338" s="18">
        <v>0</v>
      </c>
      <c r="G338" s="18">
        <v>0</v>
      </c>
      <c r="H338" s="18">
        <v>0</v>
      </c>
      <c r="I338" s="18">
        <v>3.4643240916171388E-2</v>
      </c>
    </row>
    <row r="339" spans="1:9" x14ac:dyDescent="0.35">
      <c r="A339" s="14" t="s">
        <v>212</v>
      </c>
      <c r="B339" s="18">
        <v>0</v>
      </c>
      <c r="C339" s="18">
        <v>0</v>
      </c>
      <c r="D339" s="18">
        <v>0</v>
      </c>
      <c r="E339" s="18">
        <v>0</v>
      </c>
      <c r="F339" s="18">
        <v>0</v>
      </c>
      <c r="G339" s="18">
        <v>0</v>
      </c>
      <c r="H339" s="18">
        <v>0</v>
      </c>
      <c r="I339" s="18">
        <v>0</v>
      </c>
    </row>
    <row r="340" spans="1:9" x14ac:dyDescent="0.35">
      <c r="A340" s="14" t="s">
        <v>203</v>
      </c>
      <c r="B340" s="18">
        <v>3.8669616645473658E-2</v>
      </c>
      <c r="C340" s="18">
        <v>0</v>
      </c>
      <c r="D340" s="18">
        <v>7.2095085725095931E-2</v>
      </c>
      <c r="E340" s="18">
        <v>5.318625466190418E-2</v>
      </c>
      <c r="F340" s="18">
        <v>3.8669616645473651E-2</v>
      </c>
      <c r="G340" s="18">
        <v>3.2563398815286471E-2</v>
      </c>
      <c r="H340" s="18">
        <v>2.8632134281575471E-2</v>
      </c>
      <c r="I340" s="18">
        <v>2.7295759039803989E-2</v>
      </c>
    </row>
    <row r="341" spans="1:9" x14ac:dyDescent="0.35">
      <c r="A341" s="14" t="s">
        <v>204</v>
      </c>
      <c r="B341" s="18">
        <v>0</v>
      </c>
      <c r="C341" s="18">
        <v>0</v>
      </c>
      <c r="D341" s="18">
        <v>0</v>
      </c>
      <c r="E341" s="18">
        <v>0</v>
      </c>
      <c r="F341" s="18">
        <v>0</v>
      </c>
      <c r="G341" s="18">
        <v>0</v>
      </c>
      <c r="H341" s="18">
        <v>0</v>
      </c>
      <c r="I341" s="18">
        <v>0</v>
      </c>
    </row>
    <row r="342" spans="1:9" x14ac:dyDescent="0.35">
      <c r="A342" s="14" t="s">
        <v>213</v>
      </c>
      <c r="B342" s="1">
        <v>31.045384020353669</v>
      </c>
      <c r="C342" s="1">
        <v>22.879449745037249</v>
      </c>
      <c r="D342" s="1">
        <v>14.534336974982811</v>
      </c>
      <c r="E342" s="1">
        <v>31.546533988650289</v>
      </c>
      <c r="F342" s="1">
        <v>31.045384020353659</v>
      </c>
      <c r="G342" s="1">
        <v>34.3631704037657</v>
      </c>
      <c r="H342" s="1">
        <v>36.126644228702943</v>
      </c>
      <c r="I342" s="1">
        <v>37.924430338904607</v>
      </c>
    </row>
    <row r="344" spans="1:9" x14ac:dyDescent="0.35">
      <c r="C344" s="187"/>
      <c r="D344" s="187"/>
      <c r="E344" s="187"/>
      <c r="F344" s="187"/>
      <c r="G344" s="170"/>
      <c r="H344" s="170"/>
      <c r="I344" s="170"/>
    </row>
    <row r="345" spans="1:9" ht="29" x14ac:dyDescent="0.35">
      <c r="A345" s="12" t="s">
        <v>554</v>
      </c>
      <c r="B345" s="13" t="s">
        <v>208</v>
      </c>
      <c r="C345" s="13" t="s">
        <v>458</v>
      </c>
      <c r="D345" s="13" t="s">
        <v>466</v>
      </c>
      <c r="E345" s="13" t="s">
        <v>467</v>
      </c>
      <c r="F345" s="13" t="s">
        <v>468</v>
      </c>
      <c r="G345" s="13" t="s">
        <v>634</v>
      </c>
      <c r="H345" s="13" t="s">
        <v>641</v>
      </c>
      <c r="I345" s="13" t="s">
        <v>647</v>
      </c>
    </row>
    <row r="346" spans="1:9" x14ac:dyDescent="0.35">
      <c r="A346" s="14" t="s">
        <v>209</v>
      </c>
      <c r="B346" s="15">
        <v>22</v>
      </c>
      <c r="C346" s="15">
        <v>12</v>
      </c>
      <c r="D346" s="15">
        <v>17</v>
      </c>
      <c r="E346" s="15">
        <v>20</v>
      </c>
      <c r="F346" s="15">
        <v>22</v>
      </c>
      <c r="G346" s="15">
        <v>29</v>
      </c>
      <c r="H346" s="15">
        <v>31</v>
      </c>
      <c r="I346" s="15">
        <v>25</v>
      </c>
    </row>
    <row r="347" spans="1:9" x14ac:dyDescent="0.35">
      <c r="A347" s="16" t="s">
        <v>336</v>
      </c>
      <c r="B347" s="17">
        <v>0.64731915660295247</v>
      </c>
      <c r="C347" s="17">
        <v>0.61309324689371336</v>
      </c>
      <c r="D347" s="154">
        <v>0.53184059961902785</v>
      </c>
      <c r="E347" s="17">
        <v>0.61141257306763541</v>
      </c>
      <c r="F347" s="17">
        <v>0.64731915660295236</v>
      </c>
      <c r="G347" s="17">
        <v>0.5639281224221393</v>
      </c>
      <c r="H347" s="17">
        <v>0.52676576121473384</v>
      </c>
      <c r="I347" s="17">
        <v>0.51817184780519088</v>
      </c>
    </row>
    <row r="348" spans="1:9" x14ac:dyDescent="0.35">
      <c r="A348" s="16" t="s">
        <v>194</v>
      </c>
      <c r="B348" s="17">
        <v>0.25949863843570892</v>
      </c>
      <c r="C348" s="17">
        <v>0.31300401593125221</v>
      </c>
      <c r="D348" s="17">
        <v>0.34446647512683481</v>
      </c>
      <c r="E348" s="17">
        <v>0.28591830287947051</v>
      </c>
      <c r="F348" s="17">
        <v>0.25949863843570892</v>
      </c>
      <c r="G348" s="17">
        <v>0.29549659908246451</v>
      </c>
      <c r="H348" s="17">
        <v>0.31095394081672878</v>
      </c>
      <c r="I348" s="17">
        <v>0.32776014644787249</v>
      </c>
    </row>
    <row r="349" spans="1:9" x14ac:dyDescent="0.35">
      <c r="A349" s="16" t="s">
        <v>195</v>
      </c>
      <c r="B349" s="17">
        <v>9.3182204961338735E-2</v>
      </c>
      <c r="C349" s="17">
        <v>7.3902737175034552E-2</v>
      </c>
      <c r="D349" s="17">
        <v>0.1236929252541376</v>
      </c>
      <c r="E349" s="17">
        <v>0.1026691240528942</v>
      </c>
      <c r="F349" s="17">
        <v>9.3182204961338735E-2</v>
      </c>
      <c r="G349" s="17">
        <v>0.14057527849539611</v>
      </c>
      <c r="H349" s="17">
        <v>0.16228029796853741</v>
      </c>
      <c r="I349" s="17">
        <v>0.15406800574693669</v>
      </c>
    </row>
    <row r="350" spans="1:9" x14ac:dyDescent="0.35">
      <c r="A350" s="14" t="s">
        <v>210</v>
      </c>
      <c r="B350" s="18">
        <v>0.39513372968031291</v>
      </c>
      <c r="C350" s="18">
        <v>0.29345912844273653</v>
      </c>
      <c r="D350" s="21">
        <v>0.25688903171825922</v>
      </c>
      <c r="E350" s="18">
        <v>0.38319388897278639</v>
      </c>
      <c r="F350" s="18">
        <v>0.39513372968031291</v>
      </c>
      <c r="G350" s="18">
        <v>0.29344915997980148</v>
      </c>
      <c r="H350" s="18">
        <v>0.27411112159232098</v>
      </c>
      <c r="I350" s="18">
        <v>0.27148125733952438</v>
      </c>
    </row>
    <row r="351" spans="1:9" x14ac:dyDescent="0.35">
      <c r="A351" s="14" t="s">
        <v>197</v>
      </c>
      <c r="B351" s="18">
        <v>0.25218542692263951</v>
      </c>
      <c r="C351" s="18">
        <v>0.31963411845097678</v>
      </c>
      <c r="D351" s="18">
        <v>0.27495156790076858</v>
      </c>
      <c r="E351" s="18">
        <v>0.22821868409484899</v>
      </c>
      <c r="F351" s="18">
        <v>0.25218542692263951</v>
      </c>
      <c r="G351" s="18">
        <v>0.27047896244233788</v>
      </c>
      <c r="H351" s="18">
        <v>0.2526546396224128</v>
      </c>
      <c r="I351" s="18">
        <v>0.24669059046566641</v>
      </c>
    </row>
    <row r="352" spans="1:9" x14ac:dyDescent="0.35">
      <c r="A352" s="14" t="s">
        <v>198</v>
      </c>
      <c r="B352" s="18">
        <v>0.1773560615795963</v>
      </c>
      <c r="C352" s="18">
        <v>0.2391012787562177</v>
      </c>
      <c r="D352" s="18">
        <v>0.2354278918108362</v>
      </c>
      <c r="E352" s="18">
        <v>0.195412756066496</v>
      </c>
      <c r="F352" s="18">
        <v>0.1773560615795963</v>
      </c>
      <c r="G352" s="18">
        <v>0.23449277084308681</v>
      </c>
      <c r="H352" s="18">
        <v>0.21903990601136469</v>
      </c>
      <c r="I352" s="18">
        <v>0.20396290722063851</v>
      </c>
    </row>
    <row r="353" spans="1:9" x14ac:dyDescent="0.35">
      <c r="A353" s="14" t="s">
        <v>199</v>
      </c>
      <c r="B353" s="18">
        <v>8.2142576856112579E-2</v>
      </c>
      <c r="C353" s="18">
        <v>7.3902737175034552E-2</v>
      </c>
      <c r="D353" s="18">
        <v>0.1090385833159985</v>
      </c>
      <c r="E353" s="18">
        <v>9.050554681297443E-2</v>
      </c>
      <c r="F353" s="18">
        <v>8.2142576856112579E-2</v>
      </c>
      <c r="G353" s="18">
        <v>6.1003828239377743E-2</v>
      </c>
      <c r="H353" s="18">
        <v>9.1914034805364142E-2</v>
      </c>
      <c r="I353" s="18">
        <v>0.123797239227234</v>
      </c>
    </row>
    <row r="354" spans="1:9" x14ac:dyDescent="0.35">
      <c r="A354" s="14" t="s">
        <v>200</v>
      </c>
      <c r="B354" s="18">
        <v>0</v>
      </c>
      <c r="C354" s="18">
        <v>0</v>
      </c>
      <c r="D354" s="18">
        <v>0</v>
      </c>
      <c r="E354" s="18">
        <v>0</v>
      </c>
      <c r="F354" s="18">
        <v>0</v>
      </c>
      <c r="G354" s="18">
        <v>3.1172832113936792E-2</v>
      </c>
      <c r="H354" s="18">
        <v>2.9118570230524731E-2</v>
      </c>
      <c r="I354" s="18">
        <v>3.2897045068145642E-2</v>
      </c>
    </row>
    <row r="355" spans="1:9" x14ac:dyDescent="0.35">
      <c r="A355" s="14" t="s">
        <v>201</v>
      </c>
      <c r="B355" s="18">
        <v>9.3182204961338735E-2</v>
      </c>
      <c r="C355" s="18">
        <v>7.3902737175034552E-2</v>
      </c>
      <c r="D355" s="18">
        <v>0.1236929252541376</v>
      </c>
      <c r="E355" s="18">
        <v>0.1026691240528942</v>
      </c>
      <c r="F355" s="18">
        <v>9.3182204961338735E-2</v>
      </c>
      <c r="G355" s="25">
        <v>0.1094024463814593</v>
      </c>
      <c r="H355" s="18">
        <v>0.1021929225649503</v>
      </c>
      <c r="I355" s="18">
        <v>8.6183591057982081E-2</v>
      </c>
    </row>
    <row r="356" spans="1:9" x14ac:dyDescent="0.35">
      <c r="A356" s="14" t="s">
        <v>202</v>
      </c>
      <c r="B356" s="18">
        <v>0</v>
      </c>
      <c r="C356" s="18">
        <v>0</v>
      </c>
      <c r="D356" s="18">
        <v>0</v>
      </c>
      <c r="E356" s="18">
        <v>0</v>
      </c>
      <c r="F356" s="18">
        <v>0</v>
      </c>
      <c r="G356" s="18">
        <v>0</v>
      </c>
      <c r="H356" s="18">
        <v>3.096880517306232E-2</v>
      </c>
      <c r="I356" s="18">
        <v>3.4987369620808957E-2</v>
      </c>
    </row>
    <row r="357" spans="1:9" x14ac:dyDescent="0.35">
      <c r="A357" s="14" t="s">
        <v>211</v>
      </c>
      <c r="B357" s="18">
        <v>0</v>
      </c>
      <c r="C357" s="18">
        <v>0</v>
      </c>
      <c r="D357" s="18">
        <v>0</v>
      </c>
      <c r="E357" s="18">
        <v>0</v>
      </c>
      <c r="F357" s="18">
        <v>0</v>
      </c>
      <c r="G357" s="18">
        <v>0</v>
      </c>
      <c r="H357" s="18">
        <v>0</v>
      </c>
      <c r="I357" s="18">
        <v>0</v>
      </c>
    </row>
    <row r="358" spans="1:9" x14ac:dyDescent="0.35">
      <c r="A358" s="14" t="s">
        <v>212</v>
      </c>
      <c r="B358" s="18">
        <v>0</v>
      </c>
      <c r="C358" s="18">
        <v>0</v>
      </c>
      <c r="D358" s="18">
        <v>0</v>
      </c>
      <c r="E358" s="18">
        <v>0</v>
      </c>
      <c r="F358" s="18">
        <v>0</v>
      </c>
      <c r="G358" s="18">
        <v>0</v>
      </c>
      <c r="H358" s="18">
        <v>0</v>
      </c>
      <c r="I358" s="18">
        <v>0</v>
      </c>
    </row>
    <row r="359" spans="1:9" x14ac:dyDescent="0.35">
      <c r="A359" s="14" t="s">
        <v>203</v>
      </c>
      <c r="B359" s="18">
        <v>0</v>
      </c>
      <c r="C359" s="18">
        <v>0</v>
      </c>
      <c r="D359" s="18">
        <v>0</v>
      </c>
      <c r="E359" s="18">
        <v>0</v>
      </c>
      <c r="F359" s="18">
        <v>0</v>
      </c>
      <c r="G359" s="18">
        <v>0</v>
      </c>
      <c r="H359" s="18">
        <v>0</v>
      </c>
      <c r="I359" s="18">
        <v>0</v>
      </c>
    </row>
    <row r="360" spans="1:9" x14ac:dyDescent="0.35">
      <c r="A360" s="14" t="s">
        <v>204</v>
      </c>
      <c r="B360" s="18">
        <v>0</v>
      </c>
      <c r="C360" s="18">
        <v>0</v>
      </c>
      <c r="D360" s="18">
        <v>0</v>
      </c>
      <c r="E360" s="18">
        <v>0</v>
      </c>
      <c r="F360" s="18">
        <v>0</v>
      </c>
      <c r="G360" s="18">
        <v>0</v>
      </c>
      <c r="H360" s="18">
        <v>0</v>
      </c>
      <c r="I360" s="18">
        <v>0</v>
      </c>
    </row>
    <row r="361" spans="1:9" x14ac:dyDescent="0.35">
      <c r="A361" s="14" t="s">
        <v>213</v>
      </c>
      <c r="B361" s="1">
        <v>55.413695164161368</v>
      </c>
      <c r="C361" s="1">
        <v>53.919050971867883</v>
      </c>
      <c r="D361" s="1">
        <v>40.814767436489021</v>
      </c>
      <c r="E361" s="1">
        <v>50.87434490147411</v>
      </c>
      <c r="F361" s="1">
        <v>55.413695164161368</v>
      </c>
      <c r="G361" s="1">
        <v>42.335284392674332</v>
      </c>
      <c r="H361" s="1">
        <v>36.448546324619663</v>
      </c>
      <c r="I361" s="1">
        <v>36.410384205825423</v>
      </c>
    </row>
    <row r="363" spans="1:9" x14ac:dyDescent="0.35">
      <c r="C363" s="187"/>
      <c r="D363" s="187"/>
      <c r="E363" s="187"/>
      <c r="F363" s="187"/>
      <c r="G363" s="170"/>
      <c r="H363" s="170"/>
      <c r="I363" s="170"/>
    </row>
    <row r="364" spans="1:9" ht="29" x14ac:dyDescent="0.35">
      <c r="A364" s="12" t="s">
        <v>555</v>
      </c>
      <c r="B364" s="13" t="s">
        <v>208</v>
      </c>
      <c r="C364" s="13" t="s">
        <v>458</v>
      </c>
      <c r="D364" s="13" t="s">
        <v>466</v>
      </c>
      <c r="E364" s="13" t="s">
        <v>467</v>
      </c>
      <c r="F364" s="13" t="s">
        <v>468</v>
      </c>
      <c r="G364" s="13" t="s">
        <v>634</v>
      </c>
      <c r="H364" s="13" t="s">
        <v>641</v>
      </c>
      <c r="I364" s="13" t="s">
        <v>647</v>
      </c>
    </row>
    <row r="365" spans="1:9" x14ac:dyDescent="0.35">
      <c r="A365" s="14" t="s">
        <v>209</v>
      </c>
      <c r="B365" s="15">
        <v>177</v>
      </c>
      <c r="C365" s="15">
        <v>0</v>
      </c>
      <c r="D365" s="15">
        <v>0</v>
      </c>
      <c r="E365" s="15">
        <v>78</v>
      </c>
      <c r="F365" s="15">
        <v>177</v>
      </c>
      <c r="G365" s="15">
        <v>277</v>
      </c>
      <c r="H365" s="15">
        <v>356</v>
      </c>
      <c r="I365" s="15">
        <v>363</v>
      </c>
    </row>
    <row r="366" spans="1:9" x14ac:dyDescent="0.35">
      <c r="A366" s="16" t="s">
        <v>336</v>
      </c>
      <c r="B366" s="17">
        <v>0.30676170595211111</v>
      </c>
      <c r="C366" s="168" t="s">
        <v>214</v>
      </c>
      <c r="D366" s="168" t="s">
        <v>214</v>
      </c>
      <c r="E366" s="17">
        <v>0.28456639666238759</v>
      </c>
      <c r="F366" s="17">
        <v>0.30676170595211111</v>
      </c>
      <c r="G366" s="17">
        <v>0.30608588819840948</v>
      </c>
      <c r="H366" s="17">
        <v>0.324664355528754</v>
      </c>
      <c r="I366" s="17">
        <v>0.32368296062519092</v>
      </c>
    </row>
    <row r="367" spans="1:9" x14ac:dyDescent="0.35">
      <c r="A367" s="16" t="s">
        <v>194</v>
      </c>
      <c r="B367" s="17">
        <v>0.36225852742112202</v>
      </c>
      <c r="C367" s="168" t="s">
        <v>214</v>
      </c>
      <c r="D367" s="168" t="s">
        <v>214</v>
      </c>
      <c r="E367" s="17">
        <v>0.30430525358777688</v>
      </c>
      <c r="F367" s="17">
        <v>0.36225852742112202</v>
      </c>
      <c r="G367" s="17">
        <v>0.39401955479704059</v>
      </c>
      <c r="H367" s="17">
        <v>0.3913540554983822</v>
      </c>
      <c r="I367" s="17">
        <v>0.39138122894847149</v>
      </c>
    </row>
    <row r="368" spans="1:9" x14ac:dyDescent="0.35">
      <c r="A368" s="16" t="s">
        <v>195</v>
      </c>
      <c r="B368" s="17">
        <v>0.33097976662676681</v>
      </c>
      <c r="C368" s="168" t="s">
        <v>214</v>
      </c>
      <c r="D368" s="168" t="s">
        <v>214</v>
      </c>
      <c r="E368" s="149">
        <v>0.41112834974983548</v>
      </c>
      <c r="F368" s="17">
        <v>0.33097976662676681</v>
      </c>
      <c r="G368" s="17">
        <v>0.29989455700455009</v>
      </c>
      <c r="H368" s="152">
        <v>0.28398158897286391</v>
      </c>
      <c r="I368" s="152">
        <v>0.28493581042633748</v>
      </c>
    </row>
    <row r="369" spans="1:9" x14ac:dyDescent="0.35">
      <c r="A369" s="14" t="s">
        <v>210</v>
      </c>
      <c r="B369" s="18">
        <v>0.14421773775156971</v>
      </c>
      <c r="C369" s="18" t="s">
        <v>214</v>
      </c>
      <c r="D369" s="18" t="s">
        <v>214</v>
      </c>
      <c r="E369" s="18">
        <v>0.12827907445111919</v>
      </c>
      <c r="F369" s="18">
        <v>0.14421773775156971</v>
      </c>
      <c r="G369" s="18">
        <v>0.1473823911442832</v>
      </c>
      <c r="H369" s="18">
        <v>0.1651378646877357</v>
      </c>
      <c r="I369" s="18">
        <v>0.16733068556797781</v>
      </c>
    </row>
    <row r="370" spans="1:9" x14ac:dyDescent="0.35">
      <c r="A370" s="14" t="s">
        <v>197</v>
      </c>
      <c r="B370" s="18">
        <v>0.1625439682005414</v>
      </c>
      <c r="C370" s="18" t="s">
        <v>214</v>
      </c>
      <c r="D370" s="18" t="s">
        <v>214</v>
      </c>
      <c r="E370" s="18">
        <v>0.1562873222112684</v>
      </c>
      <c r="F370" s="25">
        <v>0.1625439682005414</v>
      </c>
      <c r="G370" s="18">
        <v>0.15870349705412631</v>
      </c>
      <c r="H370" s="18">
        <v>0.1595264908410183</v>
      </c>
      <c r="I370" s="18">
        <v>0.15635227505721311</v>
      </c>
    </row>
    <row r="371" spans="1:9" x14ac:dyDescent="0.35">
      <c r="A371" s="14" t="s">
        <v>198</v>
      </c>
      <c r="B371" s="18">
        <v>0.1890237375818429</v>
      </c>
      <c r="C371" s="18" t="s">
        <v>214</v>
      </c>
      <c r="D371" s="18" t="s">
        <v>214</v>
      </c>
      <c r="E371" s="18">
        <v>0.17256534841041651</v>
      </c>
      <c r="F371" s="18">
        <v>0.1890237375818429</v>
      </c>
      <c r="G371" s="25">
        <v>0.2262425204857218</v>
      </c>
      <c r="H371" s="18">
        <v>0.2128486784166318</v>
      </c>
      <c r="I371" s="18">
        <v>0.21354802070116441</v>
      </c>
    </row>
    <row r="372" spans="1:9" x14ac:dyDescent="0.35">
      <c r="A372" s="14" t="s">
        <v>199</v>
      </c>
      <c r="B372" s="18">
        <v>0.17323478983927909</v>
      </c>
      <c r="C372" s="18" t="s">
        <v>214</v>
      </c>
      <c r="D372" s="18" t="s">
        <v>214</v>
      </c>
      <c r="E372" s="18">
        <v>0.13173990517736039</v>
      </c>
      <c r="F372" s="18">
        <v>0.17323478983927901</v>
      </c>
      <c r="G372" s="18">
        <v>0.1677770343113188</v>
      </c>
      <c r="H372" s="18">
        <v>0.1785053770817504</v>
      </c>
      <c r="I372" s="18">
        <v>0.17783320824730711</v>
      </c>
    </row>
    <row r="373" spans="1:9" x14ac:dyDescent="0.35">
      <c r="A373" s="14" t="s">
        <v>200</v>
      </c>
      <c r="B373" s="18">
        <v>0.1047770936814271</v>
      </c>
      <c r="C373" s="18" t="s">
        <v>214</v>
      </c>
      <c r="D373" s="18" t="s">
        <v>214</v>
      </c>
      <c r="E373" s="18">
        <v>0.14209395112760281</v>
      </c>
      <c r="F373" s="18">
        <v>0.1047770936814271</v>
      </c>
      <c r="G373" s="18">
        <v>0.1034261006854766</v>
      </c>
      <c r="H373" s="18">
        <v>0.1111950595413936</v>
      </c>
      <c r="I373" s="18">
        <v>0.1089825297526627</v>
      </c>
    </row>
    <row r="374" spans="1:9" x14ac:dyDescent="0.35">
      <c r="A374" s="14" t="s">
        <v>201</v>
      </c>
      <c r="B374" s="18">
        <v>9.359748732161105E-2</v>
      </c>
      <c r="C374" s="18" t="s">
        <v>214</v>
      </c>
      <c r="D374" s="18" t="s">
        <v>214</v>
      </c>
      <c r="E374" s="18">
        <v>0.1238963715087987</v>
      </c>
      <c r="F374" s="18">
        <v>9.3597487321611036E-2</v>
      </c>
      <c r="G374" s="18">
        <v>8.9476388915708263E-2</v>
      </c>
      <c r="H374" s="18">
        <v>7.5515688409653559E-2</v>
      </c>
      <c r="I374" s="18">
        <v>8.0617909035329754E-2</v>
      </c>
    </row>
    <row r="375" spans="1:9" x14ac:dyDescent="0.35">
      <c r="A375" s="14" t="s">
        <v>202</v>
      </c>
      <c r="B375" s="18">
        <v>2.568228382787047E-2</v>
      </c>
      <c r="C375" s="18" t="s">
        <v>214</v>
      </c>
      <c r="D375" s="18" t="s">
        <v>214</v>
      </c>
      <c r="E375" s="18">
        <v>4.5022685188649977E-2</v>
      </c>
      <c r="F375" s="18">
        <v>2.568228382787047E-2</v>
      </c>
      <c r="G375" s="18">
        <v>2.4175990917084979E-2</v>
      </c>
      <c r="H375" s="18">
        <v>2.4117908765561968E-2</v>
      </c>
      <c r="I375" s="18">
        <v>2.363801701672185E-2</v>
      </c>
    </row>
    <row r="376" spans="1:9" x14ac:dyDescent="0.35">
      <c r="A376" s="14" t="s">
        <v>211</v>
      </c>
      <c r="B376" s="18">
        <v>2.39348469972798E-2</v>
      </c>
      <c r="C376" s="18" t="s">
        <v>214</v>
      </c>
      <c r="D376" s="18" t="s">
        <v>214</v>
      </c>
      <c r="E376" s="18">
        <v>1.183981725610264E-2</v>
      </c>
      <c r="F376" s="18">
        <v>2.39348469972798E-2</v>
      </c>
      <c r="G376" s="18">
        <v>2.2302696754493461E-2</v>
      </c>
      <c r="H376" s="18">
        <v>1.7479106076990391E-2</v>
      </c>
      <c r="I376" s="18">
        <v>1.7131311462416421E-2</v>
      </c>
    </row>
    <row r="377" spans="1:9" x14ac:dyDescent="0.35">
      <c r="A377" s="14" t="s">
        <v>212</v>
      </c>
      <c r="B377" s="18">
        <v>2.700176310955011E-2</v>
      </c>
      <c r="C377" s="18" t="s">
        <v>214</v>
      </c>
      <c r="D377" s="18" t="s">
        <v>214</v>
      </c>
      <c r="E377" s="18">
        <v>3.7445260681807008E-2</v>
      </c>
      <c r="F377" s="18">
        <v>2.700176310955011E-2</v>
      </c>
      <c r="G377" s="18">
        <v>1.7485531300624722E-2</v>
      </c>
      <c r="H377" s="18">
        <v>1.655895902519652E-2</v>
      </c>
      <c r="I377" s="18">
        <v>1.622947325249469E-2</v>
      </c>
    </row>
    <row r="378" spans="1:9" x14ac:dyDescent="0.35">
      <c r="A378" s="14" t="s">
        <v>203</v>
      </c>
      <c r="B378" s="18">
        <v>1.403339317605525E-2</v>
      </c>
      <c r="C378" s="18" t="s">
        <v>214</v>
      </c>
      <c r="D378" s="18" t="s">
        <v>214</v>
      </c>
      <c r="E378" s="18">
        <v>1.234533660170594E-2</v>
      </c>
      <c r="F378" s="18">
        <v>1.403339317605525E-2</v>
      </c>
      <c r="G378" s="18">
        <v>1.2935743909321E-2</v>
      </c>
      <c r="H378" s="18">
        <v>1.0138022431312E-2</v>
      </c>
      <c r="I378" s="18">
        <v>9.9362987511358199E-3</v>
      </c>
    </row>
    <row r="379" spans="1:9" x14ac:dyDescent="0.35">
      <c r="A379" s="14" t="s">
        <v>204</v>
      </c>
      <c r="B379" s="18">
        <v>4.1952898512972972E-2</v>
      </c>
      <c r="C379" s="18" t="s">
        <v>214</v>
      </c>
      <c r="D379" s="18" t="s">
        <v>214</v>
      </c>
      <c r="E379" s="18">
        <v>3.8484927385168441E-2</v>
      </c>
      <c r="F379" s="18">
        <v>4.1952898512972958E-2</v>
      </c>
      <c r="G379" s="18">
        <v>3.009210452184111E-2</v>
      </c>
      <c r="H379" s="18">
        <v>2.8976844722755891E-2</v>
      </c>
      <c r="I379" s="18">
        <v>2.840027115557631E-2</v>
      </c>
    </row>
    <row r="380" spans="1:9" x14ac:dyDescent="0.35">
      <c r="A380" s="14" t="s">
        <v>213</v>
      </c>
      <c r="B380" s="1">
        <v>-2.4218060674655701</v>
      </c>
      <c r="C380" s="1" t="s">
        <v>214</v>
      </c>
      <c r="D380" s="1" t="s">
        <v>214</v>
      </c>
      <c r="E380" s="1">
        <v>-12.656195308744801</v>
      </c>
      <c r="F380" s="1">
        <v>-2.421806067465559</v>
      </c>
      <c r="G380" s="1">
        <v>0.61913311938593452</v>
      </c>
      <c r="H380" s="1">
        <v>4.0682766555890097</v>
      </c>
      <c r="I380" s="1">
        <v>3.8747150198853371</v>
      </c>
    </row>
    <row r="382" spans="1:9" x14ac:dyDescent="0.35">
      <c r="C382" s="187"/>
      <c r="D382" s="187"/>
      <c r="E382" s="187"/>
      <c r="F382" s="187"/>
      <c r="G382" s="170"/>
      <c r="H382" s="170"/>
      <c r="I382" s="170"/>
    </row>
    <row r="383" spans="1:9" ht="29" x14ac:dyDescent="0.35">
      <c r="A383" s="12" t="s">
        <v>511</v>
      </c>
      <c r="B383" s="13" t="s">
        <v>208</v>
      </c>
      <c r="C383" s="13" t="s">
        <v>458</v>
      </c>
      <c r="D383" s="13" t="s">
        <v>466</v>
      </c>
      <c r="E383" s="13" t="s">
        <v>467</v>
      </c>
      <c r="F383" s="13" t="s">
        <v>468</v>
      </c>
      <c r="G383" s="13" t="s">
        <v>634</v>
      </c>
      <c r="H383" s="13" t="s">
        <v>641</v>
      </c>
      <c r="I383" s="13" t="s">
        <v>647</v>
      </c>
    </row>
    <row r="384" spans="1:9" x14ac:dyDescent="0.35">
      <c r="A384" s="14" t="s">
        <v>209</v>
      </c>
      <c r="B384" s="15">
        <v>224</v>
      </c>
      <c r="C384" s="15">
        <v>0</v>
      </c>
      <c r="D384" s="15">
        <v>0</v>
      </c>
      <c r="E384" s="15">
        <v>114</v>
      </c>
      <c r="F384" s="15">
        <v>224</v>
      </c>
      <c r="G384" s="15">
        <v>307</v>
      </c>
      <c r="H384" s="15">
        <v>384</v>
      </c>
      <c r="I384" s="15">
        <v>404</v>
      </c>
    </row>
    <row r="385" spans="1:9" x14ac:dyDescent="0.35">
      <c r="A385" s="16" t="s">
        <v>336</v>
      </c>
      <c r="B385" s="17">
        <v>0.30751648700185441</v>
      </c>
      <c r="C385" s="168" t="s">
        <v>214</v>
      </c>
      <c r="D385" s="168" t="s">
        <v>214</v>
      </c>
      <c r="E385" s="154">
        <v>0.25333226212480392</v>
      </c>
      <c r="F385" s="17">
        <v>0.3075164870018543</v>
      </c>
      <c r="G385" s="17">
        <v>0.3311676954575215</v>
      </c>
      <c r="H385" s="152">
        <v>0.33008836643325279</v>
      </c>
      <c r="I385" s="17">
        <v>0.33420073219475338</v>
      </c>
    </row>
    <row r="386" spans="1:9" x14ac:dyDescent="0.35">
      <c r="A386" s="16" t="s">
        <v>194</v>
      </c>
      <c r="B386" s="17">
        <v>0.38970902086636072</v>
      </c>
      <c r="C386" s="168" t="s">
        <v>214</v>
      </c>
      <c r="D386" s="168" t="s">
        <v>214</v>
      </c>
      <c r="E386" s="17">
        <v>0.40207203112499817</v>
      </c>
      <c r="F386" s="17">
        <v>0.38970902086636072</v>
      </c>
      <c r="G386" s="152">
        <v>0.3834373730708332</v>
      </c>
      <c r="H386" s="17">
        <v>0.3740687478002464</v>
      </c>
      <c r="I386" s="17">
        <v>0.3724689720160439</v>
      </c>
    </row>
    <row r="387" spans="1:9" x14ac:dyDescent="0.35">
      <c r="A387" s="16" t="s">
        <v>195</v>
      </c>
      <c r="B387" s="17">
        <v>0.30277449213178509</v>
      </c>
      <c r="C387" s="168" t="s">
        <v>214</v>
      </c>
      <c r="D387" s="168" t="s">
        <v>214</v>
      </c>
      <c r="E387" s="17">
        <v>0.34459570675019779</v>
      </c>
      <c r="F387" s="17">
        <v>0.30277449213178498</v>
      </c>
      <c r="G387" s="17">
        <v>0.28539493147164519</v>
      </c>
      <c r="H387" s="17">
        <v>0.29584288576650108</v>
      </c>
      <c r="I387" s="17">
        <v>0.29333029578920289</v>
      </c>
    </row>
    <row r="388" spans="1:9" x14ac:dyDescent="0.35">
      <c r="A388" s="14" t="s">
        <v>210</v>
      </c>
      <c r="B388" s="18">
        <v>0.1411745388358723</v>
      </c>
      <c r="C388" s="18" t="s">
        <v>214</v>
      </c>
      <c r="D388" s="18" t="s">
        <v>214</v>
      </c>
      <c r="E388" s="18">
        <v>0.1142155584908254</v>
      </c>
      <c r="F388" s="18">
        <v>0.14117453883587219</v>
      </c>
      <c r="G388" s="18">
        <v>0.16142753490697359</v>
      </c>
      <c r="H388" s="18">
        <v>0.1636732629045175</v>
      </c>
      <c r="I388" s="18">
        <v>0.16584572335491829</v>
      </c>
    </row>
    <row r="389" spans="1:9" x14ac:dyDescent="0.35">
      <c r="A389" s="14" t="s">
        <v>197</v>
      </c>
      <c r="B389" s="18">
        <v>0.16634194816598211</v>
      </c>
      <c r="C389" s="18" t="s">
        <v>214</v>
      </c>
      <c r="D389" s="18" t="s">
        <v>214</v>
      </c>
      <c r="E389" s="18">
        <v>0.13911670363397849</v>
      </c>
      <c r="F389" s="18">
        <v>0.16634194816598211</v>
      </c>
      <c r="G389" s="18">
        <v>0.1697401605505478</v>
      </c>
      <c r="H389" s="18">
        <v>0.16641510352873529</v>
      </c>
      <c r="I389" s="18">
        <v>0.16835500883983501</v>
      </c>
    </row>
    <row r="390" spans="1:9" x14ac:dyDescent="0.35">
      <c r="A390" s="14" t="s">
        <v>198</v>
      </c>
      <c r="B390" s="18">
        <v>0.20348415091812341</v>
      </c>
      <c r="C390" s="18" t="s">
        <v>214</v>
      </c>
      <c r="D390" s="18" t="s">
        <v>214</v>
      </c>
      <c r="E390" s="18">
        <v>0.18324437734697871</v>
      </c>
      <c r="F390" s="18">
        <v>0.20348415091812341</v>
      </c>
      <c r="G390" s="18">
        <v>0.18660112171987239</v>
      </c>
      <c r="H390" s="18">
        <v>0.19076429480019319</v>
      </c>
      <c r="I390" s="18">
        <v>0.18625444680176939</v>
      </c>
    </row>
    <row r="391" spans="1:9" x14ac:dyDescent="0.35">
      <c r="A391" s="14" t="s">
        <v>199</v>
      </c>
      <c r="B391" s="18">
        <v>0.18622486994823731</v>
      </c>
      <c r="C391" s="18" t="s">
        <v>214</v>
      </c>
      <c r="D391" s="18" t="s">
        <v>214</v>
      </c>
      <c r="E391" s="18">
        <v>0.21882765377801949</v>
      </c>
      <c r="F391" s="18">
        <v>0.18622486994823731</v>
      </c>
      <c r="G391" s="18">
        <v>0.19683625135096081</v>
      </c>
      <c r="H391" s="18">
        <v>0.18330445300005321</v>
      </c>
      <c r="I391" s="18">
        <v>0.18621452521427451</v>
      </c>
    </row>
    <row r="392" spans="1:9" x14ac:dyDescent="0.35">
      <c r="A392" s="14" t="s">
        <v>200</v>
      </c>
      <c r="B392" s="18">
        <v>0.1450852662234367</v>
      </c>
      <c r="C392" s="18" t="s">
        <v>214</v>
      </c>
      <c r="D392" s="18" t="s">
        <v>214</v>
      </c>
      <c r="E392" s="19">
        <v>0.19720568170688979</v>
      </c>
      <c r="F392" s="18">
        <v>0.1450852662234367</v>
      </c>
      <c r="G392" s="18">
        <v>0.12774974077684201</v>
      </c>
      <c r="H392" s="18">
        <v>0.13661704198990229</v>
      </c>
      <c r="I392" s="18">
        <v>0.1344929272140164</v>
      </c>
    </row>
    <row r="393" spans="1:9" x14ac:dyDescent="0.35">
      <c r="A393" s="14" t="s">
        <v>201</v>
      </c>
      <c r="B393" s="18">
        <v>7.3326356998781636E-2</v>
      </c>
      <c r="C393" s="18" t="s">
        <v>214</v>
      </c>
      <c r="D393" s="18" t="s">
        <v>214</v>
      </c>
      <c r="E393" s="18">
        <v>7.6751466559278628E-2</v>
      </c>
      <c r="F393" s="18">
        <v>7.3326356998781622E-2</v>
      </c>
      <c r="G393" s="18">
        <v>6.6987084581733927E-2</v>
      </c>
      <c r="H393" s="18">
        <v>6.4104163735728956E-2</v>
      </c>
      <c r="I393" s="18">
        <v>6.6123144258424416E-2</v>
      </c>
    </row>
    <row r="394" spans="1:9" x14ac:dyDescent="0.35">
      <c r="A394" s="14" t="s">
        <v>202</v>
      </c>
      <c r="B394" s="18">
        <v>2.400183484209259E-2</v>
      </c>
      <c r="C394" s="18" t="s">
        <v>214</v>
      </c>
      <c r="D394" s="18" t="s">
        <v>214</v>
      </c>
      <c r="E394" s="18">
        <v>1.5255139564622201E-2</v>
      </c>
      <c r="F394" s="25">
        <v>2.400183484209259E-2</v>
      </c>
      <c r="G394" s="18">
        <v>3.0842049564638499E-2</v>
      </c>
      <c r="H394" s="18">
        <v>3.9386664352917933E-2</v>
      </c>
      <c r="I394" s="18">
        <v>3.7460124327947417E-2</v>
      </c>
    </row>
    <row r="395" spans="1:9" x14ac:dyDescent="0.35">
      <c r="A395" s="14" t="s">
        <v>211</v>
      </c>
      <c r="B395" s="18">
        <v>2.0459251704546301E-2</v>
      </c>
      <c r="C395" s="18" t="s">
        <v>214</v>
      </c>
      <c r="D395" s="18" t="s">
        <v>214</v>
      </c>
      <c r="E395" s="18">
        <v>1.335351619390023E-2</v>
      </c>
      <c r="F395" s="18">
        <v>2.0459251704546291E-2</v>
      </c>
      <c r="G395" s="18">
        <v>1.7956878407078661E-2</v>
      </c>
      <c r="H395" s="18">
        <v>1.9511712291188262E-2</v>
      </c>
      <c r="I395" s="18">
        <v>1.855732594488934E-2</v>
      </c>
    </row>
    <row r="396" spans="1:9" x14ac:dyDescent="0.35">
      <c r="A396" s="14" t="s">
        <v>212</v>
      </c>
      <c r="B396" s="18">
        <v>2.3335431032828952E-2</v>
      </c>
      <c r="C396" s="18" t="s">
        <v>214</v>
      </c>
      <c r="D396" s="18" t="s">
        <v>214</v>
      </c>
      <c r="E396" s="18">
        <v>3.3639675094241997E-2</v>
      </c>
      <c r="F396" s="18">
        <v>2.3335431032828952E-2</v>
      </c>
      <c r="G396" s="18">
        <v>2.3811916782920401E-2</v>
      </c>
      <c r="H396" s="18">
        <v>1.911154142693507E-2</v>
      </c>
      <c r="I396" s="18">
        <v>1.8176728842453169E-2</v>
      </c>
    </row>
    <row r="397" spans="1:9" x14ac:dyDescent="0.35">
      <c r="A397" s="14" t="s">
        <v>203</v>
      </c>
      <c r="B397" s="18">
        <v>0</v>
      </c>
      <c r="C397" s="18" t="s">
        <v>214</v>
      </c>
      <c r="D397" s="18" t="s">
        <v>214</v>
      </c>
      <c r="E397" s="18">
        <v>0</v>
      </c>
      <c r="F397" s="18">
        <v>0</v>
      </c>
      <c r="G397" s="18">
        <v>0</v>
      </c>
      <c r="H397" s="18">
        <v>0</v>
      </c>
      <c r="I397" s="18">
        <v>2.2452795824199571E-3</v>
      </c>
    </row>
    <row r="398" spans="1:9" x14ac:dyDescent="0.35">
      <c r="A398" s="14" t="s">
        <v>204</v>
      </c>
      <c r="B398" s="18">
        <v>1.6566351330098851E-2</v>
      </c>
      <c r="C398" s="18" t="s">
        <v>214</v>
      </c>
      <c r="D398" s="18" t="s">
        <v>214</v>
      </c>
      <c r="E398" s="18">
        <v>8.3902276312650282E-3</v>
      </c>
      <c r="F398" s="18">
        <v>1.6566351330098851E-2</v>
      </c>
      <c r="G398" s="18">
        <v>1.804726135843172E-2</v>
      </c>
      <c r="H398" s="18">
        <v>1.7111761969828509E-2</v>
      </c>
      <c r="I398" s="18">
        <v>1.6274765619052219E-2</v>
      </c>
    </row>
    <row r="399" spans="1:9" x14ac:dyDescent="0.35">
      <c r="A399" s="14" t="s">
        <v>213</v>
      </c>
      <c r="B399" s="1">
        <v>0.47419948700693532</v>
      </c>
      <c r="C399" s="1" t="s">
        <v>214</v>
      </c>
      <c r="D399" s="1" t="s">
        <v>214</v>
      </c>
      <c r="E399" s="1">
        <v>-9.1263444625393912</v>
      </c>
      <c r="F399" s="1">
        <v>0.47419948700692882</v>
      </c>
      <c r="G399" s="1">
        <v>4.5772763985876326</v>
      </c>
      <c r="H399" s="1">
        <v>3.424548066675174</v>
      </c>
      <c r="I399" s="1">
        <v>4.0870436405550414</v>
      </c>
    </row>
    <row r="401" spans="1:9" x14ac:dyDescent="0.35">
      <c r="C401" s="187"/>
      <c r="D401" s="187"/>
      <c r="E401" s="187"/>
      <c r="F401" s="187"/>
      <c r="G401" s="170"/>
      <c r="H401" s="170"/>
      <c r="I401" s="170"/>
    </row>
    <row r="402" spans="1:9" ht="29" x14ac:dyDescent="0.35">
      <c r="A402" s="12" t="s">
        <v>512</v>
      </c>
      <c r="B402" s="13" t="s">
        <v>208</v>
      </c>
      <c r="C402" s="13" t="s">
        <v>458</v>
      </c>
      <c r="D402" s="13" t="s">
        <v>466</v>
      </c>
      <c r="E402" s="13" t="s">
        <v>467</v>
      </c>
      <c r="F402" s="13" t="s">
        <v>468</v>
      </c>
      <c r="G402" s="13" t="s">
        <v>634</v>
      </c>
      <c r="H402" s="13" t="s">
        <v>641</v>
      </c>
      <c r="I402" s="13" t="s">
        <v>647</v>
      </c>
    </row>
    <row r="403" spans="1:9" x14ac:dyDescent="0.35">
      <c r="A403" s="14" t="s">
        <v>209</v>
      </c>
      <c r="B403" s="15">
        <v>171</v>
      </c>
      <c r="C403" s="15">
        <v>0</v>
      </c>
      <c r="D403" s="15">
        <v>0</v>
      </c>
      <c r="E403" s="15">
        <v>91</v>
      </c>
      <c r="F403" s="15">
        <v>171</v>
      </c>
      <c r="G403" s="15">
        <v>259</v>
      </c>
      <c r="H403" s="15">
        <v>342</v>
      </c>
      <c r="I403" s="15">
        <v>354</v>
      </c>
    </row>
    <row r="404" spans="1:9" x14ac:dyDescent="0.35">
      <c r="A404" s="16" t="s">
        <v>336</v>
      </c>
      <c r="B404" s="17">
        <v>0.32010131993180818</v>
      </c>
      <c r="C404" s="168" t="s">
        <v>214</v>
      </c>
      <c r="D404" s="168" t="s">
        <v>214</v>
      </c>
      <c r="E404" s="17">
        <v>0.30214844459246082</v>
      </c>
      <c r="F404" s="152">
        <v>0.32010131993180818</v>
      </c>
      <c r="G404" s="17">
        <v>0.32243747972091868</v>
      </c>
      <c r="H404" s="152">
        <v>0.32218446928489342</v>
      </c>
      <c r="I404" s="17">
        <v>0.32911196400573761</v>
      </c>
    </row>
    <row r="405" spans="1:9" x14ac:dyDescent="0.35">
      <c r="A405" s="16" t="s">
        <v>194</v>
      </c>
      <c r="B405" s="17">
        <v>0.33509916659398908</v>
      </c>
      <c r="C405" s="168" t="s">
        <v>214</v>
      </c>
      <c r="D405" s="168" t="s">
        <v>214</v>
      </c>
      <c r="E405" s="17">
        <v>0.30873705450311473</v>
      </c>
      <c r="F405" s="152">
        <v>0.3350991665939892</v>
      </c>
      <c r="G405" s="17">
        <v>0.33442870246046341</v>
      </c>
      <c r="H405" s="17">
        <v>0.36280639430832418</v>
      </c>
      <c r="I405" s="17">
        <v>0.35801440344168373</v>
      </c>
    </row>
    <row r="406" spans="1:9" x14ac:dyDescent="0.35">
      <c r="A406" s="16" t="s">
        <v>195</v>
      </c>
      <c r="B406" s="17">
        <v>0.34479951347420279</v>
      </c>
      <c r="C406" s="168" t="s">
        <v>214</v>
      </c>
      <c r="D406" s="168" t="s">
        <v>214</v>
      </c>
      <c r="E406" s="17">
        <v>0.38911450090442429</v>
      </c>
      <c r="F406" s="17">
        <v>0.34479951347420279</v>
      </c>
      <c r="G406" s="17">
        <v>0.34313381781861801</v>
      </c>
      <c r="H406" s="17">
        <v>0.31500913640678241</v>
      </c>
      <c r="I406" s="17">
        <v>0.31287363255257872</v>
      </c>
    </row>
    <row r="407" spans="1:9" x14ac:dyDescent="0.35">
      <c r="A407" s="14" t="s">
        <v>210</v>
      </c>
      <c r="B407" s="18">
        <v>0.16820567030380629</v>
      </c>
      <c r="C407" s="18" t="s">
        <v>214</v>
      </c>
      <c r="D407" s="18" t="s">
        <v>214</v>
      </c>
      <c r="E407" s="18">
        <v>0.14740395525308639</v>
      </c>
      <c r="F407" s="18">
        <v>0.16820567030380629</v>
      </c>
      <c r="G407" s="18">
        <v>0.17277676033469819</v>
      </c>
      <c r="H407" s="18">
        <v>0.18082962460456201</v>
      </c>
      <c r="I407" s="18">
        <v>0.1870871234996499</v>
      </c>
    </row>
    <row r="408" spans="1:9" x14ac:dyDescent="0.35">
      <c r="A408" s="14" t="s">
        <v>197</v>
      </c>
      <c r="B408" s="18">
        <v>0.15189564962800189</v>
      </c>
      <c r="C408" s="18" t="s">
        <v>214</v>
      </c>
      <c r="D408" s="18" t="s">
        <v>214</v>
      </c>
      <c r="E408" s="18">
        <v>0.1547444893393744</v>
      </c>
      <c r="F408" s="18">
        <v>0.15189564962800189</v>
      </c>
      <c r="G408" s="18">
        <v>0.1496607193862205</v>
      </c>
      <c r="H408" s="18">
        <v>0.14135484468033141</v>
      </c>
      <c r="I408" s="18">
        <v>0.14202484050608771</v>
      </c>
    </row>
    <row r="409" spans="1:9" x14ac:dyDescent="0.35">
      <c r="A409" s="14" t="s">
        <v>198</v>
      </c>
      <c r="B409" s="18">
        <v>0.15535210342683711</v>
      </c>
      <c r="C409" s="18" t="s">
        <v>214</v>
      </c>
      <c r="D409" s="18" t="s">
        <v>214</v>
      </c>
      <c r="E409" s="23">
        <v>0.1118608716643834</v>
      </c>
      <c r="F409" s="25">
        <v>0.15535210342683711</v>
      </c>
      <c r="G409" s="18">
        <v>0.16977091723301069</v>
      </c>
      <c r="H409" s="18">
        <v>0.20255825680435541</v>
      </c>
      <c r="I409" s="18">
        <v>0.20312556564207521</v>
      </c>
    </row>
    <row r="410" spans="1:9" x14ac:dyDescent="0.35">
      <c r="A410" s="14" t="s">
        <v>199</v>
      </c>
      <c r="B410" s="18">
        <v>0.17974706316715211</v>
      </c>
      <c r="C410" s="18" t="s">
        <v>214</v>
      </c>
      <c r="D410" s="18" t="s">
        <v>214</v>
      </c>
      <c r="E410" s="18">
        <v>0.19687618283873129</v>
      </c>
      <c r="F410" s="18">
        <v>0.17974706316715211</v>
      </c>
      <c r="G410" s="18">
        <v>0.1646577852274527</v>
      </c>
      <c r="H410" s="18">
        <v>0.16024813750396891</v>
      </c>
      <c r="I410" s="25">
        <v>0.15488883779960849</v>
      </c>
    </row>
    <row r="411" spans="1:9" x14ac:dyDescent="0.35">
      <c r="A411" s="14" t="s">
        <v>200</v>
      </c>
      <c r="B411" s="18">
        <v>0.189436868648445</v>
      </c>
      <c r="C411" s="18" t="s">
        <v>214</v>
      </c>
      <c r="D411" s="18" t="s">
        <v>214</v>
      </c>
      <c r="E411" s="18">
        <v>0.22922018738470651</v>
      </c>
      <c r="F411" s="18">
        <v>0.189436868648445</v>
      </c>
      <c r="G411" s="18">
        <v>0.16761838599230361</v>
      </c>
      <c r="H411" s="18">
        <v>0.1546838503517482</v>
      </c>
      <c r="I411" s="18">
        <v>0.15463340933072889</v>
      </c>
    </row>
    <row r="412" spans="1:9" x14ac:dyDescent="0.35">
      <c r="A412" s="14" t="s">
        <v>201</v>
      </c>
      <c r="B412" s="18">
        <v>7.2868830980908031E-2</v>
      </c>
      <c r="C412" s="18" t="s">
        <v>214</v>
      </c>
      <c r="D412" s="18" t="s">
        <v>214</v>
      </c>
      <c r="E412" s="18">
        <v>9.8312524160574441E-2</v>
      </c>
      <c r="F412" s="18">
        <v>7.2868830980908031E-2</v>
      </c>
      <c r="G412" s="18">
        <v>0.1038754638041286</v>
      </c>
      <c r="H412" s="18">
        <v>9.7132170896108691E-2</v>
      </c>
      <c r="I412" s="18">
        <v>9.3883706215796878E-2</v>
      </c>
    </row>
    <row r="413" spans="1:9" x14ac:dyDescent="0.35">
      <c r="A413" s="14" t="s">
        <v>202</v>
      </c>
      <c r="B413" s="18">
        <v>5.2906637266760252E-2</v>
      </c>
      <c r="C413" s="18" t="s">
        <v>214</v>
      </c>
      <c r="D413" s="18" t="s">
        <v>214</v>
      </c>
      <c r="E413" s="18">
        <v>3.125177148313097E-2</v>
      </c>
      <c r="F413" s="18">
        <v>5.2906637266760252E-2</v>
      </c>
      <c r="G413" s="18">
        <v>4.8658177047639938E-2</v>
      </c>
      <c r="H413" s="18">
        <v>4.0393266901611491E-2</v>
      </c>
      <c r="I413" s="18">
        <v>3.9042364315560567E-2</v>
      </c>
    </row>
    <row r="414" spans="1:9" x14ac:dyDescent="0.35">
      <c r="A414" s="14" t="s">
        <v>211</v>
      </c>
      <c r="B414" s="18">
        <v>8.3593384441612399E-3</v>
      </c>
      <c r="C414" s="18" t="s">
        <v>214</v>
      </c>
      <c r="D414" s="18" t="s">
        <v>214</v>
      </c>
      <c r="E414" s="18">
        <v>0</v>
      </c>
      <c r="F414" s="18">
        <v>8.3593384441612399E-3</v>
      </c>
      <c r="G414" s="18">
        <v>5.6007034788115523E-3</v>
      </c>
      <c r="H414" s="18">
        <v>6.7717389138758841E-3</v>
      </c>
      <c r="I414" s="25">
        <v>9.8220835345017316E-3</v>
      </c>
    </row>
    <row r="415" spans="1:9" x14ac:dyDescent="0.35">
      <c r="A415" s="14" t="s">
        <v>212</v>
      </c>
      <c r="B415" s="18">
        <v>5.4056529753803402E-3</v>
      </c>
      <c r="C415" s="18" t="s">
        <v>214</v>
      </c>
      <c r="D415" s="18" t="s">
        <v>214</v>
      </c>
      <c r="E415" s="18">
        <v>1.035204585156803E-2</v>
      </c>
      <c r="F415" s="18">
        <v>5.4056529753803402E-3</v>
      </c>
      <c r="G415" s="18">
        <v>3.621753040230981E-3</v>
      </c>
      <c r="H415" s="18">
        <v>5.4603840617403364E-3</v>
      </c>
      <c r="I415" s="18">
        <v>5.2777683063025896E-3</v>
      </c>
    </row>
    <row r="416" spans="1:9" x14ac:dyDescent="0.35">
      <c r="A416" s="14" t="s">
        <v>203</v>
      </c>
      <c r="B416" s="18">
        <v>4.7956835506051164E-3</v>
      </c>
      <c r="C416" s="18" t="s">
        <v>214</v>
      </c>
      <c r="D416" s="18" t="s">
        <v>214</v>
      </c>
      <c r="E416" s="18">
        <v>9.18392953295003E-3</v>
      </c>
      <c r="F416" s="18">
        <v>4.7956835506051164E-3</v>
      </c>
      <c r="G416" s="18">
        <v>3.213077413310594E-3</v>
      </c>
      <c r="H416" s="25">
        <v>2.4677733884951002E-3</v>
      </c>
      <c r="I416" s="18">
        <v>2.3852417759759681E-3</v>
      </c>
    </row>
    <row r="417" spans="1:9" x14ac:dyDescent="0.35">
      <c r="A417" s="14" t="s">
        <v>204</v>
      </c>
      <c r="B417" s="18">
        <v>1.102650160794281E-2</v>
      </c>
      <c r="C417" s="18" t="s">
        <v>214</v>
      </c>
      <c r="D417" s="18" t="s">
        <v>214</v>
      </c>
      <c r="E417" s="18">
        <v>1.079404249149443E-2</v>
      </c>
      <c r="F417" s="25">
        <v>1.102650160794281E-2</v>
      </c>
      <c r="G417" s="18">
        <v>1.0546257042192539E-2</v>
      </c>
      <c r="H417" s="18">
        <v>8.0999518932026449E-3</v>
      </c>
      <c r="I417" s="18">
        <v>7.8290590737120046E-3</v>
      </c>
    </row>
    <row r="418" spans="1:9" x14ac:dyDescent="0.35">
      <c r="A418" s="14" t="s">
        <v>213</v>
      </c>
      <c r="B418" s="1">
        <v>-2.4698193542394589</v>
      </c>
      <c r="C418" s="1" t="s">
        <v>214</v>
      </c>
      <c r="D418" s="1" t="s">
        <v>214</v>
      </c>
      <c r="E418" s="1">
        <v>-8.6966056311963538</v>
      </c>
      <c r="F418" s="1">
        <v>-2.4698193542394589</v>
      </c>
      <c r="G418" s="1">
        <v>-2.0696338097699241</v>
      </c>
      <c r="H418" s="1">
        <v>0.71753328781109993</v>
      </c>
      <c r="I418" s="1">
        <v>1.6238331453158901</v>
      </c>
    </row>
    <row r="420" spans="1:9" x14ac:dyDescent="0.35">
      <c r="C420" s="187"/>
      <c r="D420" s="187"/>
      <c r="E420" s="187"/>
      <c r="F420" s="187"/>
      <c r="G420" s="170"/>
      <c r="H420" s="170"/>
      <c r="I420" s="170"/>
    </row>
    <row r="421" spans="1:9" ht="29" x14ac:dyDescent="0.35">
      <c r="A421" s="12" t="s">
        <v>513</v>
      </c>
      <c r="B421" s="13" t="s">
        <v>208</v>
      </c>
      <c r="C421" s="13" t="s">
        <v>458</v>
      </c>
      <c r="D421" s="13" t="s">
        <v>466</v>
      </c>
      <c r="E421" s="13" t="s">
        <v>467</v>
      </c>
      <c r="F421" s="13" t="s">
        <v>468</v>
      </c>
      <c r="G421" s="13" t="s">
        <v>634</v>
      </c>
      <c r="H421" s="13" t="s">
        <v>641</v>
      </c>
      <c r="I421" s="13" t="s">
        <v>647</v>
      </c>
    </row>
    <row r="422" spans="1:9" x14ac:dyDescent="0.35">
      <c r="A422" s="14" t="s">
        <v>209</v>
      </c>
      <c r="B422" s="15">
        <v>170</v>
      </c>
      <c r="C422" s="15">
        <v>0</v>
      </c>
      <c r="D422" s="15">
        <v>0</v>
      </c>
      <c r="E422" s="15">
        <v>82</v>
      </c>
      <c r="F422" s="15">
        <v>170</v>
      </c>
      <c r="G422" s="15">
        <v>240</v>
      </c>
      <c r="H422" s="15">
        <v>311</v>
      </c>
      <c r="I422" s="15">
        <v>316</v>
      </c>
    </row>
    <row r="423" spans="1:9" x14ac:dyDescent="0.35">
      <c r="A423" s="16" t="s">
        <v>336</v>
      </c>
      <c r="B423" s="17">
        <v>0.27215061294151138</v>
      </c>
      <c r="C423" s="168" t="s">
        <v>214</v>
      </c>
      <c r="D423" s="168" t="s">
        <v>214</v>
      </c>
      <c r="E423" s="17">
        <v>0.28813822008684392</v>
      </c>
      <c r="F423" s="17">
        <v>0.27215061294151149</v>
      </c>
      <c r="G423" s="17">
        <v>0.27854808769289302</v>
      </c>
      <c r="H423" s="17">
        <v>0.30134865733466321</v>
      </c>
      <c r="I423" s="17">
        <v>0.30261129958045091</v>
      </c>
    </row>
    <row r="424" spans="1:9" x14ac:dyDescent="0.35">
      <c r="A424" s="16" t="s">
        <v>194</v>
      </c>
      <c r="B424" s="17">
        <v>0.36261466885555871</v>
      </c>
      <c r="C424" s="168" t="s">
        <v>214</v>
      </c>
      <c r="D424" s="168" t="s">
        <v>214</v>
      </c>
      <c r="E424" s="17">
        <v>0.41694279759841918</v>
      </c>
      <c r="F424" s="17">
        <v>0.36261466885555871</v>
      </c>
      <c r="G424" s="17">
        <v>0.40488474822933129</v>
      </c>
      <c r="H424" s="17">
        <v>0.40735515037188591</v>
      </c>
      <c r="I424" s="17">
        <v>0.41128454486140059</v>
      </c>
    </row>
    <row r="425" spans="1:9" x14ac:dyDescent="0.35">
      <c r="A425" s="16" t="s">
        <v>195</v>
      </c>
      <c r="B425" s="17">
        <v>0.36523471820292991</v>
      </c>
      <c r="C425" s="168" t="s">
        <v>214</v>
      </c>
      <c r="D425" s="168" t="s">
        <v>214</v>
      </c>
      <c r="E425" s="154">
        <v>0.2949189823147369</v>
      </c>
      <c r="F425" s="17">
        <v>0.36523471820292991</v>
      </c>
      <c r="G425" s="17">
        <v>0.3165671640777758</v>
      </c>
      <c r="H425" s="17">
        <v>0.29129619229345088</v>
      </c>
      <c r="I425" s="17">
        <v>0.28610415555814839</v>
      </c>
    </row>
    <row r="426" spans="1:9" x14ac:dyDescent="0.35">
      <c r="A426" s="14" t="s">
        <v>210</v>
      </c>
      <c r="B426" s="18">
        <v>0.12872060388755749</v>
      </c>
      <c r="C426" s="18" t="s">
        <v>214</v>
      </c>
      <c r="D426" s="18" t="s">
        <v>214</v>
      </c>
      <c r="E426" s="18">
        <v>0.1604278501266235</v>
      </c>
      <c r="F426" s="18">
        <v>0.12872060388755749</v>
      </c>
      <c r="G426" s="18">
        <v>0.1221724262046887</v>
      </c>
      <c r="H426" s="18">
        <v>0.13625020018111339</v>
      </c>
      <c r="I426" s="18">
        <v>0.13757380146553891</v>
      </c>
    </row>
    <row r="427" spans="1:9" x14ac:dyDescent="0.35">
      <c r="A427" s="14" t="s">
        <v>197</v>
      </c>
      <c r="B427" s="18">
        <v>0.14343000905395401</v>
      </c>
      <c r="C427" s="18" t="s">
        <v>214</v>
      </c>
      <c r="D427" s="18" t="s">
        <v>214</v>
      </c>
      <c r="E427" s="18">
        <v>0.12771036996022039</v>
      </c>
      <c r="F427" s="18">
        <v>0.14343000905395401</v>
      </c>
      <c r="G427" s="18">
        <v>0.15637566148820431</v>
      </c>
      <c r="H427" s="18">
        <v>0.16509845715354979</v>
      </c>
      <c r="I427" s="25">
        <v>0.16503749811491189</v>
      </c>
    </row>
    <row r="428" spans="1:9" x14ac:dyDescent="0.35">
      <c r="A428" s="14" t="s">
        <v>198</v>
      </c>
      <c r="B428" s="18">
        <v>0.19982557999651451</v>
      </c>
      <c r="C428" s="18" t="s">
        <v>214</v>
      </c>
      <c r="D428" s="18" t="s">
        <v>214</v>
      </c>
      <c r="E428" s="18">
        <v>0.2352295691551724</v>
      </c>
      <c r="F428" s="18">
        <v>0.19982557999651451</v>
      </c>
      <c r="G428" s="18">
        <v>0.21387084302000939</v>
      </c>
      <c r="H428" s="18">
        <v>0.21100356845621859</v>
      </c>
      <c r="I428" s="18">
        <v>0.21843271561436381</v>
      </c>
    </row>
    <row r="429" spans="1:9" x14ac:dyDescent="0.35">
      <c r="A429" s="14" t="s">
        <v>199</v>
      </c>
      <c r="B429" s="18">
        <v>0.1627890888590442</v>
      </c>
      <c r="C429" s="18" t="s">
        <v>214</v>
      </c>
      <c r="D429" s="18" t="s">
        <v>214</v>
      </c>
      <c r="E429" s="18">
        <v>0.1817132284432468</v>
      </c>
      <c r="F429" s="25">
        <v>0.1627890888590442</v>
      </c>
      <c r="G429" s="25">
        <v>0.19101390520932199</v>
      </c>
      <c r="H429" s="18">
        <v>0.19635158191566721</v>
      </c>
      <c r="I429" s="18">
        <v>0.19285182924703681</v>
      </c>
    </row>
    <row r="430" spans="1:9" x14ac:dyDescent="0.35">
      <c r="A430" s="14" t="s">
        <v>200</v>
      </c>
      <c r="B430" s="18">
        <v>0.16585490362080599</v>
      </c>
      <c r="C430" s="18" t="s">
        <v>214</v>
      </c>
      <c r="D430" s="18" t="s">
        <v>214</v>
      </c>
      <c r="E430" s="18">
        <v>0.13299481754055029</v>
      </c>
      <c r="F430" s="18">
        <v>0.1658549036208061</v>
      </c>
      <c r="G430" s="18">
        <v>0.13924464398667119</v>
      </c>
      <c r="H430" s="18">
        <v>0.12769943472343051</v>
      </c>
      <c r="I430" s="18">
        <v>0.12542333165822639</v>
      </c>
    </row>
    <row r="431" spans="1:9" x14ac:dyDescent="0.35">
      <c r="A431" s="14" t="s">
        <v>201</v>
      </c>
      <c r="B431" s="18">
        <v>0.1086544386929096</v>
      </c>
      <c r="C431" s="18" t="s">
        <v>214</v>
      </c>
      <c r="D431" s="18" t="s">
        <v>214</v>
      </c>
      <c r="E431" s="18">
        <v>8.0101752582237076E-2</v>
      </c>
      <c r="F431" s="18">
        <v>0.1086544386929096</v>
      </c>
      <c r="G431" s="18">
        <v>9.7435874817771106E-2</v>
      </c>
      <c r="H431" s="25">
        <v>8.8698844574788632E-2</v>
      </c>
      <c r="I431" s="25">
        <v>8.7117884467533782E-2</v>
      </c>
    </row>
    <row r="432" spans="1:9" x14ac:dyDescent="0.35">
      <c r="A432" s="14" t="s">
        <v>202</v>
      </c>
      <c r="B432" s="18">
        <v>3.1336315553303989E-2</v>
      </c>
      <c r="C432" s="18" t="s">
        <v>214</v>
      </c>
      <c r="D432" s="18" t="s">
        <v>214</v>
      </c>
      <c r="E432" s="18">
        <v>2.5404242681516781E-2</v>
      </c>
      <c r="F432" s="18">
        <v>3.1336315553304003E-2</v>
      </c>
      <c r="G432" s="18">
        <v>2.5764195762925109E-2</v>
      </c>
      <c r="H432" s="18">
        <v>2.6448275747316261E-2</v>
      </c>
      <c r="I432" s="18">
        <v>2.5976864095195739E-2</v>
      </c>
    </row>
    <row r="433" spans="1:9" x14ac:dyDescent="0.35">
      <c r="A433" s="14" t="s">
        <v>211</v>
      </c>
      <c r="B433" s="18">
        <v>3.4294599687807271E-2</v>
      </c>
      <c r="C433" s="18" t="s">
        <v>214</v>
      </c>
      <c r="D433" s="18" t="s">
        <v>214</v>
      </c>
      <c r="E433" s="18">
        <v>1.556494013966718E-2</v>
      </c>
      <c r="F433" s="18">
        <v>3.4294599687807278E-2</v>
      </c>
      <c r="G433" s="18">
        <v>2.4493034331958211E-2</v>
      </c>
      <c r="H433" s="18">
        <v>1.9008080972024669E-2</v>
      </c>
      <c r="I433" s="18">
        <v>1.8669282672268889E-2</v>
      </c>
    </row>
    <row r="434" spans="1:9" x14ac:dyDescent="0.35">
      <c r="A434" s="14" t="s">
        <v>212</v>
      </c>
      <c r="B434" s="18">
        <v>5.4329496087855804E-3</v>
      </c>
      <c r="C434" s="18" t="s">
        <v>214</v>
      </c>
      <c r="D434" s="18" t="s">
        <v>214</v>
      </c>
      <c r="E434" s="18">
        <v>1.127973345973996E-2</v>
      </c>
      <c r="F434" s="18">
        <v>5.4329496087855804E-3</v>
      </c>
      <c r="G434" s="18">
        <v>8.2855038465269697E-3</v>
      </c>
      <c r="H434" s="18">
        <v>6.4300537807728273E-3</v>
      </c>
      <c r="I434" s="18">
        <v>6.3154450892657626E-3</v>
      </c>
    </row>
    <row r="435" spans="1:9" x14ac:dyDescent="0.35">
      <c r="A435" s="14" t="s">
        <v>203</v>
      </c>
      <c r="B435" s="18">
        <v>0</v>
      </c>
      <c r="C435" s="18" t="s">
        <v>214</v>
      </c>
      <c r="D435" s="18" t="s">
        <v>214</v>
      </c>
      <c r="E435" s="18">
        <v>0</v>
      </c>
      <c r="F435" s="18">
        <v>0</v>
      </c>
      <c r="G435" s="18">
        <v>3.9178035007152237E-3</v>
      </c>
      <c r="H435" s="18">
        <v>3.0404532637636188E-3</v>
      </c>
      <c r="I435" s="18">
        <v>2.9862605023919628E-3</v>
      </c>
    </row>
    <row r="436" spans="1:9" x14ac:dyDescent="0.35">
      <c r="A436" s="14" t="s">
        <v>204</v>
      </c>
      <c r="B436" s="18">
        <v>1.9661511039317341E-2</v>
      </c>
      <c r="C436" s="18" t="s">
        <v>214</v>
      </c>
      <c r="D436" s="18" t="s">
        <v>214</v>
      </c>
      <c r="E436" s="18">
        <v>2.9573495911025611E-2</v>
      </c>
      <c r="F436" s="18">
        <v>1.9661511039317341E-2</v>
      </c>
      <c r="G436" s="18">
        <v>1.7426107831207991E-2</v>
      </c>
      <c r="H436" s="18">
        <v>1.997104923135426E-2</v>
      </c>
      <c r="I436" s="18">
        <v>1.961508707326581E-2</v>
      </c>
    </row>
    <row r="437" spans="1:9" x14ac:dyDescent="0.35">
      <c r="A437" s="14" t="s">
        <v>213</v>
      </c>
      <c r="B437" s="1">
        <v>-9.3084105261418379</v>
      </c>
      <c r="C437" s="1" t="s">
        <v>214</v>
      </c>
      <c r="D437" s="1" t="s">
        <v>214</v>
      </c>
      <c r="E437" s="1">
        <v>-0.6780762227892958</v>
      </c>
      <c r="F437" s="1">
        <v>-9.3084105261418344</v>
      </c>
      <c r="G437" s="1">
        <v>-3.8019076384882742</v>
      </c>
      <c r="H437" s="1">
        <v>1.0052465041212399</v>
      </c>
      <c r="I437" s="1">
        <v>1.65071440223025</v>
      </c>
    </row>
    <row r="440" spans="1:9" x14ac:dyDescent="0.35">
      <c r="A440" s="1" t="s">
        <v>215</v>
      </c>
    </row>
    <row r="442" spans="1:9" x14ac:dyDescent="0.35">
      <c r="B442" s="3" t="s">
        <v>216</v>
      </c>
    </row>
    <row r="443" spans="1:9" x14ac:dyDescent="0.35">
      <c r="B443" s="1" t="s">
        <v>217</v>
      </c>
    </row>
  </sheetData>
  <mergeCells count="23">
    <mergeCell ref="C420:F420"/>
    <mergeCell ref="C325:F325"/>
    <mergeCell ref="C344:F344"/>
    <mergeCell ref="C363:F363"/>
    <mergeCell ref="C382:F382"/>
    <mergeCell ref="C401:F401"/>
    <mergeCell ref="C231:F231"/>
    <mergeCell ref="C249:F249"/>
    <mergeCell ref="C268:F268"/>
    <mergeCell ref="C287:F287"/>
    <mergeCell ref="C306:F306"/>
    <mergeCell ref="C212:F212"/>
    <mergeCell ref="C4:F4"/>
    <mergeCell ref="C23:F23"/>
    <mergeCell ref="C42:F42"/>
    <mergeCell ref="C61:F61"/>
    <mergeCell ref="C80:F80"/>
    <mergeCell ref="C99:F99"/>
    <mergeCell ref="C118:F118"/>
    <mergeCell ref="C137:F137"/>
    <mergeCell ref="C156:F156"/>
    <mergeCell ref="C175:F175"/>
    <mergeCell ref="C194:F19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E9265-C055-4040-A6ED-D5079090C4A3}">
  <sheetPr codeName="Sheet19">
    <tabColor theme="5" tint="0.59999389629810485"/>
  </sheetPr>
  <dimension ref="B1:C50"/>
  <sheetViews>
    <sheetView zoomScale="80" zoomScaleNormal="80" workbookViewId="0">
      <selection activeCell="C6" sqref="C6"/>
    </sheetView>
  </sheetViews>
  <sheetFormatPr defaultColWidth="9.453125" defaultRowHeight="14.5" x14ac:dyDescent="0.35"/>
  <cols>
    <col min="1" max="1" width="1.54296875" style="31" customWidth="1"/>
    <col min="2" max="2" width="49.1796875" style="8" customWidth="1"/>
    <col min="3" max="3" width="18.1796875" style="31" customWidth="1"/>
    <col min="4" max="16384" width="9.453125" style="31"/>
  </cols>
  <sheetData>
    <row r="1" spans="2:3" ht="6.75" customHeight="1" thickBot="1" x14ac:dyDescent="0.4">
      <c r="B1" s="30"/>
    </row>
    <row r="2" spans="2:3" ht="41.25" customHeight="1" thickBot="1" x14ac:dyDescent="0.4">
      <c r="B2" s="55" t="s">
        <v>556</v>
      </c>
      <c r="C2" s="54" t="s">
        <v>469</v>
      </c>
    </row>
    <row r="3" spans="2:3" s="2" customFormat="1" ht="15" thickBot="1" x14ac:dyDescent="0.4">
      <c r="B3" s="29"/>
      <c r="C3" s="53"/>
    </row>
    <row r="4" spans="2:3" x14ac:dyDescent="0.35">
      <c r="B4" s="96" t="s">
        <v>139</v>
      </c>
      <c r="C4" s="98"/>
    </row>
    <row r="5" spans="2:3" x14ac:dyDescent="0.35">
      <c r="B5" s="163" t="s">
        <v>31</v>
      </c>
      <c r="C5" s="164"/>
    </row>
    <row r="6" spans="2:3" s="48" customFormat="1" x14ac:dyDescent="0.35">
      <c r="B6" s="49" t="s">
        <v>140</v>
      </c>
      <c r="C6" s="51" t="e">
        <f>'Netherlands (Month)'!#REF!</f>
        <v>#REF!</v>
      </c>
    </row>
    <row r="7" spans="2:3" s="48" customFormat="1" x14ac:dyDescent="0.35">
      <c r="B7" s="49" t="s">
        <v>141</v>
      </c>
      <c r="C7" s="51" t="e">
        <f t="shared" ref="C7" si="0">C41</f>
        <v>#REF!</v>
      </c>
    </row>
    <row r="8" spans="2:3" x14ac:dyDescent="0.35">
      <c r="B8" s="28" t="s">
        <v>142</v>
      </c>
      <c r="C8" s="43" t="e">
        <f>'Netherlands (Month)'!#REF!</f>
        <v>#REF!</v>
      </c>
    </row>
    <row r="9" spans="2:3" x14ac:dyDescent="0.35">
      <c r="B9" s="28" t="s">
        <v>143</v>
      </c>
      <c r="C9" s="43" t="e">
        <f>'Netherlands (Month)'!#REF!</f>
        <v>#REF!</v>
      </c>
    </row>
    <row r="10" spans="2:3" x14ac:dyDescent="0.35">
      <c r="B10" s="28" t="s">
        <v>144</v>
      </c>
      <c r="C10" s="43" t="e">
        <f>'Netherlands (Month)'!#REF!</f>
        <v>#REF!</v>
      </c>
    </row>
    <row r="11" spans="2:3" x14ac:dyDescent="0.35">
      <c r="B11" s="29"/>
      <c r="C11" s="53"/>
    </row>
    <row r="12" spans="2:3" x14ac:dyDescent="0.35">
      <c r="B12" s="90" t="s">
        <v>145</v>
      </c>
      <c r="C12" s="92"/>
    </row>
    <row r="13" spans="2:3" x14ac:dyDescent="0.35">
      <c r="B13" s="86" t="s">
        <v>54</v>
      </c>
      <c r="C13" s="88"/>
    </row>
    <row r="14" spans="2:3" x14ac:dyDescent="0.35">
      <c r="B14" s="28" t="s">
        <v>337</v>
      </c>
      <c r="C14" s="51" t="e">
        <f>'Netherlands (Month)'!#REF!</f>
        <v>#REF!</v>
      </c>
    </row>
    <row r="15" spans="2:3" x14ac:dyDescent="0.35">
      <c r="B15" s="28" t="s">
        <v>338</v>
      </c>
      <c r="C15" s="51" t="e">
        <f t="shared" ref="C15" si="1">C42</f>
        <v>#REF!</v>
      </c>
    </row>
    <row r="16" spans="2:3" x14ac:dyDescent="0.35">
      <c r="B16" s="28" t="s">
        <v>339</v>
      </c>
      <c r="C16" s="43" t="e">
        <f>'Netherlands (Month)'!#REF!</f>
        <v>#REF!</v>
      </c>
    </row>
    <row r="17" spans="2:3" x14ac:dyDescent="0.35">
      <c r="B17" s="28" t="s">
        <v>340</v>
      </c>
      <c r="C17" s="43" t="e">
        <f>'Netherlands (Month)'!#REF!</f>
        <v>#REF!</v>
      </c>
    </row>
    <row r="18" spans="2:3" x14ac:dyDescent="0.35">
      <c r="B18" s="28" t="s">
        <v>341</v>
      </c>
      <c r="C18" s="43" t="e">
        <f>'Netherlands (Month)'!#REF!</f>
        <v>#REF!</v>
      </c>
    </row>
    <row r="19" spans="2:3" x14ac:dyDescent="0.35">
      <c r="B19" s="27"/>
      <c r="C19" s="33"/>
    </row>
    <row r="20" spans="2:3" x14ac:dyDescent="0.35">
      <c r="B20" s="86" t="s">
        <v>55</v>
      </c>
      <c r="C20" s="88"/>
    </row>
    <row r="21" spans="2:3" x14ac:dyDescent="0.35">
      <c r="B21" s="28" t="s">
        <v>342</v>
      </c>
      <c r="C21" s="51" t="e">
        <f>'Netherlands (Month)'!#REF!</f>
        <v>#REF!</v>
      </c>
    </row>
    <row r="22" spans="2:3" x14ac:dyDescent="0.35">
      <c r="B22" s="28" t="s">
        <v>343</v>
      </c>
      <c r="C22" s="51" t="e">
        <f>C43</f>
        <v>#REF!</v>
      </c>
    </row>
    <row r="23" spans="2:3" x14ac:dyDescent="0.35">
      <c r="B23" s="28" t="s">
        <v>344</v>
      </c>
      <c r="C23" s="43" t="e">
        <f>'Netherlands (Month)'!#REF!</f>
        <v>#REF!</v>
      </c>
    </row>
    <row r="24" spans="2:3" x14ac:dyDescent="0.35">
      <c r="B24" s="28" t="s">
        <v>345</v>
      </c>
      <c r="C24" s="43" t="e">
        <f>'Netherlands (Month)'!#REF!</f>
        <v>#REF!</v>
      </c>
    </row>
    <row r="25" spans="2:3" x14ac:dyDescent="0.35">
      <c r="B25" s="28" t="s">
        <v>346</v>
      </c>
      <c r="C25" s="43" t="e">
        <f>'Netherlands (Month)'!#REF!</f>
        <v>#REF!</v>
      </c>
    </row>
    <row r="26" spans="2:3" x14ac:dyDescent="0.35">
      <c r="B26" s="37"/>
      <c r="C26" s="169"/>
    </row>
    <row r="27" spans="2:3" x14ac:dyDescent="0.35">
      <c r="B27" s="86" t="s">
        <v>108</v>
      </c>
      <c r="C27" s="88"/>
    </row>
    <row r="28" spans="2:3" x14ac:dyDescent="0.35">
      <c r="B28" s="28" t="s">
        <v>460</v>
      </c>
      <c r="C28" s="51" t="e">
        <f>'Netherlands (Month)'!#REF!</f>
        <v>#REF!</v>
      </c>
    </row>
    <row r="29" spans="2:3" x14ac:dyDescent="0.35">
      <c r="B29" s="28" t="s">
        <v>461</v>
      </c>
      <c r="C29" s="51" t="e">
        <f>C44</f>
        <v>#REF!</v>
      </c>
    </row>
    <row r="30" spans="2:3" x14ac:dyDescent="0.35">
      <c r="B30" s="28" t="s">
        <v>462</v>
      </c>
      <c r="C30" s="43" t="e">
        <f>'Netherlands (Month)'!#REF!</f>
        <v>#REF!</v>
      </c>
    </row>
    <row r="31" spans="2:3" x14ac:dyDescent="0.35">
      <c r="B31" s="28" t="s">
        <v>463</v>
      </c>
      <c r="C31" s="43" t="e">
        <f>'Netherlands (Month)'!#REF!</f>
        <v>#REF!</v>
      </c>
    </row>
    <row r="32" spans="2:3" x14ac:dyDescent="0.35">
      <c r="B32" s="28" t="s">
        <v>464</v>
      </c>
      <c r="C32" s="43" t="e">
        <f>'Netherlands (Month)'!#REF!</f>
        <v>#REF!</v>
      </c>
    </row>
    <row r="33" spans="2:3" x14ac:dyDescent="0.35">
      <c r="B33" s="27"/>
      <c r="C33" s="33"/>
    </row>
    <row r="34" spans="2:3" x14ac:dyDescent="0.35">
      <c r="B34" s="93" t="s">
        <v>167</v>
      </c>
      <c r="C34" s="95"/>
    </row>
    <row r="35" spans="2:3" x14ac:dyDescent="0.35">
      <c r="B35" s="28" t="s">
        <v>25</v>
      </c>
      <c r="C35" s="51" t="e">
        <f>C6</f>
        <v>#REF!</v>
      </c>
    </row>
    <row r="36" spans="2:3" x14ac:dyDescent="0.35">
      <c r="B36" s="28" t="s">
        <v>54</v>
      </c>
      <c r="C36" s="51" t="e">
        <f>C14</f>
        <v>#REF!</v>
      </c>
    </row>
    <row r="37" spans="2:3" x14ac:dyDescent="0.35">
      <c r="B37" s="28" t="s">
        <v>55</v>
      </c>
      <c r="C37" s="51" t="e">
        <f>C21</f>
        <v>#REF!</v>
      </c>
    </row>
    <row r="38" spans="2:3" x14ac:dyDescent="0.35">
      <c r="B38" s="28" t="s">
        <v>108</v>
      </c>
      <c r="C38" s="51" t="e">
        <f>C28</f>
        <v>#REF!</v>
      </c>
    </row>
    <row r="39" spans="2:3" x14ac:dyDescent="0.35">
      <c r="B39" s="58"/>
      <c r="C39" s="33"/>
    </row>
    <row r="40" spans="2:3" x14ac:dyDescent="0.35">
      <c r="B40" s="93" t="s">
        <v>168</v>
      </c>
      <c r="C40" s="95"/>
    </row>
    <row r="41" spans="2:3" x14ac:dyDescent="0.35">
      <c r="B41" s="28" t="s">
        <v>25</v>
      </c>
      <c r="C41" s="51" t="e">
        <f>RANK(C35,C$35:C$38,0)</f>
        <v>#REF!</v>
      </c>
    </row>
    <row r="42" spans="2:3" x14ac:dyDescent="0.35">
      <c r="B42" s="28" t="s">
        <v>54</v>
      </c>
      <c r="C42" s="51" t="e">
        <f>RANK(C36,C$35:C$38,0)</f>
        <v>#REF!</v>
      </c>
    </row>
    <row r="43" spans="2:3" x14ac:dyDescent="0.35">
      <c r="B43" s="28" t="s">
        <v>55</v>
      </c>
      <c r="C43" s="51" t="e">
        <f>RANK(C37,C$35:C$38,0)</f>
        <v>#REF!</v>
      </c>
    </row>
    <row r="44" spans="2:3" x14ac:dyDescent="0.35">
      <c r="B44" s="28" t="s">
        <v>108</v>
      </c>
      <c r="C44" s="51" t="e">
        <f>RANK(C38,C$35:C$38,0)</f>
        <v>#REF!</v>
      </c>
    </row>
    <row r="45" spans="2:3" x14ac:dyDescent="0.35">
      <c r="B45" s="58"/>
      <c r="C45" s="103"/>
    </row>
    <row r="46" spans="2:3" x14ac:dyDescent="0.35">
      <c r="B46" s="93" t="s">
        <v>169</v>
      </c>
      <c r="C46" s="95"/>
    </row>
    <row r="47" spans="2:3" x14ac:dyDescent="0.35">
      <c r="B47" s="28" t="s">
        <v>25</v>
      </c>
      <c r="C47" s="51" t="e">
        <f>'Netherlands (Month)'!#REF!</f>
        <v>#REF!</v>
      </c>
    </row>
    <row r="48" spans="2:3" x14ac:dyDescent="0.35">
      <c r="B48" s="28" t="s">
        <v>54</v>
      </c>
      <c r="C48" s="51" t="e">
        <f>'Netherlands (Month)'!#REF!</f>
        <v>#REF!</v>
      </c>
    </row>
    <row r="49" spans="2:3" x14ac:dyDescent="0.35">
      <c r="B49" s="28" t="s">
        <v>55</v>
      </c>
      <c r="C49" s="51" t="e">
        <f>'Netherlands (Month)'!#REF!</f>
        <v>#REF!</v>
      </c>
    </row>
    <row r="50" spans="2:3" x14ac:dyDescent="0.35">
      <c r="B50" s="28" t="s">
        <v>108</v>
      </c>
      <c r="C50" s="51" t="e">
        <f>'Netherlands (Month)'!#REF!</f>
        <v>#REF!</v>
      </c>
    </row>
  </sheetData>
  <phoneticPr fontId="5"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D0E1-5BDB-4DFB-8EC4-709DBEDB85A3}">
  <sheetPr codeName="Sheet20">
    <tabColor theme="8" tint="0.59999389629810485"/>
  </sheetPr>
  <dimension ref="B1:E273"/>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31" customWidth="1"/>
    <col min="6" max="16384" width="9.453125" style="31"/>
  </cols>
  <sheetData>
    <row r="1" spans="2:5" ht="6.6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47" t="s">
        <v>22</v>
      </c>
      <c r="D5" s="47" t="s">
        <v>22</v>
      </c>
      <c r="E5" s="47" t="s">
        <v>22</v>
      </c>
    </row>
    <row r="6" spans="2:5" x14ac:dyDescent="0.35">
      <c r="B6" s="163"/>
      <c r="C6" s="40">
        <f>'Netherlands Crunch Outputs'!G21</f>
        <v>22.590758153341369</v>
      </c>
      <c r="D6" s="40">
        <f>'Netherlands Crunch Outputs'!H21</f>
        <v>20.112431239447069</v>
      </c>
      <c r="E6" s="40">
        <f>'Netherlands Crunch Outputs'!I21</f>
        <v>21.139988171259979</v>
      </c>
    </row>
    <row r="7" spans="2:5" x14ac:dyDescent="0.35">
      <c r="B7" s="41" t="s">
        <v>336</v>
      </c>
      <c r="C7" s="42">
        <f>'Netherlands Crunch Outputs'!G7</f>
        <v>0.38972619574330308</v>
      </c>
      <c r="D7" s="42">
        <f>'Netherlands Crunch Outputs'!H7</f>
        <v>0.36822405416488091</v>
      </c>
      <c r="E7" s="42">
        <f>'Netherlands Crunch Outputs'!I7</f>
        <v>0.37409156601868482</v>
      </c>
    </row>
    <row r="8" spans="2:5" x14ac:dyDescent="0.35">
      <c r="B8" s="41" t="s">
        <v>194</v>
      </c>
      <c r="C8" s="42">
        <f>'Netherlands Crunch Outputs'!G8</f>
        <v>0.44645519004680723</v>
      </c>
      <c r="D8" s="42">
        <f>'Netherlands Crunch Outputs'!H8</f>
        <v>0.46467620406470911</v>
      </c>
      <c r="E8" s="42">
        <f>'Netherlands Crunch Outputs'!I8</f>
        <v>0.46321674967523019</v>
      </c>
    </row>
    <row r="9" spans="2:5" x14ac:dyDescent="0.35">
      <c r="B9" s="41" t="s">
        <v>195</v>
      </c>
      <c r="C9" s="42">
        <f>'Netherlands Crunch Outputs'!G9</f>
        <v>0.16381861420988961</v>
      </c>
      <c r="D9" s="42">
        <f>'Netherlands Crunch Outputs'!H9</f>
        <v>0.16709974177041009</v>
      </c>
      <c r="E9" s="42">
        <f>'Netherlands Crunch Outputs'!I9</f>
        <v>0.1626916843060851</v>
      </c>
    </row>
    <row r="10" spans="2:5" x14ac:dyDescent="0.35">
      <c r="B10" s="28" t="s">
        <v>196</v>
      </c>
      <c r="C10" s="43">
        <f>'Netherlands Crunch Outputs'!G10</f>
        <v>0.20225298329807839</v>
      </c>
      <c r="D10" s="43">
        <f>'Netherlands Crunch Outputs'!H10</f>
        <v>0.18801022130334269</v>
      </c>
      <c r="E10" s="43">
        <f>'Netherlands Crunch Outputs'!I10</f>
        <v>0.19582273767803521</v>
      </c>
    </row>
    <row r="11" spans="2:5" x14ac:dyDescent="0.35">
      <c r="B11" s="28" t="s">
        <v>197</v>
      </c>
      <c r="C11" s="43">
        <f>'Netherlands Crunch Outputs'!G11</f>
        <v>0.1874732124452248</v>
      </c>
      <c r="D11" s="43">
        <f>'Netherlands Crunch Outputs'!H11</f>
        <v>0.18021383286153819</v>
      </c>
      <c r="E11" s="43">
        <f>'Netherlands Crunch Outputs'!I11</f>
        <v>0.17826882834064969</v>
      </c>
    </row>
    <row r="12" spans="2:5" x14ac:dyDescent="0.35">
      <c r="B12" s="28" t="s">
        <v>198</v>
      </c>
      <c r="C12" s="43">
        <f>'Netherlands Crunch Outputs'!G12</f>
        <v>0.27970927455537647</v>
      </c>
      <c r="D12" s="43">
        <f>'Netherlands Crunch Outputs'!H12</f>
        <v>0.28296044605151699</v>
      </c>
      <c r="E12" s="43">
        <f>'Netherlands Crunch Outputs'!I12</f>
        <v>0.28457701930722712</v>
      </c>
    </row>
    <row r="13" spans="2:5" x14ac:dyDescent="0.35">
      <c r="B13" s="28" t="s">
        <v>199</v>
      </c>
      <c r="C13" s="43">
        <f>'Netherlands Crunch Outputs'!G13</f>
        <v>0.16674591549143061</v>
      </c>
      <c r="D13" s="43">
        <f>'Netherlands Crunch Outputs'!H13</f>
        <v>0.18171575801319201</v>
      </c>
      <c r="E13" s="43">
        <f>'Netherlands Crunch Outputs'!I13</f>
        <v>0.1786397303680031</v>
      </c>
    </row>
    <row r="14" spans="2:5" s="34" customFormat="1" x14ac:dyDescent="0.35">
      <c r="B14" s="28" t="s">
        <v>200</v>
      </c>
      <c r="C14" s="43">
        <f>'Netherlands Crunch Outputs'!G14</f>
        <v>7.6006514075930245E-2</v>
      </c>
      <c r="D14" s="43">
        <f>'Netherlands Crunch Outputs'!H14</f>
        <v>8.0787444813511466E-2</v>
      </c>
      <c r="E14" s="43">
        <f>'Netherlands Crunch Outputs'!I14</f>
        <v>7.484612153479879E-2</v>
      </c>
    </row>
    <row r="15" spans="2:5" s="35" customFormat="1" x14ac:dyDescent="0.3">
      <c r="B15" s="44" t="s">
        <v>201</v>
      </c>
      <c r="C15" s="43">
        <f>'Netherlands Crunch Outputs'!G15</f>
        <v>4.6988702770492129E-2</v>
      </c>
      <c r="D15" s="43">
        <f>'Netherlands Crunch Outputs'!H15</f>
        <v>4.6161635341049008E-2</v>
      </c>
      <c r="E15" s="43">
        <f>'Netherlands Crunch Outputs'!I15</f>
        <v>4.9678973841885667E-2</v>
      </c>
    </row>
    <row r="16" spans="2:5" s="36" customFormat="1" x14ac:dyDescent="0.3">
      <c r="B16" s="44" t="s">
        <v>202</v>
      </c>
      <c r="C16" s="43">
        <f>'Netherlands Crunch Outputs'!G16</f>
        <v>1.788907729583069E-2</v>
      </c>
      <c r="D16" s="43">
        <f>'Netherlands Crunch Outputs'!H16</f>
        <v>2.0193941720467939E-2</v>
      </c>
      <c r="E16" s="43">
        <f>'Netherlands Crunch Outputs'!I16</f>
        <v>1.6538512804508389E-2</v>
      </c>
    </row>
    <row r="17" spans="2:5" s="36" customFormat="1" x14ac:dyDescent="0.3">
      <c r="B17" s="44">
        <v>3</v>
      </c>
      <c r="C17" s="43">
        <f>'Netherlands Crunch Outputs'!G17</f>
        <v>1.211364615720632E-2</v>
      </c>
      <c r="D17" s="43">
        <f>'Netherlands Crunch Outputs'!H17</f>
        <v>1.0540911723486181E-2</v>
      </c>
      <c r="E17" s="43">
        <f>'Netherlands Crunch Outputs'!I17</f>
        <v>1.101651128926167E-2</v>
      </c>
    </row>
    <row r="18" spans="2:5" s="36" customFormat="1" x14ac:dyDescent="0.3">
      <c r="B18" s="44">
        <v>2</v>
      </c>
      <c r="C18" s="43">
        <f>'Netherlands Crunch Outputs'!G18</f>
        <v>0</v>
      </c>
      <c r="D18" s="43">
        <f>'Netherlands Crunch Outputs'!H18</f>
        <v>0</v>
      </c>
      <c r="E18" s="43">
        <f>'Netherlands Crunch Outputs'!I18</f>
        <v>0</v>
      </c>
    </row>
    <row r="19" spans="2:5" s="36" customFormat="1" x14ac:dyDescent="0.3">
      <c r="B19" s="44" t="s">
        <v>203</v>
      </c>
      <c r="C19" s="43">
        <f>'Netherlands Crunch Outputs'!G19</f>
        <v>0</v>
      </c>
      <c r="D19" s="43">
        <f>'Netherlands Crunch Outputs'!H19</f>
        <v>0</v>
      </c>
      <c r="E19" s="43">
        <f>'Netherlands Crunch Outputs'!I19</f>
        <v>0</v>
      </c>
    </row>
    <row r="20" spans="2:5" s="36" customFormat="1" x14ac:dyDescent="0.3">
      <c r="B20" s="44" t="s">
        <v>204</v>
      </c>
      <c r="C20" s="43">
        <f>'Netherlands Crunch Outputs'!G20</f>
        <v>1.082067391043017E-2</v>
      </c>
      <c r="D20" s="43">
        <f>'Netherlands Crunch Outputs'!H20</f>
        <v>9.4158081718955511E-3</v>
      </c>
      <c r="E20" s="43">
        <f>'Netherlands Crunch Outputs'!I20</f>
        <v>1.0611564835630539E-2</v>
      </c>
    </row>
    <row r="21" spans="2:5" s="36" customFormat="1" x14ac:dyDescent="0.3">
      <c r="B21" s="56" t="s">
        <v>24</v>
      </c>
      <c r="C21" s="60">
        <f>'Netherlands Crunch Outputs'!G6</f>
        <v>260</v>
      </c>
      <c r="D21" s="60">
        <f>'Netherlands Crunch Outputs'!H6</f>
        <v>296</v>
      </c>
      <c r="E21" s="60">
        <f>'Netherlands Crunch Outputs'!I6</f>
        <v>272</v>
      </c>
    </row>
    <row r="22" spans="2:5" x14ac:dyDescent="0.35">
      <c r="B22" s="44"/>
      <c r="C22" s="109"/>
      <c r="D22" s="109"/>
      <c r="E22" s="109"/>
    </row>
    <row r="23" spans="2:5" x14ac:dyDescent="0.35">
      <c r="B23" s="99" t="s">
        <v>54</v>
      </c>
      <c r="C23" s="39" t="s">
        <v>22</v>
      </c>
      <c r="D23" s="39" t="s">
        <v>22</v>
      </c>
      <c r="E23" s="39" t="s">
        <v>22</v>
      </c>
    </row>
    <row r="24" spans="2:5" x14ac:dyDescent="0.35">
      <c r="B24" s="100"/>
      <c r="C24" s="40">
        <f>'Netherlands Crunch Outputs'!G59</f>
        <v>13.1645072004015</v>
      </c>
      <c r="D24" s="40">
        <f>'Netherlands Crunch Outputs'!H59</f>
        <v>15.57458340613055</v>
      </c>
      <c r="E24" s="40">
        <f>'Netherlands Crunch Outputs'!I59</f>
        <v>13.836481799630819</v>
      </c>
    </row>
    <row r="25" spans="2:5" x14ac:dyDescent="0.35">
      <c r="B25" s="41" t="s">
        <v>336</v>
      </c>
      <c r="C25" s="42">
        <f>'Netherlands Crunch Outputs'!G45</f>
        <v>0.32986538217565731</v>
      </c>
      <c r="D25" s="42">
        <f>'Netherlands Crunch Outputs'!H45</f>
        <v>0.33102770476986199</v>
      </c>
      <c r="E25" s="42">
        <f>'Netherlands Crunch Outputs'!I45</f>
        <v>0.3024702373024889</v>
      </c>
    </row>
    <row r="26" spans="2:5" x14ac:dyDescent="0.35">
      <c r="B26" s="41" t="s">
        <v>194</v>
      </c>
      <c r="C26" s="42">
        <f>'Netherlands Crunch Outputs'!G46</f>
        <v>0.47191430765270032</v>
      </c>
      <c r="D26" s="42">
        <f>'Netherlands Crunch Outputs'!H46</f>
        <v>0.49369042452158152</v>
      </c>
      <c r="E26" s="42">
        <f>'Netherlands Crunch Outputs'!I46</f>
        <v>0.53342434339133027</v>
      </c>
    </row>
    <row r="27" spans="2:5" x14ac:dyDescent="0.35">
      <c r="B27" s="41" t="s">
        <v>195</v>
      </c>
      <c r="C27" s="42">
        <f>'Netherlands Crunch Outputs'!G47</f>
        <v>0.19822031017164229</v>
      </c>
      <c r="D27" s="42">
        <f>'Netherlands Crunch Outputs'!H47</f>
        <v>0.1752818707085565</v>
      </c>
      <c r="E27" s="42">
        <f>'Netherlands Crunch Outputs'!I47</f>
        <v>0.16410541930618069</v>
      </c>
    </row>
    <row r="28" spans="2:5" x14ac:dyDescent="0.35">
      <c r="B28" s="28" t="s">
        <v>196</v>
      </c>
      <c r="C28" s="43">
        <f>'Netherlands Crunch Outputs'!G48</f>
        <v>0.1336888459657575</v>
      </c>
      <c r="D28" s="43">
        <f>'Netherlands Crunch Outputs'!H48</f>
        <v>0.1453670135388043</v>
      </c>
      <c r="E28" s="43">
        <f>'Netherlands Crunch Outputs'!I48</f>
        <v>0.13463556268896859</v>
      </c>
    </row>
    <row r="29" spans="2:5" x14ac:dyDescent="0.35">
      <c r="B29" s="28" t="s">
        <v>197</v>
      </c>
      <c r="C29" s="43">
        <f>'Netherlands Crunch Outputs'!G49</f>
        <v>0.1961765362098998</v>
      </c>
      <c r="D29" s="43">
        <f>'Netherlands Crunch Outputs'!H49</f>
        <v>0.18566069123105769</v>
      </c>
      <c r="E29" s="43">
        <f>'Netherlands Crunch Outputs'!I49</f>
        <v>0.16783467461352031</v>
      </c>
    </row>
    <row r="30" spans="2:5" x14ac:dyDescent="0.35">
      <c r="B30" s="28" t="s">
        <v>198</v>
      </c>
      <c r="C30" s="43">
        <f>'Netherlands Crunch Outputs'!G50</f>
        <v>0.28171162909048991</v>
      </c>
      <c r="D30" s="43">
        <f>'Netherlands Crunch Outputs'!H50</f>
        <v>0.2986278418513203</v>
      </c>
      <c r="E30" s="43">
        <f>'Netherlands Crunch Outputs'!I50</f>
        <v>0.34262356892711687</v>
      </c>
    </row>
    <row r="31" spans="2:5" x14ac:dyDescent="0.35">
      <c r="B31" s="28" t="s">
        <v>199</v>
      </c>
      <c r="C31" s="43">
        <f>'Netherlands Crunch Outputs'!G51</f>
        <v>0.19020267856221049</v>
      </c>
      <c r="D31" s="43">
        <f>'Netherlands Crunch Outputs'!H51</f>
        <v>0.1950625826702613</v>
      </c>
      <c r="E31" s="43">
        <f>'Netherlands Crunch Outputs'!I51</f>
        <v>0.1908007744642134</v>
      </c>
    </row>
    <row r="32" spans="2:5" x14ac:dyDescent="0.35">
      <c r="B32" s="28" t="s">
        <v>200</v>
      </c>
      <c r="C32" s="43">
        <f>'Netherlands Crunch Outputs'!G52</f>
        <v>5.4889749004508978E-2</v>
      </c>
      <c r="D32" s="43">
        <f>'Netherlands Crunch Outputs'!H52</f>
        <v>5.1233776485721839E-2</v>
      </c>
      <c r="E32" s="43">
        <f>'Netherlands Crunch Outputs'!I52</f>
        <v>5.5336055997218803E-2</v>
      </c>
    </row>
    <row r="33" spans="2:5" x14ac:dyDescent="0.35">
      <c r="B33" s="44" t="s">
        <v>201</v>
      </c>
      <c r="C33" s="43">
        <f>'Netherlands Crunch Outputs'!G53</f>
        <v>7.4821788651685969E-2</v>
      </c>
      <c r="D33" s="43">
        <f>'Netherlands Crunch Outputs'!H53</f>
        <v>6.2053653794094409E-2</v>
      </c>
      <c r="E33" s="43">
        <f>'Netherlands Crunch Outputs'!I53</f>
        <v>5.4615473418891808E-2</v>
      </c>
    </row>
    <row r="34" spans="2:5" x14ac:dyDescent="0.35">
      <c r="B34" s="44" t="s">
        <v>202</v>
      </c>
      <c r="C34" s="43">
        <f>'Netherlands Crunch Outputs'!G54</f>
        <v>8.6520676749829595E-3</v>
      </c>
      <c r="D34" s="43">
        <f>'Netherlands Crunch Outputs'!H54</f>
        <v>7.1756158437462046E-3</v>
      </c>
      <c r="E34" s="43">
        <f>'Netherlands Crunch Outputs'!I54</f>
        <v>7.1984599462380887E-3</v>
      </c>
    </row>
    <row r="35" spans="2:5" x14ac:dyDescent="0.35">
      <c r="B35" s="44">
        <v>3</v>
      </c>
      <c r="C35" s="43">
        <f>'Netherlands Crunch Outputs'!G55</f>
        <v>1.178482115715084E-2</v>
      </c>
      <c r="D35" s="43">
        <f>'Netherlands Crunch Outputs'!H55</f>
        <v>9.7737734594330501E-3</v>
      </c>
      <c r="E35" s="43">
        <f>'Netherlands Crunch Outputs'!I55</f>
        <v>2.8634136460437701E-3</v>
      </c>
    </row>
    <row r="36" spans="2:5" x14ac:dyDescent="0.35">
      <c r="B36" s="44">
        <v>2</v>
      </c>
      <c r="C36" s="43">
        <f>'Netherlands Crunch Outputs'!G56</f>
        <v>1.0785865379027719E-2</v>
      </c>
      <c r="D36" s="43">
        <f>'Netherlands Crunch Outputs'!H56</f>
        <v>1.412179049642227E-2</v>
      </c>
      <c r="E36" s="43">
        <f>'Netherlands Crunch Outputs'!I56</f>
        <v>1.416674825844493E-2</v>
      </c>
    </row>
    <row r="37" spans="2:5" x14ac:dyDescent="0.35">
      <c r="B37" s="44" t="s">
        <v>203</v>
      </c>
      <c r="C37" s="43">
        <f>'Netherlands Crunch Outputs'!G57</f>
        <v>8.7630112472804472E-3</v>
      </c>
      <c r="D37" s="43">
        <f>'Netherlands Crunch Outputs'!H57</f>
        <v>7.2676271969908763E-3</v>
      </c>
      <c r="E37" s="43">
        <f>'Netherlands Crunch Outputs'!I57</f>
        <v>9.7842725083613358E-3</v>
      </c>
    </row>
    <row r="38" spans="2:5" x14ac:dyDescent="0.35">
      <c r="B38" s="44" t="s">
        <v>204</v>
      </c>
      <c r="C38" s="43">
        <f>'Netherlands Crunch Outputs'!G58</f>
        <v>2.8523007057005358E-2</v>
      </c>
      <c r="D38" s="43">
        <f>'Netherlands Crunch Outputs'!H58</f>
        <v>2.365563343214783E-2</v>
      </c>
      <c r="E38" s="43">
        <f>'Netherlands Crunch Outputs'!I58</f>
        <v>2.0140995530982E-2</v>
      </c>
    </row>
    <row r="39" spans="2:5" s="36" customFormat="1" x14ac:dyDescent="0.3">
      <c r="B39" s="56" t="s">
        <v>24</v>
      </c>
      <c r="C39" s="60">
        <f>'Netherlands Crunch Outputs'!G44</f>
        <v>168</v>
      </c>
      <c r="D39" s="60">
        <f>'Netherlands Crunch Outputs'!H44</f>
        <v>203</v>
      </c>
      <c r="E39" s="60">
        <f>'Netherlands Crunch Outputs'!I44</f>
        <v>199</v>
      </c>
    </row>
    <row r="40" spans="2:5" x14ac:dyDescent="0.35">
      <c r="B40" s="45"/>
      <c r="C40" s="33"/>
      <c r="D40" s="33"/>
      <c r="E40" s="33"/>
    </row>
    <row r="41" spans="2:5" x14ac:dyDescent="0.35">
      <c r="B41" s="99" t="s">
        <v>55</v>
      </c>
      <c r="C41" s="39" t="s">
        <v>22</v>
      </c>
      <c r="D41" s="39" t="s">
        <v>22</v>
      </c>
      <c r="E41" s="39" t="s">
        <v>22</v>
      </c>
    </row>
    <row r="42" spans="2:5" x14ac:dyDescent="0.35">
      <c r="B42" s="100"/>
      <c r="C42" s="40">
        <f>'Netherlands Crunch Outputs'!G40</f>
        <v>10.872639106825829</v>
      </c>
      <c r="D42" s="40">
        <f>'Netherlands Crunch Outputs'!H40</f>
        <v>9.9592566215549514</v>
      </c>
      <c r="E42" s="40">
        <f>'Netherlands Crunch Outputs'!I40</f>
        <v>9.298373748916072</v>
      </c>
    </row>
    <row r="43" spans="2:5" x14ac:dyDescent="0.35">
      <c r="B43" s="41" t="s">
        <v>336</v>
      </c>
      <c r="C43" s="42">
        <f>'Netherlands Crunch Outputs'!G26</f>
        <v>0.2683650003599794</v>
      </c>
      <c r="D43" s="42">
        <f>'Netherlands Crunch Outputs'!H26</f>
        <v>0.2654910125420521</v>
      </c>
      <c r="E43" s="42">
        <f>'Netherlands Crunch Outputs'!I26</f>
        <v>0.26681679173124079</v>
      </c>
    </row>
    <row r="44" spans="2:5" x14ac:dyDescent="0.35">
      <c r="B44" s="41" t="s">
        <v>194</v>
      </c>
      <c r="C44" s="42">
        <f>'Netherlands Crunch Outputs'!G27</f>
        <v>0.5719963903482993</v>
      </c>
      <c r="D44" s="42">
        <f>'Netherlands Crunch Outputs'!H27</f>
        <v>0.56861054113144527</v>
      </c>
      <c r="E44" s="42">
        <f>'Netherlands Crunch Outputs'!I27</f>
        <v>0.55935015402667909</v>
      </c>
    </row>
    <row r="45" spans="2:5" x14ac:dyDescent="0.35">
      <c r="B45" s="41" t="s">
        <v>195</v>
      </c>
      <c r="C45" s="42">
        <f>'Netherlands Crunch Outputs'!G28</f>
        <v>0.15963860929172111</v>
      </c>
      <c r="D45" s="42">
        <f>'Netherlands Crunch Outputs'!H28</f>
        <v>0.1658984463265025</v>
      </c>
      <c r="E45" s="42">
        <f>'Netherlands Crunch Outputs'!I28</f>
        <v>0.17383305424208001</v>
      </c>
    </row>
    <row r="46" spans="2:5" x14ac:dyDescent="0.35">
      <c r="B46" s="28" t="s">
        <v>196</v>
      </c>
      <c r="C46" s="43">
        <f>'Netherlands Crunch Outputs'!G29</f>
        <v>0.124099607451267</v>
      </c>
      <c r="D46" s="43">
        <f>'Netherlands Crunch Outputs'!H29</f>
        <v>0.1239289288081963</v>
      </c>
      <c r="E46" s="43">
        <f>'Netherlands Crunch Outputs'!I29</f>
        <v>0.1323628680082696</v>
      </c>
    </row>
    <row r="47" spans="2:5" x14ac:dyDescent="0.35">
      <c r="B47" s="28" t="s">
        <v>197</v>
      </c>
      <c r="C47" s="43">
        <f>'Netherlands Crunch Outputs'!G30</f>
        <v>0.1442653929087124</v>
      </c>
      <c r="D47" s="43">
        <f>'Netherlands Crunch Outputs'!H30</f>
        <v>0.14156208373385579</v>
      </c>
      <c r="E47" s="43">
        <f>'Netherlands Crunch Outputs'!I30</f>
        <v>0.1344539237229711</v>
      </c>
    </row>
    <row r="48" spans="2:5" x14ac:dyDescent="0.35">
      <c r="B48" s="28" t="s">
        <v>198</v>
      </c>
      <c r="C48" s="43">
        <f>'Netherlands Crunch Outputs'!G31</f>
        <v>0.37426643394800901</v>
      </c>
      <c r="D48" s="43">
        <f>'Netherlands Crunch Outputs'!H31</f>
        <v>0.36865615674257091</v>
      </c>
      <c r="E48" s="43">
        <f>'Netherlands Crunch Outputs'!I31</f>
        <v>0.32438797534532371</v>
      </c>
    </row>
    <row r="49" spans="2:5" x14ac:dyDescent="0.35">
      <c r="B49" s="28" t="s">
        <v>199</v>
      </c>
      <c r="C49" s="43">
        <f>'Netherlands Crunch Outputs'!G32</f>
        <v>0.1977299564002904</v>
      </c>
      <c r="D49" s="43">
        <f>'Netherlands Crunch Outputs'!H32</f>
        <v>0.19995438438887439</v>
      </c>
      <c r="E49" s="43">
        <f>'Netherlands Crunch Outputs'!I32</f>
        <v>0.23496217868135541</v>
      </c>
    </row>
    <row r="50" spans="2:5" x14ac:dyDescent="0.35">
      <c r="B50" s="28" t="s">
        <v>200</v>
      </c>
      <c r="C50" s="43">
        <f>'Netherlands Crunch Outputs'!G33</f>
        <v>8.6551395438655143E-2</v>
      </c>
      <c r="D50" s="43">
        <f>'Netherlands Crunch Outputs'!H33</f>
        <v>8.9724689852877473E-2</v>
      </c>
      <c r="E50" s="43">
        <f>'Netherlands Crunch Outputs'!I33</f>
        <v>8.8750445519359983E-2</v>
      </c>
    </row>
    <row r="51" spans="2:5" x14ac:dyDescent="0.35">
      <c r="B51" s="44" t="s">
        <v>201</v>
      </c>
      <c r="C51" s="43">
        <f>'Netherlands Crunch Outputs'!G34</f>
        <v>4.8033655334350722E-2</v>
      </c>
      <c r="D51" s="43">
        <f>'Netherlands Crunch Outputs'!H34</f>
        <v>5.455364847069908E-2</v>
      </c>
      <c r="E51" s="43">
        <f>'Netherlands Crunch Outputs'!I34</f>
        <v>5.4560661094059007E-2</v>
      </c>
    </row>
    <row r="52" spans="2:5" x14ac:dyDescent="0.35">
      <c r="B52" s="44" t="s">
        <v>202</v>
      </c>
      <c r="C52" s="43">
        <f>'Netherlands Crunch Outputs'!G35</f>
        <v>0</v>
      </c>
      <c r="D52" s="43">
        <f>'Netherlands Crunch Outputs'!H35</f>
        <v>0</v>
      </c>
      <c r="E52" s="43">
        <f>'Netherlands Crunch Outputs'!I35</f>
        <v>3.7652538072815052E-3</v>
      </c>
    </row>
    <row r="53" spans="2:5" x14ac:dyDescent="0.35">
      <c r="B53" s="44">
        <v>3</v>
      </c>
      <c r="C53" s="43">
        <f>'Netherlands Crunch Outputs'!G36</f>
        <v>4.3303732932164288E-3</v>
      </c>
      <c r="D53" s="43">
        <f>'Netherlands Crunch Outputs'!H36</f>
        <v>3.736919776182214E-3</v>
      </c>
      <c r="E53" s="43">
        <f>'Netherlands Crunch Outputs'!I36</f>
        <v>4.0077290679293616E-3</v>
      </c>
    </row>
    <row r="54" spans="2:5" x14ac:dyDescent="0.35">
      <c r="B54" s="44">
        <v>2</v>
      </c>
      <c r="C54" s="43">
        <f>'Netherlands Crunch Outputs'!G37</f>
        <v>0</v>
      </c>
      <c r="D54" s="43">
        <f>'Netherlands Crunch Outputs'!H37</f>
        <v>0</v>
      </c>
      <c r="E54" s="43">
        <f>'Netherlands Crunch Outputs'!I37</f>
        <v>0</v>
      </c>
    </row>
    <row r="55" spans="2:5" x14ac:dyDescent="0.35">
      <c r="B55" s="44" t="s">
        <v>203</v>
      </c>
      <c r="C55" s="43">
        <f>'Netherlands Crunch Outputs'!G38</f>
        <v>4.6018183164423529E-3</v>
      </c>
      <c r="D55" s="43">
        <f>'Netherlands Crunch Outputs'!H38</f>
        <v>3.971164772341833E-3</v>
      </c>
      <c r="E55" s="43">
        <f>'Netherlands Crunch Outputs'!I38</f>
        <v>0</v>
      </c>
    </row>
    <row r="56" spans="2:5" x14ac:dyDescent="0.35">
      <c r="B56" s="44" t="s">
        <v>204</v>
      </c>
      <c r="C56" s="43">
        <f>'Netherlands Crunch Outputs'!G39</f>
        <v>1.6121366909056481E-2</v>
      </c>
      <c r="D56" s="43">
        <f>'Netherlands Crunch Outputs'!H39</f>
        <v>1.391202345440194E-2</v>
      </c>
      <c r="E56" s="43">
        <f>'Netherlands Crunch Outputs'!I39</f>
        <v>2.2748964753450191E-2</v>
      </c>
    </row>
    <row r="57" spans="2:5" s="36" customFormat="1" x14ac:dyDescent="0.3">
      <c r="B57" s="56" t="s">
        <v>24</v>
      </c>
      <c r="C57" s="60">
        <f>'Netherlands Crunch Outputs'!G25</f>
        <v>193</v>
      </c>
      <c r="D57" s="60">
        <f>'Netherlands Crunch Outputs'!H25</f>
        <v>223</v>
      </c>
      <c r="E57" s="60">
        <f>'Netherlands Crunch Outputs'!I25</f>
        <v>213</v>
      </c>
    </row>
    <row r="58" spans="2:5" x14ac:dyDescent="0.35">
      <c r="B58" s="27"/>
      <c r="C58" s="33"/>
      <c r="D58" s="33"/>
      <c r="E58" s="33"/>
    </row>
    <row r="59" spans="2:5" x14ac:dyDescent="0.35">
      <c r="B59" s="99" t="s">
        <v>108</v>
      </c>
      <c r="C59" s="39" t="s">
        <v>22</v>
      </c>
      <c r="D59" s="39" t="s">
        <v>22</v>
      </c>
      <c r="E59" s="39" t="s">
        <v>22</v>
      </c>
    </row>
    <row r="60" spans="2:5" x14ac:dyDescent="0.35">
      <c r="B60" s="100"/>
      <c r="C60" s="40" t="s">
        <v>43</v>
      </c>
      <c r="D60" s="40" t="s">
        <v>43</v>
      </c>
      <c r="E60" s="40" t="s">
        <v>43</v>
      </c>
    </row>
    <row r="61" spans="2:5" x14ac:dyDescent="0.35">
      <c r="B61" s="41" t="s">
        <v>336</v>
      </c>
      <c r="C61" s="42" t="s">
        <v>43</v>
      </c>
      <c r="D61" s="42" t="s">
        <v>43</v>
      </c>
      <c r="E61" s="42" t="s">
        <v>43</v>
      </c>
    </row>
    <row r="62" spans="2:5" x14ac:dyDescent="0.35">
      <c r="B62" s="41" t="s">
        <v>194</v>
      </c>
      <c r="C62" s="42" t="s">
        <v>43</v>
      </c>
      <c r="D62" s="42" t="s">
        <v>43</v>
      </c>
      <c r="E62" s="42" t="s">
        <v>43</v>
      </c>
    </row>
    <row r="63" spans="2:5" x14ac:dyDescent="0.35">
      <c r="B63" s="41" t="s">
        <v>195</v>
      </c>
      <c r="C63" s="42" t="s">
        <v>43</v>
      </c>
      <c r="D63" s="42" t="s">
        <v>43</v>
      </c>
      <c r="E63" s="42" t="s">
        <v>43</v>
      </c>
    </row>
    <row r="64" spans="2:5" x14ac:dyDescent="0.35">
      <c r="B64" s="28" t="s">
        <v>196</v>
      </c>
      <c r="C64" s="43" t="s">
        <v>43</v>
      </c>
      <c r="D64" s="43" t="s">
        <v>43</v>
      </c>
      <c r="E64" s="43" t="s">
        <v>43</v>
      </c>
    </row>
    <row r="65" spans="2:5" x14ac:dyDescent="0.35">
      <c r="B65" s="44">
        <v>9</v>
      </c>
      <c r="C65" s="43" t="s">
        <v>43</v>
      </c>
      <c r="D65" s="43" t="s">
        <v>43</v>
      </c>
      <c r="E65" s="43" t="s">
        <v>43</v>
      </c>
    </row>
    <row r="66" spans="2:5" x14ac:dyDescent="0.35">
      <c r="B66" s="44">
        <v>8</v>
      </c>
      <c r="C66" s="43" t="s">
        <v>43</v>
      </c>
      <c r="D66" s="43" t="s">
        <v>43</v>
      </c>
      <c r="E66" s="43" t="s">
        <v>43</v>
      </c>
    </row>
    <row r="67" spans="2:5" x14ac:dyDescent="0.35">
      <c r="B67" s="44">
        <v>7</v>
      </c>
      <c r="C67" s="43" t="s">
        <v>43</v>
      </c>
      <c r="D67" s="43" t="s">
        <v>43</v>
      </c>
      <c r="E67" s="43" t="s">
        <v>43</v>
      </c>
    </row>
    <row r="68" spans="2:5" x14ac:dyDescent="0.35">
      <c r="B68" s="44">
        <v>6</v>
      </c>
      <c r="C68" s="43" t="s">
        <v>43</v>
      </c>
      <c r="D68" s="43" t="s">
        <v>43</v>
      </c>
      <c r="E68" s="43" t="s">
        <v>43</v>
      </c>
    </row>
    <row r="69" spans="2:5" x14ac:dyDescent="0.35">
      <c r="B69" s="44">
        <v>5</v>
      </c>
      <c r="C69" s="43" t="s">
        <v>43</v>
      </c>
      <c r="D69" s="43" t="s">
        <v>43</v>
      </c>
      <c r="E69" s="43" t="s">
        <v>43</v>
      </c>
    </row>
    <row r="70" spans="2:5" x14ac:dyDescent="0.35">
      <c r="B70" s="44">
        <v>4</v>
      </c>
      <c r="C70" s="43" t="s">
        <v>43</v>
      </c>
      <c r="D70" s="43" t="s">
        <v>43</v>
      </c>
      <c r="E70" s="43" t="s">
        <v>43</v>
      </c>
    </row>
    <row r="71" spans="2:5" x14ac:dyDescent="0.35">
      <c r="B71" s="44">
        <v>3</v>
      </c>
      <c r="C71" s="43" t="s">
        <v>43</v>
      </c>
      <c r="D71" s="43" t="s">
        <v>43</v>
      </c>
      <c r="E71" s="43" t="s">
        <v>43</v>
      </c>
    </row>
    <row r="72" spans="2:5" x14ac:dyDescent="0.35">
      <c r="B72" s="44">
        <v>2</v>
      </c>
      <c r="C72" s="43" t="s">
        <v>43</v>
      </c>
      <c r="D72" s="43" t="s">
        <v>43</v>
      </c>
      <c r="E72" s="43" t="s">
        <v>43</v>
      </c>
    </row>
    <row r="73" spans="2:5" x14ac:dyDescent="0.35">
      <c r="B73" s="44">
        <v>1</v>
      </c>
      <c r="C73" s="43" t="s">
        <v>43</v>
      </c>
      <c r="D73" s="43" t="s">
        <v>43</v>
      </c>
      <c r="E73" s="43" t="s">
        <v>43</v>
      </c>
    </row>
    <row r="74" spans="2:5" x14ac:dyDescent="0.35">
      <c r="B74" s="44" t="s">
        <v>204</v>
      </c>
      <c r="C74" s="43" t="s">
        <v>43</v>
      </c>
      <c r="D74" s="43" t="s">
        <v>43</v>
      </c>
      <c r="E74" s="43" t="s">
        <v>43</v>
      </c>
    </row>
    <row r="75" spans="2:5" s="36" customFormat="1" x14ac:dyDescent="0.3">
      <c r="B75" s="56" t="s">
        <v>24</v>
      </c>
      <c r="C75" s="60">
        <f>'Netherlands Crunch Outputs'!G82</f>
        <v>50</v>
      </c>
      <c r="D75" s="60">
        <f>'Netherlands Crunch Outputs'!H82</f>
        <v>66</v>
      </c>
      <c r="E75" s="60">
        <f>'Netherlands Crunch Outputs'!I82</f>
        <v>69</v>
      </c>
    </row>
    <row r="76" spans="2:5" x14ac:dyDescent="0.35">
      <c r="B76" s="27"/>
      <c r="C76" s="33"/>
      <c r="D76" s="33"/>
      <c r="E76" s="33"/>
    </row>
    <row r="77" spans="2:5" x14ac:dyDescent="0.35">
      <c r="B77" s="99" t="s">
        <v>347</v>
      </c>
      <c r="C77" s="39" t="s">
        <v>22</v>
      </c>
      <c r="D77" s="39" t="s">
        <v>22</v>
      </c>
      <c r="E77" s="39" t="s">
        <v>22</v>
      </c>
    </row>
    <row r="78" spans="2:5" x14ac:dyDescent="0.35">
      <c r="B78" s="100"/>
      <c r="C78" s="40" t="s">
        <v>43</v>
      </c>
      <c r="D78" s="40" t="s">
        <v>43</v>
      </c>
      <c r="E78" s="40"/>
    </row>
    <row r="79" spans="2:5" x14ac:dyDescent="0.35">
      <c r="B79" s="41" t="s">
        <v>336</v>
      </c>
      <c r="C79" s="42" t="s">
        <v>43</v>
      </c>
      <c r="D79" s="42" t="s">
        <v>43</v>
      </c>
      <c r="E79" s="42"/>
    </row>
    <row r="80" spans="2:5" x14ac:dyDescent="0.35">
      <c r="B80" s="41" t="s">
        <v>194</v>
      </c>
      <c r="C80" s="42" t="s">
        <v>43</v>
      </c>
      <c r="D80" s="42" t="s">
        <v>43</v>
      </c>
      <c r="E80" s="42"/>
    </row>
    <row r="81" spans="2:5" x14ac:dyDescent="0.35">
      <c r="B81" s="41" t="s">
        <v>195</v>
      </c>
      <c r="C81" s="42" t="s">
        <v>43</v>
      </c>
      <c r="D81" s="42" t="s">
        <v>43</v>
      </c>
      <c r="E81" s="42"/>
    </row>
    <row r="82" spans="2:5" x14ac:dyDescent="0.35">
      <c r="B82" s="28" t="s">
        <v>196</v>
      </c>
      <c r="C82" s="43" t="s">
        <v>43</v>
      </c>
      <c r="D82" s="43" t="s">
        <v>43</v>
      </c>
      <c r="E82" s="43"/>
    </row>
    <row r="83" spans="2:5" x14ac:dyDescent="0.35">
      <c r="B83" s="28" t="s">
        <v>197</v>
      </c>
      <c r="C83" s="43" t="s">
        <v>43</v>
      </c>
      <c r="D83" s="43" t="s">
        <v>43</v>
      </c>
      <c r="E83" s="43"/>
    </row>
    <row r="84" spans="2:5" x14ac:dyDescent="0.35">
      <c r="B84" s="28" t="s">
        <v>198</v>
      </c>
      <c r="C84" s="43" t="s">
        <v>43</v>
      </c>
      <c r="D84" s="43" t="s">
        <v>43</v>
      </c>
      <c r="E84" s="43"/>
    </row>
    <row r="85" spans="2:5" x14ac:dyDescent="0.35">
      <c r="B85" s="28" t="s">
        <v>199</v>
      </c>
      <c r="C85" s="43" t="s">
        <v>43</v>
      </c>
      <c r="D85" s="43" t="s">
        <v>43</v>
      </c>
      <c r="E85" s="43"/>
    </row>
    <row r="86" spans="2:5" x14ac:dyDescent="0.35">
      <c r="B86" s="28" t="s">
        <v>200</v>
      </c>
      <c r="C86" s="43" t="s">
        <v>43</v>
      </c>
      <c r="D86" s="43" t="s">
        <v>43</v>
      </c>
      <c r="E86" s="43"/>
    </row>
    <row r="87" spans="2:5" x14ac:dyDescent="0.35">
      <c r="B87" s="44" t="s">
        <v>201</v>
      </c>
      <c r="C87" s="43" t="s">
        <v>43</v>
      </c>
      <c r="D87" s="43" t="s">
        <v>43</v>
      </c>
      <c r="E87" s="43"/>
    </row>
    <row r="88" spans="2:5" x14ac:dyDescent="0.35">
      <c r="B88" s="44" t="s">
        <v>202</v>
      </c>
      <c r="C88" s="43" t="s">
        <v>43</v>
      </c>
      <c r="D88" s="43" t="s">
        <v>43</v>
      </c>
      <c r="E88" s="43"/>
    </row>
    <row r="89" spans="2:5" x14ac:dyDescent="0.35">
      <c r="B89" s="44">
        <v>3</v>
      </c>
      <c r="C89" s="43" t="s">
        <v>43</v>
      </c>
      <c r="D89" s="43" t="s">
        <v>43</v>
      </c>
      <c r="E89" s="43"/>
    </row>
    <row r="90" spans="2:5" x14ac:dyDescent="0.35">
      <c r="B90" s="44">
        <v>2</v>
      </c>
      <c r="C90" s="43" t="s">
        <v>43</v>
      </c>
      <c r="D90" s="43" t="s">
        <v>43</v>
      </c>
      <c r="E90" s="43"/>
    </row>
    <row r="91" spans="2:5" x14ac:dyDescent="0.35">
      <c r="B91" s="44" t="s">
        <v>203</v>
      </c>
      <c r="C91" s="43" t="s">
        <v>43</v>
      </c>
      <c r="D91" s="43" t="s">
        <v>43</v>
      </c>
      <c r="E91" s="43"/>
    </row>
    <row r="92" spans="2:5" x14ac:dyDescent="0.35">
      <c r="B92" s="44" t="s">
        <v>204</v>
      </c>
      <c r="C92" s="43" t="s">
        <v>43</v>
      </c>
      <c r="D92" s="43" t="s">
        <v>43</v>
      </c>
      <c r="E92" s="43"/>
    </row>
    <row r="93" spans="2:5" s="36" customFormat="1" x14ac:dyDescent="0.3">
      <c r="B93" s="56" t="s">
        <v>24</v>
      </c>
      <c r="C93" s="60">
        <f>'Netherlands Crunch Outputs'!G63</f>
        <v>9</v>
      </c>
      <c r="D93" s="60">
        <f>'Netherlands Crunch Outputs'!H63</f>
        <v>9</v>
      </c>
      <c r="E93" s="60"/>
    </row>
    <row r="94" spans="2:5" x14ac:dyDescent="0.35">
      <c r="B94" s="27"/>
      <c r="C94" s="33"/>
      <c r="D94" s="33"/>
      <c r="E94" s="33"/>
    </row>
    <row r="95" spans="2:5" x14ac:dyDescent="0.35">
      <c r="B95" s="99" t="s">
        <v>109</v>
      </c>
      <c r="C95" s="39" t="s">
        <v>22</v>
      </c>
      <c r="D95" s="39" t="s">
        <v>22</v>
      </c>
      <c r="E95" s="39" t="s">
        <v>22</v>
      </c>
    </row>
    <row r="96" spans="2:5" x14ac:dyDescent="0.35">
      <c r="B96" s="100"/>
      <c r="C96" s="40" t="s">
        <v>43</v>
      </c>
      <c r="D96" s="40" t="s">
        <v>43</v>
      </c>
      <c r="E96" s="40" t="s">
        <v>43</v>
      </c>
    </row>
    <row r="97" spans="2:5" x14ac:dyDescent="0.35">
      <c r="B97" s="41" t="s">
        <v>336</v>
      </c>
      <c r="C97" s="42" t="s">
        <v>43</v>
      </c>
      <c r="D97" s="42" t="s">
        <v>43</v>
      </c>
      <c r="E97" s="42" t="s">
        <v>43</v>
      </c>
    </row>
    <row r="98" spans="2:5" x14ac:dyDescent="0.35">
      <c r="B98" s="41" t="s">
        <v>194</v>
      </c>
      <c r="C98" s="42" t="s">
        <v>43</v>
      </c>
      <c r="D98" s="42" t="s">
        <v>43</v>
      </c>
      <c r="E98" s="42" t="s">
        <v>43</v>
      </c>
    </row>
    <row r="99" spans="2:5" x14ac:dyDescent="0.35">
      <c r="B99" s="41" t="s">
        <v>195</v>
      </c>
      <c r="C99" s="42" t="s">
        <v>43</v>
      </c>
      <c r="D99" s="42" t="s">
        <v>43</v>
      </c>
      <c r="E99" s="42" t="s">
        <v>43</v>
      </c>
    </row>
    <row r="100" spans="2:5" x14ac:dyDescent="0.35">
      <c r="B100" s="28" t="s">
        <v>196</v>
      </c>
      <c r="C100" s="43" t="s">
        <v>43</v>
      </c>
      <c r="D100" s="43" t="s">
        <v>43</v>
      </c>
      <c r="E100" s="43" t="s">
        <v>43</v>
      </c>
    </row>
    <row r="101" spans="2:5" x14ac:dyDescent="0.35">
      <c r="B101" s="44">
        <v>9</v>
      </c>
      <c r="C101" s="43" t="s">
        <v>43</v>
      </c>
      <c r="D101" s="43" t="s">
        <v>43</v>
      </c>
      <c r="E101" s="43" t="s">
        <v>43</v>
      </c>
    </row>
    <row r="102" spans="2:5" x14ac:dyDescent="0.35">
      <c r="B102" s="44">
        <v>8</v>
      </c>
      <c r="C102" s="43" t="s">
        <v>43</v>
      </c>
      <c r="D102" s="43" t="s">
        <v>43</v>
      </c>
      <c r="E102" s="43" t="s">
        <v>43</v>
      </c>
    </row>
    <row r="103" spans="2:5" x14ac:dyDescent="0.35">
      <c r="B103" s="44">
        <v>7</v>
      </c>
      <c r="C103" s="43" t="s">
        <v>43</v>
      </c>
      <c r="D103" s="43" t="s">
        <v>43</v>
      </c>
      <c r="E103" s="43" t="s">
        <v>43</v>
      </c>
    </row>
    <row r="104" spans="2:5" x14ac:dyDescent="0.35">
      <c r="B104" s="44">
        <v>6</v>
      </c>
      <c r="C104" s="43" t="s">
        <v>43</v>
      </c>
      <c r="D104" s="43" t="s">
        <v>43</v>
      </c>
      <c r="E104" s="43" t="s">
        <v>43</v>
      </c>
    </row>
    <row r="105" spans="2:5" x14ac:dyDescent="0.35">
      <c r="B105" s="44">
        <v>5</v>
      </c>
      <c r="C105" s="43" t="s">
        <v>43</v>
      </c>
      <c r="D105" s="43" t="s">
        <v>43</v>
      </c>
      <c r="E105" s="43" t="s">
        <v>43</v>
      </c>
    </row>
    <row r="106" spans="2:5" x14ac:dyDescent="0.35">
      <c r="B106" s="44">
        <v>4</v>
      </c>
      <c r="C106" s="43" t="s">
        <v>43</v>
      </c>
      <c r="D106" s="43" t="s">
        <v>43</v>
      </c>
      <c r="E106" s="43" t="s">
        <v>43</v>
      </c>
    </row>
    <row r="107" spans="2:5" x14ac:dyDescent="0.35">
      <c r="B107" s="44">
        <v>3</v>
      </c>
      <c r="C107" s="43" t="s">
        <v>43</v>
      </c>
      <c r="D107" s="43" t="s">
        <v>43</v>
      </c>
      <c r="E107" s="43" t="s">
        <v>43</v>
      </c>
    </row>
    <row r="108" spans="2:5" x14ac:dyDescent="0.35">
      <c r="B108" s="44">
        <v>2</v>
      </c>
      <c r="C108" s="43" t="s">
        <v>43</v>
      </c>
      <c r="D108" s="43" t="s">
        <v>43</v>
      </c>
      <c r="E108" s="43" t="s">
        <v>43</v>
      </c>
    </row>
    <row r="109" spans="2:5" ht="14.5" customHeight="1" x14ac:dyDescent="0.35">
      <c r="B109" s="44">
        <v>1</v>
      </c>
      <c r="C109" s="43" t="s">
        <v>43</v>
      </c>
      <c r="D109" s="43" t="s">
        <v>43</v>
      </c>
      <c r="E109" s="43" t="s">
        <v>43</v>
      </c>
    </row>
    <row r="110" spans="2:5" x14ac:dyDescent="0.35">
      <c r="B110" s="44" t="s">
        <v>204</v>
      </c>
      <c r="C110" s="43" t="s">
        <v>43</v>
      </c>
      <c r="D110" s="43" t="s">
        <v>43</v>
      </c>
      <c r="E110" s="43" t="s">
        <v>43</v>
      </c>
    </row>
    <row r="111" spans="2:5" s="36" customFormat="1" x14ac:dyDescent="0.3">
      <c r="B111" s="56" t="s">
        <v>24</v>
      </c>
      <c r="C111" s="60">
        <f>'Netherlands Crunch Outputs'!G286</f>
        <v>19</v>
      </c>
      <c r="D111" s="60">
        <f>'Netherlands Crunch Outputs'!H286</f>
        <v>26</v>
      </c>
      <c r="E111" s="60">
        <f>'Netherlands Crunch Outputs'!I286</f>
        <v>26</v>
      </c>
    </row>
    <row r="112" spans="2:5" x14ac:dyDescent="0.35">
      <c r="B112" s="27"/>
      <c r="C112" s="33"/>
      <c r="D112" s="33"/>
      <c r="E112" s="33"/>
    </row>
    <row r="113" spans="2:5" x14ac:dyDescent="0.35">
      <c r="B113" s="99" t="s">
        <v>110</v>
      </c>
      <c r="C113" s="39" t="s">
        <v>22</v>
      </c>
      <c r="D113" s="39" t="s">
        <v>22</v>
      </c>
      <c r="E113" s="39" t="s">
        <v>22</v>
      </c>
    </row>
    <row r="114" spans="2:5" x14ac:dyDescent="0.35">
      <c r="B114" s="100"/>
      <c r="C114" s="40">
        <f>'Netherlands Crunch Outputs'!G246</f>
        <v>16.585219464662281</v>
      </c>
      <c r="D114" s="40">
        <f>'Netherlands Crunch Outputs'!H246</f>
        <v>16.356022867410189</v>
      </c>
      <c r="E114" s="40">
        <f>'Netherlands Crunch Outputs'!I246</f>
        <v>18.03926384543071</v>
      </c>
    </row>
    <row r="115" spans="2:5" x14ac:dyDescent="0.35">
      <c r="B115" s="41" t="s">
        <v>336</v>
      </c>
      <c r="C115" s="42">
        <f>'Netherlands Crunch Outputs'!G232</f>
        <v>0.31656161569723712</v>
      </c>
      <c r="D115" s="42">
        <f>'Netherlands Crunch Outputs'!H232</f>
        <v>0.31185482967231748</v>
      </c>
      <c r="E115" s="42">
        <f>'Netherlands Crunch Outputs'!I232</f>
        <v>0.3302295385898612</v>
      </c>
    </row>
    <row r="116" spans="2:5" x14ac:dyDescent="0.35">
      <c r="B116" s="41" t="s">
        <v>194</v>
      </c>
      <c r="C116" s="42">
        <f>'Netherlands Crunch Outputs'!G233</f>
        <v>0.53272896325214891</v>
      </c>
      <c r="D116" s="42">
        <f>'Netherlands Crunch Outputs'!H233</f>
        <v>0.53985056932946707</v>
      </c>
      <c r="E116" s="42">
        <f>'Netherlands Crunch Outputs'!I233</f>
        <v>0.51993356127458479</v>
      </c>
    </row>
    <row r="117" spans="2:5" x14ac:dyDescent="0.35">
      <c r="B117" s="41" t="s">
        <v>195</v>
      </c>
      <c r="C117" s="42">
        <f>'Netherlands Crunch Outputs'!G234</f>
        <v>0.15070942105061419</v>
      </c>
      <c r="D117" s="42">
        <f>'Netherlands Crunch Outputs'!H234</f>
        <v>0.14829460099821559</v>
      </c>
      <c r="E117" s="42">
        <f>'Netherlands Crunch Outputs'!I234</f>
        <v>0.14983690013555409</v>
      </c>
    </row>
    <row r="118" spans="2:5" x14ac:dyDescent="0.35">
      <c r="B118" s="28" t="s">
        <v>196</v>
      </c>
      <c r="C118" s="43">
        <f>'Netherlands Crunch Outputs'!G235</f>
        <v>0.1057740775330014</v>
      </c>
      <c r="D118" s="43">
        <f>'Netherlands Crunch Outputs'!H235</f>
        <v>0.1004496558102683</v>
      </c>
      <c r="E118" s="43">
        <f>'Netherlands Crunch Outputs'!I235</f>
        <v>0.13028064680639481</v>
      </c>
    </row>
    <row r="119" spans="2:5" x14ac:dyDescent="0.35">
      <c r="B119" s="44">
        <v>9</v>
      </c>
      <c r="C119" s="43">
        <f>'Netherlands Crunch Outputs'!G236</f>
        <v>0.21078753816423559</v>
      </c>
      <c r="D119" s="43">
        <f>'Netherlands Crunch Outputs'!H236</f>
        <v>0.21140517386204921</v>
      </c>
      <c r="E119" s="43">
        <f>'Netherlands Crunch Outputs'!I236</f>
        <v>0.19994889178346639</v>
      </c>
    </row>
    <row r="120" spans="2:5" x14ac:dyDescent="0.35">
      <c r="B120" s="44">
        <v>8</v>
      </c>
      <c r="C120" s="43">
        <f>'Netherlands Crunch Outputs'!G237</f>
        <v>0.37917643274031421</v>
      </c>
      <c r="D120" s="43">
        <f>'Netherlands Crunch Outputs'!H237</f>
        <v>0.37040673001603741</v>
      </c>
      <c r="E120" s="43">
        <f>'Netherlands Crunch Outputs'!I237</f>
        <v>0.32594345978088751</v>
      </c>
    </row>
    <row r="121" spans="2:5" x14ac:dyDescent="0.35">
      <c r="B121" s="44">
        <v>7</v>
      </c>
      <c r="C121" s="43">
        <f>'Netherlands Crunch Outputs'!G238</f>
        <v>0.15355253051183471</v>
      </c>
      <c r="D121" s="43">
        <f>'Netherlands Crunch Outputs'!H238</f>
        <v>0.16944383931342971</v>
      </c>
      <c r="E121" s="43">
        <f>'Netherlands Crunch Outputs'!I238</f>
        <v>0.19399010149369719</v>
      </c>
    </row>
    <row r="122" spans="2:5" x14ac:dyDescent="0.35">
      <c r="B122" s="44">
        <v>6</v>
      </c>
      <c r="C122" s="43">
        <f>'Netherlands Crunch Outputs'!G239</f>
        <v>6.0330974492043263E-2</v>
      </c>
      <c r="D122" s="43">
        <f>'Netherlands Crunch Outputs'!H239</f>
        <v>5.7101700941626227E-2</v>
      </c>
      <c r="E122" s="43">
        <f>'Netherlands Crunch Outputs'!I239</f>
        <v>6.6511648837231832E-2</v>
      </c>
    </row>
    <row r="123" spans="2:5" x14ac:dyDescent="0.35">
      <c r="B123" s="44">
        <v>5</v>
      </c>
      <c r="C123" s="43">
        <f>'Netherlands Crunch Outputs'!G240</f>
        <v>4.0967003790460199E-2</v>
      </c>
      <c r="D123" s="43">
        <f>'Netherlands Crunch Outputs'!H240</f>
        <v>4.4011714840756763E-2</v>
      </c>
      <c r="E123" s="43">
        <f>'Netherlands Crunch Outputs'!I240</f>
        <v>4.2544408796926267E-2</v>
      </c>
    </row>
    <row r="124" spans="2:5" x14ac:dyDescent="0.35">
      <c r="B124" s="44">
        <v>4</v>
      </c>
      <c r="C124" s="43">
        <f>'Netherlands Crunch Outputs'!G241</f>
        <v>5.5326169512335379E-3</v>
      </c>
      <c r="D124" s="43">
        <f>'Netherlands Crunch Outputs'!H241</f>
        <v>4.3914374426158656E-3</v>
      </c>
      <c r="E124" s="43">
        <f>'Netherlands Crunch Outputs'!I241</f>
        <v>0</v>
      </c>
    </row>
    <row r="125" spans="2:5" x14ac:dyDescent="0.35">
      <c r="B125" s="44">
        <v>3</v>
      </c>
      <c r="C125" s="43">
        <f>'Netherlands Crunch Outputs'!G242</f>
        <v>1.560240491515312E-2</v>
      </c>
      <c r="D125" s="43">
        <f>'Netherlands Crunch Outputs'!H242</f>
        <v>1.2384191015425511E-2</v>
      </c>
      <c r="E125" s="43">
        <f>'Netherlands Crunch Outputs'!I242</f>
        <v>9.4088584486773843E-3</v>
      </c>
    </row>
    <row r="126" spans="2:5" x14ac:dyDescent="0.35">
      <c r="B126" s="44">
        <v>2</v>
      </c>
      <c r="C126" s="43">
        <f>'Netherlands Crunch Outputs'!G243</f>
        <v>4.4840351341019213E-3</v>
      </c>
      <c r="D126" s="43">
        <f>'Netherlands Crunch Outputs'!H243</f>
        <v>8.036579422245187E-3</v>
      </c>
      <c r="E126" s="43">
        <f>'Netherlands Crunch Outputs'!I243</f>
        <v>4.3281658623181528E-3</v>
      </c>
    </row>
    <row r="127" spans="2:5" x14ac:dyDescent="0.35">
      <c r="B127" s="44">
        <v>1</v>
      </c>
      <c r="C127" s="43">
        <f>'Netherlands Crunch Outputs'!G244</f>
        <v>1.160034602377906E-2</v>
      </c>
      <c r="D127" s="43">
        <f>'Netherlands Crunch Outputs'!H244</f>
        <v>1.269171604944958E-2</v>
      </c>
      <c r="E127" s="43">
        <f>'Netherlands Crunch Outputs'!I244</f>
        <v>1.226858707723575E-2</v>
      </c>
    </row>
    <row r="128" spans="2:5" x14ac:dyDescent="0.35">
      <c r="B128" s="44" t="s">
        <v>204</v>
      </c>
      <c r="C128" s="43">
        <f>'Netherlands Crunch Outputs'!G245</f>
        <v>1.2192039743843121E-2</v>
      </c>
      <c r="D128" s="43">
        <f>'Netherlands Crunch Outputs'!H245</f>
        <v>9.6772612860964759E-3</v>
      </c>
      <c r="E128" s="43">
        <f>'Netherlands Crunch Outputs'!I245</f>
        <v>1.4775231113164731E-2</v>
      </c>
    </row>
    <row r="129" spans="2:5" s="36" customFormat="1" x14ac:dyDescent="0.3">
      <c r="B129" s="56" t="s">
        <v>24</v>
      </c>
      <c r="C129" s="60">
        <f>'Netherlands Crunch Outputs'!G231</f>
        <v>180</v>
      </c>
      <c r="D129" s="60">
        <f>'Netherlands Crunch Outputs'!H231</f>
        <v>225</v>
      </c>
      <c r="E129" s="60">
        <f>'Netherlands Crunch Outputs'!I231</f>
        <v>232</v>
      </c>
    </row>
    <row r="130" spans="2:5" x14ac:dyDescent="0.35">
      <c r="B130" s="27"/>
      <c r="C130" s="33"/>
      <c r="D130" s="33"/>
      <c r="E130" s="33"/>
    </row>
    <row r="131" spans="2:5" x14ac:dyDescent="0.35">
      <c r="B131" s="99" t="s">
        <v>111</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'Netherlands Crunch Outputs'!G120</f>
        <v>20</v>
      </c>
      <c r="D147" s="60">
        <f>'Netherlands Crunch Outputs'!H120</f>
        <v>25</v>
      </c>
      <c r="E147" s="60">
        <f>'Netherlands Crunch Outputs'!I120</f>
        <v>24</v>
      </c>
    </row>
    <row r="148" spans="2:5" x14ac:dyDescent="0.35">
      <c r="B148" s="27"/>
      <c r="C148" s="33"/>
      <c r="D148" s="33"/>
      <c r="E148" s="33"/>
    </row>
    <row r="149" spans="2:5" x14ac:dyDescent="0.35">
      <c r="B149" s="99" t="s">
        <v>438</v>
      </c>
      <c r="C149" s="39" t="s">
        <v>22</v>
      </c>
      <c r="D149" s="39" t="s">
        <v>22</v>
      </c>
      <c r="E149" s="39" t="s">
        <v>22</v>
      </c>
    </row>
    <row r="150" spans="2:5" x14ac:dyDescent="0.35">
      <c r="B150" s="100"/>
      <c r="C150" s="40" t="s">
        <v>43</v>
      </c>
      <c r="D150" s="40" t="s">
        <v>43</v>
      </c>
      <c r="E150" s="40"/>
    </row>
    <row r="151" spans="2:5" x14ac:dyDescent="0.35">
      <c r="B151" s="41" t="s">
        <v>336</v>
      </c>
      <c r="C151" s="42" t="s">
        <v>43</v>
      </c>
      <c r="D151" s="42" t="s">
        <v>43</v>
      </c>
      <c r="E151" s="42"/>
    </row>
    <row r="152" spans="2:5" x14ac:dyDescent="0.35">
      <c r="B152" s="41" t="s">
        <v>194</v>
      </c>
      <c r="C152" s="42" t="s">
        <v>43</v>
      </c>
      <c r="D152" s="42" t="s">
        <v>43</v>
      </c>
      <c r="E152" s="42"/>
    </row>
    <row r="153" spans="2:5" x14ac:dyDescent="0.35">
      <c r="B153" s="41" t="s">
        <v>195</v>
      </c>
      <c r="C153" s="42" t="s">
        <v>43</v>
      </c>
      <c r="D153" s="42" t="s">
        <v>43</v>
      </c>
      <c r="E153" s="42"/>
    </row>
    <row r="154" spans="2:5" x14ac:dyDescent="0.35">
      <c r="B154" s="28" t="s">
        <v>196</v>
      </c>
      <c r="C154" s="43" t="s">
        <v>43</v>
      </c>
      <c r="D154" s="43" t="s">
        <v>43</v>
      </c>
      <c r="E154" s="43"/>
    </row>
    <row r="155" spans="2:5" x14ac:dyDescent="0.35">
      <c r="B155" s="44">
        <v>9</v>
      </c>
      <c r="C155" s="43" t="s">
        <v>43</v>
      </c>
      <c r="D155" s="43" t="s">
        <v>43</v>
      </c>
      <c r="E155" s="43"/>
    </row>
    <row r="156" spans="2:5" x14ac:dyDescent="0.35">
      <c r="B156" s="44">
        <v>8</v>
      </c>
      <c r="C156" s="43" t="s">
        <v>43</v>
      </c>
      <c r="D156" s="43" t="s">
        <v>43</v>
      </c>
      <c r="E156" s="43"/>
    </row>
    <row r="157" spans="2:5" x14ac:dyDescent="0.35">
      <c r="B157" s="44">
        <v>7</v>
      </c>
      <c r="C157" s="43" t="s">
        <v>43</v>
      </c>
      <c r="D157" s="43" t="s">
        <v>43</v>
      </c>
      <c r="E157" s="43"/>
    </row>
    <row r="158" spans="2:5" x14ac:dyDescent="0.35">
      <c r="B158" s="44">
        <v>6</v>
      </c>
      <c r="C158" s="43" t="s">
        <v>43</v>
      </c>
      <c r="D158" s="43" t="s">
        <v>43</v>
      </c>
      <c r="E158" s="43"/>
    </row>
    <row r="159" spans="2:5" x14ac:dyDescent="0.35">
      <c r="B159" s="44">
        <v>5</v>
      </c>
      <c r="C159" s="43" t="s">
        <v>43</v>
      </c>
      <c r="D159" s="43" t="s">
        <v>43</v>
      </c>
      <c r="E159" s="43"/>
    </row>
    <row r="160" spans="2:5" x14ac:dyDescent="0.35">
      <c r="B160" s="44">
        <v>4</v>
      </c>
      <c r="C160" s="43" t="s">
        <v>43</v>
      </c>
      <c r="D160" s="43" t="s">
        <v>43</v>
      </c>
      <c r="E160" s="43"/>
    </row>
    <row r="161" spans="2:5" x14ac:dyDescent="0.35">
      <c r="B161" s="44">
        <v>3</v>
      </c>
      <c r="C161" s="43" t="s">
        <v>43</v>
      </c>
      <c r="D161" s="43" t="s">
        <v>43</v>
      </c>
      <c r="E161" s="43"/>
    </row>
    <row r="162" spans="2:5" x14ac:dyDescent="0.35">
      <c r="B162" s="44">
        <v>2</v>
      </c>
      <c r="C162" s="43" t="s">
        <v>43</v>
      </c>
      <c r="D162" s="43" t="s">
        <v>43</v>
      </c>
      <c r="E162" s="43"/>
    </row>
    <row r="163" spans="2:5" x14ac:dyDescent="0.35">
      <c r="B163" s="44">
        <v>1</v>
      </c>
      <c r="C163" s="43" t="s">
        <v>43</v>
      </c>
      <c r="D163" s="43" t="s">
        <v>43</v>
      </c>
      <c r="E163" s="43"/>
    </row>
    <row r="164" spans="2:5" x14ac:dyDescent="0.35">
      <c r="B164" s="44" t="s">
        <v>204</v>
      </c>
      <c r="C164" s="43" t="s">
        <v>43</v>
      </c>
      <c r="D164" s="43" t="s">
        <v>43</v>
      </c>
      <c r="E164" s="43"/>
    </row>
    <row r="165" spans="2:5" s="36" customFormat="1" x14ac:dyDescent="0.3">
      <c r="B165" s="56" t="s">
        <v>24</v>
      </c>
      <c r="C165" s="60">
        <f>'Netherlands Crunch Outputs'!G157</f>
        <v>4</v>
      </c>
      <c r="D165" s="60">
        <f>'Netherlands Crunch Outputs'!H157</f>
        <v>4</v>
      </c>
      <c r="E165" s="60"/>
    </row>
    <row r="166" spans="2:5" x14ac:dyDescent="0.35">
      <c r="B166" s="27"/>
      <c r="C166" s="33"/>
      <c r="D166" s="33"/>
      <c r="E166" s="33"/>
    </row>
    <row r="167" spans="2:5" x14ac:dyDescent="0.35">
      <c r="B167" s="99" t="s">
        <v>113</v>
      </c>
      <c r="C167" s="39" t="s">
        <v>22</v>
      </c>
      <c r="D167" s="39" t="s">
        <v>22</v>
      </c>
      <c r="E167" s="39"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'Netherlands Crunch Outputs'!G101</f>
        <v>21</v>
      </c>
      <c r="D183" s="60">
        <f>'Netherlands Crunch Outputs'!H101</f>
        <v>23</v>
      </c>
      <c r="E183" s="60">
        <f>'Netherlands Crunch Outputs'!I101</f>
        <v>25</v>
      </c>
    </row>
    <row r="184" spans="2:5" x14ac:dyDescent="0.35">
      <c r="B184" s="27"/>
      <c r="C184" s="33"/>
      <c r="D184" s="33"/>
      <c r="E184" s="33"/>
    </row>
    <row r="185" spans="2:5" x14ac:dyDescent="0.35">
      <c r="B185" s="99" t="s">
        <v>652</v>
      </c>
      <c r="C185" s="39" t="s">
        <v>22</v>
      </c>
      <c r="D185" s="39" t="s">
        <v>22</v>
      </c>
      <c r="E185" s="39" t="s">
        <v>22</v>
      </c>
    </row>
    <row r="186" spans="2:5" x14ac:dyDescent="0.35">
      <c r="B186" s="100"/>
      <c r="C186" s="40">
        <f>'Netherlands Crunch Outputs'!G209</f>
        <v>3.299774730878378</v>
      </c>
      <c r="D186" s="40">
        <f>'Netherlands Crunch Outputs'!H209</f>
        <v>6.6966298752264066</v>
      </c>
      <c r="E186" s="40">
        <f>'Netherlands Crunch Outputs'!I209</f>
        <v>6.8145847922801632</v>
      </c>
    </row>
    <row r="187" spans="2:5" x14ac:dyDescent="0.35">
      <c r="B187" s="41" t="s">
        <v>336</v>
      </c>
      <c r="C187" s="42">
        <f>'Netherlands Crunch Outputs'!G195</f>
        <v>0.27839425818665642</v>
      </c>
      <c r="D187" s="42">
        <f>'Netherlands Crunch Outputs'!H195</f>
        <v>0.30711581345886918</v>
      </c>
      <c r="E187" s="42">
        <f>'Netherlands Crunch Outputs'!I195</f>
        <v>0.3149684184633767</v>
      </c>
    </row>
    <row r="188" spans="2:5" x14ac:dyDescent="0.35">
      <c r="B188" s="41" t="s">
        <v>194</v>
      </c>
      <c r="C188" s="42">
        <f>'Netherlands Crunch Outputs'!G196</f>
        <v>0.47620923093547102</v>
      </c>
      <c r="D188" s="42">
        <f>'Netherlands Crunch Outputs'!H196</f>
        <v>0.45273467183452593</v>
      </c>
      <c r="E188" s="42">
        <f>'Netherlands Crunch Outputs'!I196</f>
        <v>0.4382090109960482</v>
      </c>
    </row>
    <row r="189" spans="2:5" x14ac:dyDescent="0.35">
      <c r="B189" s="41" t="s">
        <v>195</v>
      </c>
      <c r="C189" s="42">
        <f>'Netherlands Crunch Outputs'!G197</f>
        <v>0.2453965108778727</v>
      </c>
      <c r="D189" s="42">
        <f>'Netherlands Crunch Outputs'!H197</f>
        <v>0.24014951470660509</v>
      </c>
      <c r="E189" s="42">
        <f>'Netherlands Crunch Outputs'!I197</f>
        <v>0.2468225705405751</v>
      </c>
    </row>
    <row r="190" spans="2:5" x14ac:dyDescent="0.35">
      <c r="B190" s="28" t="s">
        <v>196</v>
      </c>
      <c r="C190" s="43">
        <f>'Netherlands Crunch Outputs'!G198</f>
        <v>0.12684214886625689</v>
      </c>
      <c r="D190" s="43">
        <f>'Netherlands Crunch Outputs'!H198</f>
        <v>0.14953294505405479</v>
      </c>
      <c r="E190" s="43">
        <f>'Netherlands Crunch Outputs'!I198</f>
        <v>0.14797241876379591</v>
      </c>
    </row>
    <row r="191" spans="2:5" x14ac:dyDescent="0.35">
      <c r="B191" s="44">
        <v>9</v>
      </c>
      <c r="C191" s="43">
        <f>'Netherlands Crunch Outputs'!G199</f>
        <v>0.1515521093203995</v>
      </c>
      <c r="D191" s="43">
        <f>'Netherlands Crunch Outputs'!H199</f>
        <v>0.15758286840481439</v>
      </c>
      <c r="E191" s="43">
        <f>'Netherlands Crunch Outputs'!I199</f>
        <v>0.16699599969958079</v>
      </c>
    </row>
    <row r="192" spans="2:5" x14ac:dyDescent="0.35">
      <c r="B192" s="44">
        <v>8</v>
      </c>
      <c r="C192" s="43">
        <f>'Netherlands Crunch Outputs'!G200</f>
        <v>0.2761954534659839</v>
      </c>
      <c r="D192" s="43">
        <f>'Netherlands Crunch Outputs'!H200</f>
        <v>0.2484985986203492</v>
      </c>
      <c r="E192" s="43">
        <f>'Netherlands Crunch Outputs'!I200</f>
        <v>0.2428374119962638</v>
      </c>
    </row>
    <row r="193" spans="2:5" x14ac:dyDescent="0.35">
      <c r="B193" s="44">
        <v>7</v>
      </c>
      <c r="C193" s="43">
        <f>'Netherlands Crunch Outputs'!G201</f>
        <v>0.20001377746948709</v>
      </c>
      <c r="D193" s="43">
        <f>'Netherlands Crunch Outputs'!H201</f>
        <v>0.20423607321417669</v>
      </c>
      <c r="E193" s="43">
        <f>'Netherlands Crunch Outputs'!I201</f>
        <v>0.19537159899978429</v>
      </c>
    </row>
    <row r="194" spans="2:5" x14ac:dyDescent="0.35">
      <c r="B194" s="44">
        <v>6</v>
      </c>
      <c r="C194" s="43">
        <f>'Netherlands Crunch Outputs'!G202</f>
        <v>0.12820138590065991</v>
      </c>
      <c r="D194" s="43">
        <f>'Netherlands Crunch Outputs'!H202</f>
        <v>0.13649538566366429</v>
      </c>
      <c r="E194" s="43">
        <f>'Netherlands Crunch Outputs'!I202</f>
        <v>0.14997971496960991</v>
      </c>
    </row>
    <row r="195" spans="2:5" x14ac:dyDescent="0.35">
      <c r="B195" s="44">
        <v>5</v>
      </c>
      <c r="C195" s="43">
        <f>'Netherlands Crunch Outputs'!G203</f>
        <v>8.1713638553282494E-2</v>
      </c>
      <c r="D195" s="43">
        <f>'Netherlands Crunch Outputs'!H203</f>
        <v>7.6389862360120422E-2</v>
      </c>
      <c r="E195" s="43">
        <f>'Netherlands Crunch Outputs'!I203</f>
        <v>7.567761198600946E-2</v>
      </c>
    </row>
    <row r="196" spans="2:5" x14ac:dyDescent="0.35">
      <c r="B196" s="44">
        <v>4</v>
      </c>
      <c r="C196" s="43">
        <f>'Netherlands Crunch Outputs'!G204</f>
        <v>1.7333711457382509E-2</v>
      </c>
      <c r="D196" s="43">
        <f>'Netherlands Crunch Outputs'!H204</f>
        <v>1.3319366785558329E-2</v>
      </c>
      <c r="E196" s="43">
        <f>'Netherlands Crunch Outputs'!I204</f>
        <v>7.3503643456959552E-3</v>
      </c>
    </row>
    <row r="197" spans="2:5" x14ac:dyDescent="0.35">
      <c r="B197" s="44">
        <v>3</v>
      </c>
      <c r="C197" s="43">
        <f>'Netherlands Crunch Outputs'!G205</f>
        <v>0</v>
      </c>
      <c r="D197" s="43">
        <f>'Netherlands Crunch Outputs'!H205</f>
        <v>0</v>
      </c>
      <c r="E197" s="43">
        <f>'Netherlands Crunch Outputs'!I205</f>
        <v>0</v>
      </c>
    </row>
    <row r="198" spans="2:5" x14ac:dyDescent="0.35">
      <c r="B198" s="44">
        <v>2</v>
      </c>
      <c r="C198" s="43">
        <f>'Netherlands Crunch Outputs'!G206</f>
        <v>1.8147774966547781E-2</v>
      </c>
      <c r="D198" s="43">
        <f>'Netherlands Crunch Outputs'!H206</f>
        <v>1.394489989726205E-2</v>
      </c>
      <c r="E198" s="43">
        <f>'Netherlands Crunch Outputs'!I206</f>
        <v>1.3814879239259789E-2</v>
      </c>
    </row>
    <row r="199" spans="2:5" x14ac:dyDescent="0.35">
      <c r="B199" s="44">
        <v>1</v>
      </c>
      <c r="C199" s="43">
        <f>'Netherlands Crunch Outputs'!G207</f>
        <v>0</v>
      </c>
      <c r="D199" s="43">
        <f>'Netherlands Crunch Outputs'!H207</f>
        <v>0</v>
      </c>
      <c r="E199" s="43">
        <f>'Netherlands Crunch Outputs'!I207</f>
        <v>0</v>
      </c>
    </row>
    <row r="200" spans="2:5" x14ac:dyDescent="0.35">
      <c r="B200" s="44" t="s">
        <v>204</v>
      </c>
      <c r="C200" s="43">
        <f>'Netherlands Crunch Outputs'!G208</f>
        <v>0</v>
      </c>
      <c r="D200" s="43">
        <f>'Netherlands Crunch Outputs'!H208</f>
        <v>0</v>
      </c>
      <c r="E200" s="43">
        <f>'Netherlands Crunch Outputs'!I208</f>
        <v>0</v>
      </c>
    </row>
    <row r="201" spans="2:5" s="36" customFormat="1" ht="15" thickBot="1" x14ac:dyDescent="0.35">
      <c r="B201" s="57" t="s">
        <v>24</v>
      </c>
      <c r="C201" s="61">
        <f>'Netherlands Crunch Outputs'!G194</f>
        <v>126</v>
      </c>
      <c r="D201" s="61">
        <f>'Netherlands Crunch Outputs'!H194</f>
        <v>164</v>
      </c>
      <c r="E201" s="61">
        <f>'Netherlands Crunch Outputs'!I194</f>
        <v>165</v>
      </c>
    </row>
    <row r="203" spans="2:5" x14ac:dyDescent="0.35">
      <c r="B203" s="99" t="s">
        <v>105</v>
      </c>
      <c r="C203" s="39" t="s">
        <v>22</v>
      </c>
      <c r="D203" s="39" t="s">
        <v>22</v>
      </c>
      <c r="E203" s="39" t="s">
        <v>22</v>
      </c>
    </row>
    <row r="204" spans="2:5" x14ac:dyDescent="0.35">
      <c r="B204" s="100"/>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ht="14.5" customHeight="1" x14ac:dyDescent="0.35">
      <c r="B217" s="44">
        <v>1</v>
      </c>
      <c r="C217" s="43" t="s">
        <v>43</v>
      </c>
      <c r="D217" s="43" t="s">
        <v>43</v>
      </c>
      <c r="E217" s="43" t="s">
        <v>43</v>
      </c>
    </row>
    <row r="218" spans="2:5" x14ac:dyDescent="0.35">
      <c r="B218" s="44" t="s">
        <v>204</v>
      </c>
      <c r="C218" s="43" t="s">
        <v>43</v>
      </c>
      <c r="D218" s="43" t="s">
        <v>43</v>
      </c>
      <c r="E218" s="43" t="s">
        <v>43</v>
      </c>
    </row>
    <row r="219" spans="2:5" s="36" customFormat="1" x14ac:dyDescent="0.3">
      <c r="B219" s="56" t="s">
        <v>24</v>
      </c>
      <c r="C219" s="60">
        <f>'Netherlands Crunch Outputs'!G305</f>
        <v>76</v>
      </c>
      <c r="D219" s="60">
        <f>'Netherlands Crunch Outputs'!H305</f>
        <v>88</v>
      </c>
      <c r="E219" s="60">
        <f>'Netherlands Crunch Outputs'!I305</f>
        <v>96</v>
      </c>
    </row>
    <row r="221" spans="2:5" x14ac:dyDescent="0.35">
      <c r="B221" s="99" t="s">
        <v>624</v>
      </c>
      <c r="C221" s="39" t="s">
        <v>22</v>
      </c>
      <c r="D221" s="39" t="s">
        <v>22</v>
      </c>
      <c r="E221" s="39" t="s">
        <v>22</v>
      </c>
    </row>
    <row r="222" spans="2:5" x14ac:dyDescent="0.35">
      <c r="B222" s="100"/>
      <c r="C222" s="40">
        <f>'Netherlands Crunch Outputs'!G393</f>
        <v>-4.3981694011425372</v>
      </c>
      <c r="D222" s="40">
        <f>'Netherlands Crunch Outputs'!H393</f>
        <v>-4.0241252008418833</v>
      </c>
      <c r="E222" s="40">
        <f>'Netherlands Crunch Outputs'!I393</f>
        <v>0.36489482586932143</v>
      </c>
    </row>
    <row r="223" spans="2:5" x14ac:dyDescent="0.35">
      <c r="B223" s="41" t="s">
        <v>336</v>
      </c>
      <c r="C223" s="42">
        <f>'Netherlands Crunch Outputs'!G379</f>
        <v>0.25046631150393261</v>
      </c>
      <c r="D223" s="42">
        <f>'Netherlands Crunch Outputs'!H379</f>
        <v>0.25597068742207929</v>
      </c>
      <c r="E223" s="42">
        <f>'Netherlands Crunch Outputs'!I379</f>
        <v>0.28404732539020427</v>
      </c>
    </row>
    <row r="224" spans="2:5" x14ac:dyDescent="0.35">
      <c r="B224" s="41" t="s">
        <v>194</v>
      </c>
      <c r="C224" s="42">
        <f>'Netherlands Crunch Outputs'!G380</f>
        <v>0.45508568298070939</v>
      </c>
      <c r="D224" s="42">
        <f>'Netherlands Crunch Outputs'!H380</f>
        <v>0.44781737314742232</v>
      </c>
      <c r="E224" s="42">
        <f>'Netherlands Crunch Outputs'!I380</f>
        <v>0.43555429747828461</v>
      </c>
    </row>
    <row r="225" spans="2:5" x14ac:dyDescent="0.35">
      <c r="B225" s="41" t="s">
        <v>195</v>
      </c>
      <c r="C225" s="42">
        <f>'Netherlands Crunch Outputs'!G381</f>
        <v>0.29444800551535799</v>
      </c>
      <c r="D225" s="42">
        <f>'Netherlands Crunch Outputs'!H381</f>
        <v>0.29621193943049817</v>
      </c>
      <c r="E225" s="42">
        <f>'Netherlands Crunch Outputs'!I381</f>
        <v>0.28039837713151111</v>
      </c>
    </row>
    <row r="226" spans="2:5" x14ac:dyDescent="0.35">
      <c r="B226" s="28" t="s">
        <v>196</v>
      </c>
      <c r="C226" s="43">
        <f>'Netherlands Crunch Outputs'!G382</f>
        <v>0.10302277407053489</v>
      </c>
      <c r="D226" s="43">
        <f>'Netherlands Crunch Outputs'!H382</f>
        <v>0.12871413491465941</v>
      </c>
      <c r="E226" s="43">
        <f>'Netherlands Crunch Outputs'!I382</f>
        <v>0.15010559787823841</v>
      </c>
    </row>
    <row r="227" spans="2:5" x14ac:dyDescent="0.35">
      <c r="B227" s="44">
        <v>9</v>
      </c>
      <c r="C227" s="43">
        <f>'Netherlands Crunch Outputs'!G383</f>
        <v>0.14744353743339769</v>
      </c>
      <c r="D227" s="43">
        <f>'Netherlands Crunch Outputs'!H383</f>
        <v>0.12725655250741999</v>
      </c>
      <c r="E227" s="43">
        <f>'Netherlands Crunch Outputs'!I383</f>
        <v>0.1339417275119659</v>
      </c>
    </row>
    <row r="228" spans="2:5" x14ac:dyDescent="0.35">
      <c r="B228" s="44">
        <v>8</v>
      </c>
      <c r="C228" s="43">
        <f>'Netherlands Crunch Outputs'!G384</f>
        <v>0.24093816178215671</v>
      </c>
      <c r="D228" s="43">
        <f>'Netherlands Crunch Outputs'!H384</f>
        <v>0.24898998327574329</v>
      </c>
      <c r="E228" s="43">
        <f>'Netherlands Crunch Outputs'!I384</f>
        <v>0.2443471977896334</v>
      </c>
    </row>
    <row r="229" spans="2:5" x14ac:dyDescent="0.35">
      <c r="B229" s="44">
        <v>7</v>
      </c>
      <c r="C229" s="43">
        <f>'Netherlands Crunch Outputs'!G385</f>
        <v>0.21414752119855271</v>
      </c>
      <c r="D229" s="43">
        <f>'Netherlands Crunch Outputs'!H385</f>
        <v>0.198827389871679</v>
      </c>
      <c r="E229" s="43">
        <f>'Netherlands Crunch Outputs'!I385</f>
        <v>0.19120709968865121</v>
      </c>
    </row>
    <row r="230" spans="2:5" x14ac:dyDescent="0.35">
      <c r="B230" s="44">
        <v>6</v>
      </c>
      <c r="C230" s="43">
        <f>'Netherlands Crunch Outputs'!G386</f>
        <v>0.1555038161833939</v>
      </c>
      <c r="D230" s="43">
        <f>'Netherlands Crunch Outputs'!H386</f>
        <v>0.1440371751855411</v>
      </c>
      <c r="E230" s="43">
        <f>'Netherlands Crunch Outputs'!I386</f>
        <v>0.1363476105868085</v>
      </c>
    </row>
    <row r="231" spans="2:5" x14ac:dyDescent="0.35">
      <c r="B231" s="44">
        <v>5</v>
      </c>
      <c r="C231" s="43">
        <f>'Netherlands Crunch Outputs'!G387</f>
        <v>8.0352363944487609E-2</v>
      </c>
      <c r="D231" s="43">
        <f>'Netherlands Crunch Outputs'!H387</f>
        <v>0.10147286212052591</v>
      </c>
      <c r="E231" s="43">
        <f>'Netherlands Crunch Outputs'!I387</f>
        <v>9.6055634746488955E-2</v>
      </c>
    </row>
    <row r="232" spans="2:5" x14ac:dyDescent="0.35">
      <c r="B232" s="44">
        <v>4</v>
      </c>
      <c r="C232" s="43">
        <f>'Netherlands Crunch Outputs'!G388</f>
        <v>4.0085991672617463E-2</v>
      </c>
      <c r="D232" s="43">
        <f>'Netherlands Crunch Outputs'!H388</f>
        <v>3.1507347155193363E-2</v>
      </c>
      <c r="E232" s="43">
        <f>'Netherlands Crunch Outputs'!I388</f>
        <v>2.9825296802758559E-2</v>
      </c>
    </row>
    <row r="233" spans="2:5" x14ac:dyDescent="0.35">
      <c r="B233" s="44">
        <v>3</v>
      </c>
      <c r="C233" s="43">
        <f>'Netherlands Crunch Outputs'!G389</f>
        <v>1.3068031067716311E-2</v>
      </c>
      <c r="D233" s="43">
        <f>'Netherlands Crunch Outputs'!H389</f>
        <v>1.0271393429606651E-2</v>
      </c>
      <c r="E233" s="43">
        <f>'Netherlands Crunch Outputs'!I389</f>
        <v>9.7230451077639259E-3</v>
      </c>
    </row>
    <row r="234" spans="2:5" x14ac:dyDescent="0.35">
      <c r="B234" s="44">
        <v>2</v>
      </c>
      <c r="C234" s="43">
        <f>'Netherlands Crunch Outputs'!G390</f>
        <v>0</v>
      </c>
      <c r="D234" s="43">
        <f>'Netherlands Crunch Outputs'!H390</f>
        <v>4.6490815277354233E-3</v>
      </c>
      <c r="E234" s="43">
        <f>'Netherlands Crunch Outputs'!I390</f>
        <v>4.4008857915565844E-3</v>
      </c>
    </row>
    <row r="235" spans="2:5" ht="14.5" customHeight="1" x14ac:dyDescent="0.35">
      <c r="B235" s="44">
        <v>1</v>
      </c>
      <c r="C235" s="43">
        <f>'Netherlands Crunch Outputs'!G391</f>
        <v>0</v>
      </c>
      <c r="D235" s="43">
        <f>'Netherlands Crunch Outputs'!H391</f>
        <v>0</v>
      </c>
      <c r="E235" s="43">
        <f>'Netherlands Crunch Outputs'!I391</f>
        <v>0</v>
      </c>
    </row>
    <row r="236" spans="2:5" x14ac:dyDescent="0.35">
      <c r="B236" s="44" t="s">
        <v>204</v>
      </c>
      <c r="C236" s="43">
        <f>'Netherlands Crunch Outputs'!G392</f>
        <v>5.4378026471427043E-3</v>
      </c>
      <c r="D236" s="43">
        <f>'Netherlands Crunch Outputs'!H392</f>
        <v>4.2740800118957712E-3</v>
      </c>
      <c r="E236" s="43">
        <f>'Netherlands Crunch Outputs'!I392</f>
        <v>4.0459040961345234E-3</v>
      </c>
    </row>
    <row r="237" spans="2:5" s="36" customFormat="1" x14ac:dyDescent="0.3">
      <c r="B237" s="56" t="s">
        <v>24</v>
      </c>
      <c r="C237" s="60">
        <f>'Netherlands Crunch Outputs'!G378</f>
        <v>150</v>
      </c>
      <c r="D237" s="60">
        <f>'Netherlands Crunch Outputs'!H378</f>
        <v>191</v>
      </c>
      <c r="E237" s="60">
        <f>'Netherlands Crunch Outputs'!I378</f>
        <v>202</v>
      </c>
    </row>
    <row r="239" spans="2:5" x14ac:dyDescent="0.35">
      <c r="B239" s="99" t="s">
        <v>625</v>
      </c>
      <c r="C239" s="39" t="s">
        <v>22</v>
      </c>
      <c r="D239" s="39" t="s">
        <v>22</v>
      </c>
      <c r="E239" s="39" t="s">
        <v>22</v>
      </c>
    </row>
    <row r="240" spans="2:5" x14ac:dyDescent="0.35">
      <c r="B240" s="100"/>
      <c r="C240" s="40">
        <f>'Netherlands Crunch Outputs'!G412</f>
        <v>-8.096865452245293</v>
      </c>
      <c r="D240" s="40">
        <f>'Netherlands Crunch Outputs'!H412</f>
        <v>-5.1834718627451748</v>
      </c>
      <c r="E240" s="40">
        <f>'Netherlands Crunch Outputs'!I412</f>
        <v>-3.907957117720966</v>
      </c>
    </row>
    <row r="241" spans="2:5" x14ac:dyDescent="0.35">
      <c r="B241" s="41" t="s">
        <v>336</v>
      </c>
      <c r="C241" s="42">
        <f>'Netherlands Crunch Outputs'!G398</f>
        <v>0.2245536773694892</v>
      </c>
      <c r="D241" s="42">
        <f>'Netherlands Crunch Outputs'!H398</f>
        <v>0.23264533826152431</v>
      </c>
      <c r="E241" s="42">
        <f>'Netherlands Crunch Outputs'!I398</f>
        <v>0.24195071835952761</v>
      </c>
    </row>
    <row r="242" spans="2:5" x14ac:dyDescent="0.35">
      <c r="B242" s="41" t="s">
        <v>194</v>
      </c>
      <c r="C242" s="42">
        <f>'Netherlands Crunch Outputs'!G399</f>
        <v>0.46992399073856872</v>
      </c>
      <c r="D242" s="42">
        <f>'Netherlands Crunch Outputs'!H399</f>
        <v>0.48287460484949979</v>
      </c>
      <c r="E242" s="42">
        <f>'Netherlands Crunch Outputs'!I399</f>
        <v>0.47701899210373511</v>
      </c>
    </row>
    <row r="243" spans="2:5" x14ac:dyDescent="0.35">
      <c r="B243" s="41" t="s">
        <v>195</v>
      </c>
      <c r="C243" s="42">
        <f>'Netherlands Crunch Outputs'!G400</f>
        <v>0.30552233189194222</v>
      </c>
      <c r="D243" s="42">
        <f>'Netherlands Crunch Outputs'!H400</f>
        <v>0.28448005688897599</v>
      </c>
      <c r="E243" s="42">
        <f>'Netherlands Crunch Outputs'!I400</f>
        <v>0.28103028953673731</v>
      </c>
    </row>
    <row r="244" spans="2:5" x14ac:dyDescent="0.35">
      <c r="B244" s="28" t="s">
        <v>196</v>
      </c>
      <c r="C244" s="43">
        <f>'Netherlands Crunch Outputs'!G401</f>
        <v>9.4315831233787756E-2</v>
      </c>
      <c r="D244" s="43">
        <f>'Netherlands Crunch Outputs'!H401</f>
        <v>0.1156589268861901</v>
      </c>
      <c r="E244" s="43">
        <f>'Netherlands Crunch Outputs'!I401</f>
        <v>0.12202323152977031</v>
      </c>
    </row>
    <row r="245" spans="2:5" x14ac:dyDescent="0.35">
      <c r="B245" s="44">
        <v>9</v>
      </c>
      <c r="C245" s="43">
        <f>'Netherlands Crunch Outputs'!G402</f>
        <v>0.1302378461357015</v>
      </c>
      <c r="D245" s="43">
        <f>'Netherlands Crunch Outputs'!H402</f>
        <v>0.11698641137533421</v>
      </c>
      <c r="E245" s="43">
        <f>'Netherlands Crunch Outputs'!I402</f>
        <v>0.1199274868297573</v>
      </c>
    </row>
    <row r="246" spans="2:5" x14ac:dyDescent="0.35">
      <c r="B246" s="44">
        <v>8</v>
      </c>
      <c r="C246" s="43">
        <f>'Netherlands Crunch Outputs'!G403</f>
        <v>0.208019268580966</v>
      </c>
      <c r="D246" s="43">
        <f>'Netherlands Crunch Outputs'!H403</f>
        <v>0.21798888971940389</v>
      </c>
      <c r="E246" s="43">
        <f>'Netherlands Crunch Outputs'!I403</f>
        <v>0.2153454321669532</v>
      </c>
    </row>
    <row r="247" spans="2:5" x14ac:dyDescent="0.35">
      <c r="B247" s="44">
        <v>7</v>
      </c>
      <c r="C247" s="43">
        <f>'Netherlands Crunch Outputs'!G404</f>
        <v>0.26190472215760269</v>
      </c>
      <c r="D247" s="43">
        <f>'Netherlands Crunch Outputs'!H404</f>
        <v>0.2648857151300959</v>
      </c>
      <c r="E247" s="43">
        <f>'Netherlands Crunch Outputs'!I404</f>
        <v>0.26167355993678182</v>
      </c>
    </row>
    <row r="248" spans="2:5" x14ac:dyDescent="0.35">
      <c r="B248" s="44">
        <v>6</v>
      </c>
      <c r="C248" s="43">
        <f>'Netherlands Crunch Outputs'!G405</f>
        <v>0.14544898227004391</v>
      </c>
      <c r="D248" s="43">
        <f>'Netherlands Crunch Outputs'!H405</f>
        <v>0.14002617691218411</v>
      </c>
      <c r="E248" s="43">
        <f>'Netherlands Crunch Outputs'!I405</f>
        <v>0.13832813966186469</v>
      </c>
    </row>
    <row r="249" spans="2:5" x14ac:dyDescent="0.35">
      <c r="B249" s="44">
        <v>5</v>
      </c>
      <c r="C249" s="43">
        <f>'Netherlands Crunch Outputs'!G406</f>
        <v>9.1128150602820174E-2</v>
      </c>
      <c r="D249" s="43">
        <f>'Netherlands Crunch Outputs'!H406</f>
        <v>8.2072476323897067E-2</v>
      </c>
      <c r="E249" s="43">
        <f>'Netherlands Crunch Outputs'!I406</f>
        <v>8.1077218686381694E-2</v>
      </c>
    </row>
    <row r="250" spans="2:5" x14ac:dyDescent="0.35">
      <c r="B250" s="44">
        <v>4</v>
      </c>
      <c r="C250" s="43">
        <f>'Netherlands Crunch Outputs'!G407</f>
        <v>3.9425946226512708E-2</v>
      </c>
      <c r="D250" s="43">
        <f>'Netherlands Crunch Outputs'!H407</f>
        <v>3.3686442058383247E-2</v>
      </c>
      <c r="E250" s="43">
        <f>'Netherlands Crunch Outputs'!I407</f>
        <v>3.3277941057304493E-2</v>
      </c>
    </row>
    <row r="251" spans="2:5" x14ac:dyDescent="0.35">
      <c r="B251" s="44">
        <v>3</v>
      </c>
      <c r="C251" s="43">
        <f>'Netherlands Crunch Outputs'!G408</f>
        <v>1.281274587090532E-2</v>
      </c>
      <c r="D251" s="43">
        <f>'Netherlands Crunch Outputs'!H408</f>
        <v>1.212244467648598E-2</v>
      </c>
      <c r="E251" s="43">
        <f>'Netherlands Crunch Outputs'!I408</f>
        <v>1.197544100131945E-2</v>
      </c>
    </row>
    <row r="252" spans="2:5" x14ac:dyDescent="0.35">
      <c r="B252" s="44">
        <v>2</v>
      </c>
      <c r="C252" s="43">
        <f>'Netherlands Crunch Outputs'!G409</f>
        <v>2.1025319189175449E-3</v>
      </c>
      <c r="D252" s="43">
        <f>'Netherlands Crunch Outputs'!H409</f>
        <v>5.031704525031145E-3</v>
      </c>
      <c r="E252" s="43">
        <f>'Netherlands Crunch Outputs'!I409</f>
        <v>4.9706872073801631E-3</v>
      </c>
    </row>
    <row r="253" spans="2:5" ht="14.5" customHeight="1" x14ac:dyDescent="0.35">
      <c r="B253" s="44">
        <v>1</v>
      </c>
      <c r="C253" s="43">
        <f>'Netherlands Crunch Outputs'!G410</f>
        <v>3.7705150907544841E-3</v>
      </c>
      <c r="D253" s="43">
        <f>'Netherlands Crunch Outputs'!H410</f>
        <v>3.2235146292436852E-3</v>
      </c>
      <c r="E253" s="43">
        <f>'Netherlands Crunch Outputs'!I410</f>
        <v>3.1844244531201312E-3</v>
      </c>
    </row>
    <row r="254" spans="2:5" x14ac:dyDescent="0.35">
      <c r="B254" s="44" t="s">
        <v>204</v>
      </c>
      <c r="C254" s="43">
        <f>'Netherlands Crunch Outputs'!G411</f>
        <v>1.0833459911987959E-2</v>
      </c>
      <c r="D254" s="43">
        <f>'Netherlands Crunch Outputs'!H411</f>
        <v>8.3172977637508277E-3</v>
      </c>
      <c r="E254" s="43">
        <f>'Netherlands Crunch Outputs'!I411</f>
        <v>8.2164374693667001E-3</v>
      </c>
    </row>
    <row r="255" spans="2:5" s="36" customFormat="1" x14ac:dyDescent="0.3">
      <c r="B255" s="56" t="s">
        <v>24</v>
      </c>
      <c r="C255" s="60">
        <f>'Netherlands Crunch Outputs'!G397</f>
        <v>223</v>
      </c>
      <c r="D255" s="60">
        <f>'Netherlands Crunch Outputs'!H397</f>
        <v>296</v>
      </c>
      <c r="E255" s="60">
        <f>'Netherlands Crunch Outputs'!I397</f>
        <v>300</v>
      </c>
    </row>
    <row r="257" spans="2:5" x14ac:dyDescent="0.35">
      <c r="B257" s="99" t="s">
        <v>626</v>
      </c>
      <c r="C257" s="39" t="s">
        <v>22</v>
      </c>
      <c r="D257" s="39" t="s">
        <v>22</v>
      </c>
      <c r="E257" s="39" t="s">
        <v>22</v>
      </c>
    </row>
    <row r="258" spans="2:5" x14ac:dyDescent="0.35">
      <c r="B258" s="100"/>
      <c r="C258" s="40">
        <f>'Netherlands Crunch Outputs'!G431</f>
        <v>3.7877831225452181</v>
      </c>
      <c r="D258" s="40">
        <f>'Netherlands Crunch Outputs'!H431</f>
        <v>4.54814655982329</v>
      </c>
      <c r="E258" s="40">
        <f>'Netherlands Crunch Outputs'!I431</f>
        <v>8.4741879886438412</v>
      </c>
    </row>
    <row r="259" spans="2:5" x14ac:dyDescent="0.35">
      <c r="B259" s="41" t="s">
        <v>336</v>
      </c>
      <c r="C259" s="42">
        <f>'Netherlands Crunch Outputs'!G417</f>
        <v>0.26949699253247722</v>
      </c>
      <c r="D259" s="42">
        <f>'Netherlands Crunch Outputs'!H417</f>
        <v>0.27120006992184348</v>
      </c>
      <c r="E259" s="42">
        <f>'Netherlands Crunch Outputs'!I417</f>
        <v>0.2962420753541169</v>
      </c>
    </row>
    <row r="260" spans="2:5" x14ac:dyDescent="0.35">
      <c r="B260" s="41" t="s">
        <v>194</v>
      </c>
      <c r="C260" s="42">
        <f>'Netherlands Crunch Outputs'!G418</f>
        <v>0.49888384616049769</v>
      </c>
      <c r="D260" s="42">
        <f>'Netherlands Crunch Outputs'!H418</f>
        <v>0.50308132575454578</v>
      </c>
      <c r="E260" s="42">
        <f>'Netherlands Crunch Outputs'!I418</f>
        <v>0.49225772917820471</v>
      </c>
    </row>
    <row r="261" spans="2:5" x14ac:dyDescent="0.35">
      <c r="B261" s="41" t="s">
        <v>195</v>
      </c>
      <c r="C261" s="42">
        <f>'Netherlands Crunch Outputs'!G419</f>
        <v>0.23161916130702501</v>
      </c>
      <c r="D261" s="42">
        <f>'Netherlands Crunch Outputs'!H419</f>
        <v>0.22571860432361071</v>
      </c>
      <c r="E261" s="42">
        <f>'Netherlands Crunch Outputs'!I419</f>
        <v>0.21150019546767851</v>
      </c>
    </row>
    <row r="262" spans="2:5" x14ac:dyDescent="0.35">
      <c r="B262" s="28" t="s">
        <v>196</v>
      </c>
      <c r="C262" s="43">
        <f>'Netherlands Crunch Outputs'!G420</f>
        <v>9.2250839150382916E-2</v>
      </c>
      <c r="D262" s="43">
        <f>'Netherlands Crunch Outputs'!H420</f>
        <v>8.8874636534521781E-2</v>
      </c>
      <c r="E262" s="43">
        <f>'Netherlands Crunch Outputs'!I420</f>
        <v>9.7570231421136674E-2</v>
      </c>
    </row>
    <row r="263" spans="2:5" x14ac:dyDescent="0.35">
      <c r="B263" s="44">
        <v>9</v>
      </c>
      <c r="C263" s="43">
        <f>'Netherlands Crunch Outputs'!G421</f>
        <v>0.17724615338209421</v>
      </c>
      <c r="D263" s="43">
        <f>'Netherlands Crunch Outputs'!H421</f>
        <v>0.18232543338732179</v>
      </c>
      <c r="E263" s="43">
        <f>'Netherlands Crunch Outputs'!I421</f>
        <v>0.19867184393298021</v>
      </c>
    </row>
    <row r="264" spans="2:5" x14ac:dyDescent="0.35">
      <c r="B264" s="44">
        <v>8</v>
      </c>
      <c r="C264" s="43">
        <f>'Netherlands Crunch Outputs'!G422</f>
        <v>0.3210989645397575</v>
      </c>
      <c r="D264" s="43">
        <f>'Netherlands Crunch Outputs'!H422</f>
        <v>0.30480760394819201</v>
      </c>
      <c r="E264" s="43">
        <f>'Netherlands Crunch Outputs'!I422</f>
        <v>0.30431897694684579</v>
      </c>
    </row>
    <row r="265" spans="2:5" x14ac:dyDescent="0.35">
      <c r="B265" s="44">
        <v>7</v>
      </c>
      <c r="C265" s="43">
        <f>'Netherlands Crunch Outputs'!G423</f>
        <v>0.17778488162074019</v>
      </c>
      <c r="D265" s="43">
        <f>'Netherlands Crunch Outputs'!H423</f>
        <v>0.19827372180635389</v>
      </c>
      <c r="E265" s="43">
        <f>'Netherlands Crunch Outputs'!I423</f>
        <v>0.18793875223135881</v>
      </c>
    </row>
    <row r="266" spans="2:5" x14ac:dyDescent="0.35">
      <c r="B266" s="44">
        <v>6</v>
      </c>
      <c r="C266" s="43">
        <f>'Netherlands Crunch Outputs'!G424</f>
        <v>0.1098354643460166</v>
      </c>
      <c r="D266" s="43">
        <f>'Netherlands Crunch Outputs'!H424</f>
        <v>0.1107890450866145</v>
      </c>
      <c r="E266" s="43">
        <f>'Netherlands Crunch Outputs'!I424</f>
        <v>0.104822880832855</v>
      </c>
    </row>
    <row r="267" spans="2:5" x14ac:dyDescent="0.35">
      <c r="B267" s="44">
        <v>5</v>
      </c>
      <c r="C267" s="43">
        <f>'Netherlands Crunch Outputs'!G425</f>
        <v>9.2249386362297306E-2</v>
      </c>
      <c r="D267" s="43">
        <f>'Netherlands Crunch Outputs'!H425</f>
        <v>8.2469117448164236E-2</v>
      </c>
      <c r="E267" s="43">
        <f>'Netherlands Crunch Outputs'!I425</f>
        <v>7.6547617932933451E-2</v>
      </c>
    </row>
    <row r="268" spans="2:5" x14ac:dyDescent="0.35">
      <c r="B268" s="44">
        <v>4</v>
      </c>
      <c r="C268" s="43">
        <f>'Netherlands Crunch Outputs'!G426</f>
        <v>2.7937333869283969E-3</v>
      </c>
      <c r="D268" s="43">
        <f>'Netherlands Crunch Outputs'!H426</f>
        <v>2.1652492669403021E-3</v>
      </c>
      <c r="E268" s="43">
        <f>'Netherlands Crunch Outputs'!I426</f>
        <v>2.009778675265791E-3</v>
      </c>
    </row>
    <row r="269" spans="2:5" x14ac:dyDescent="0.35">
      <c r="B269" s="44">
        <v>3</v>
      </c>
      <c r="C269" s="43">
        <f>'Netherlands Crunch Outputs'!G427</f>
        <v>1.1353304783925461E-2</v>
      </c>
      <c r="D269" s="43">
        <f>'Netherlands Crunch Outputs'!H427</f>
        <v>8.7992415367066229E-3</v>
      </c>
      <c r="E269" s="43">
        <f>'Netherlands Crunch Outputs'!I427</f>
        <v>8.1674328535743315E-3</v>
      </c>
    </row>
    <row r="270" spans="2:5" x14ac:dyDescent="0.35">
      <c r="B270" s="44">
        <v>2</v>
      </c>
      <c r="C270" s="43">
        <f>'Netherlands Crunch Outputs'!G428</f>
        <v>5.4584981358708267E-3</v>
      </c>
      <c r="D270" s="43">
        <f>'Netherlands Crunch Outputs'!H428</f>
        <v>4.2305429510880637E-3</v>
      </c>
      <c r="E270" s="43">
        <f>'Netherlands Crunch Outputs'!I428</f>
        <v>3.9267788414530007E-3</v>
      </c>
    </row>
    <row r="271" spans="2:5" ht="14.5" customHeight="1" x14ac:dyDescent="0.35">
      <c r="B271" s="44">
        <v>1</v>
      </c>
      <c r="C271" s="43">
        <f>'Netherlands Crunch Outputs'!G429</f>
        <v>0</v>
      </c>
      <c r="D271" s="43">
        <f>'Netherlands Crunch Outputs'!H429</f>
        <v>5.1238655914071949E-3</v>
      </c>
      <c r="E271" s="43">
        <f>'Netherlands Crunch Outputs'!I429</f>
        <v>4.7559585668813633E-3</v>
      </c>
    </row>
    <row r="272" spans="2:5" x14ac:dyDescent="0.35">
      <c r="B272" s="44" t="s">
        <v>204</v>
      </c>
      <c r="C272" s="43">
        <f>'Netherlands Crunch Outputs'!G430</f>
        <v>9.9287742919864242E-3</v>
      </c>
      <c r="D272" s="43">
        <f>'Netherlands Crunch Outputs'!H430</f>
        <v>1.2141542442689741E-2</v>
      </c>
      <c r="E272" s="43">
        <f>'Netherlands Crunch Outputs'!I430</f>
        <v>1.126974776471551E-2</v>
      </c>
    </row>
    <row r="273" spans="2:5" s="36" customFormat="1" x14ac:dyDescent="0.3">
      <c r="B273" s="56" t="s">
        <v>24</v>
      </c>
      <c r="C273" s="60">
        <f>'Netherlands Crunch Outputs'!G416</f>
        <v>214</v>
      </c>
      <c r="D273" s="60">
        <f>'Netherlands Crunch Outputs'!H416</f>
        <v>277</v>
      </c>
      <c r="E273" s="60">
        <f>'Netherlands Crunch Outputs'!I416</f>
        <v>300</v>
      </c>
    </row>
  </sheetData>
  <conditionalFormatting sqref="C21:E21 C39:E39 C57:E57 C75:E75 C93:E93 C111:E111 C129:E129 C147:E147 C165:E165 C183:E183 C201:E201 C219:E219 C255:E255 C273:E273">
    <cfRule type="expression" dxfId="6" priority="6">
      <formula>C21&lt;100</formula>
    </cfRule>
  </conditionalFormatting>
  <conditionalFormatting sqref="C237:E237">
    <cfRule type="expression" dxfId="5" priority="3">
      <formula>C237&lt;50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7470-D298-425F-8806-D0D191BD2A4F}">
  <dimension ref="A1:I437"/>
  <sheetViews>
    <sheetView topLeftCell="A411" workbookViewId="0">
      <selection activeCell="M3" sqref="M3"/>
    </sheetView>
  </sheetViews>
  <sheetFormatPr defaultRowHeight="14.5" x14ac:dyDescent="0.35"/>
  <cols>
    <col min="1" max="1" width="25.7265625" customWidth="1"/>
    <col min="2" max="9" width="12.7265625" customWidth="1"/>
  </cols>
  <sheetData>
    <row r="1" spans="1:9" ht="26" x14ac:dyDescent="0.6">
      <c r="A1" s="9" t="s">
        <v>348</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634</v>
      </c>
      <c r="H5" s="13" t="s">
        <v>641</v>
      </c>
      <c r="I5" s="13" t="s">
        <v>647</v>
      </c>
    </row>
    <row r="6" spans="1:9" x14ac:dyDescent="0.35">
      <c r="A6" s="14" t="s">
        <v>209</v>
      </c>
      <c r="B6" s="15">
        <v>197</v>
      </c>
      <c r="C6" s="15">
        <v>54</v>
      </c>
      <c r="D6" s="15">
        <v>97</v>
      </c>
      <c r="E6" s="15">
        <v>150</v>
      </c>
      <c r="F6" s="15">
        <v>197</v>
      </c>
      <c r="G6" s="15">
        <v>260</v>
      </c>
      <c r="H6" s="15">
        <v>296</v>
      </c>
      <c r="I6" s="15">
        <v>272</v>
      </c>
    </row>
    <row r="7" spans="1:9" x14ac:dyDescent="0.35">
      <c r="A7" s="16" t="s">
        <v>336</v>
      </c>
      <c r="B7" s="17">
        <v>0.37017549421622659</v>
      </c>
      <c r="C7" s="17">
        <v>0.33548462522475853</v>
      </c>
      <c r="D7" s="154">
        <v>0.30479964021720679</v>
      </c>
      <c r="E7" s="152">
        <v>0.30352545893333832</v>
      </c>
      <c r="F7" s="17">
        <v>0.37017549421622659</v>
      </c>
      <c r="G7" s="17">
        <v>0.38972619574330308</v>
      </c>
      <c r="H7" s="17">
        <v>0.36822405416488091</v>
      </c>
      <c r="I7" s="17">
        <v>0.37409156601868482</v>
      </c>
    </row>
    <row r="8" spans="1:9" x14ac:dyDescent="0.35">
      <c r="A8" s="16" t="s">
        <v>194</v>
      </c>
      <c r="B8" s="17">
        <v>0.44653115522994902</v>
      </c>
      <c r="C8" s="17">
        <v>0.48427461899093333</v>
      </c>
      <c r="D8" s="149">
        <v>0.52344791330689622</v>
      </c>
      <c r="E8" s="151">
        <v>0.50061809168872473</v>
      </c>
      <c r="F8" s="17">
        <v>0.44653115522994891</v>
      </c>
      <c r="G8" s="17">
        <v>0.44645519004680723</v>
      </c>
      <c r="H8" s="17">
        <v>0.46467620406470911</v>
      </c>
      <c r="I8" s="17">
        <v>0.46321674967523019</v>
      </c>
    </row>
    <row r="9" spans="1:9" x14ac:dyDescent="0.35">
      <c r="A9" s="16" t="s">
        <v>195</v>
      </c>
      <c r="B9" s="17">
        <v>0.1832933505538244</v>
      </c>
      <c r="C9" s="17">
        <v>0.1802407557843084</v>
      </c>
      <c r="D9" s="17">
        <v>0.17175244647589699</v>
      </c>
      <c r="E9" s="17">
        <v>0.19585644937793681</v>
      </c>
      <c r="F9" s="17">
        <v>0.1832933505538244</v>
      </c>
      <c r="G9" s="17">
        <v>0.16381861420988961</v>
      </c>
      <c r="H9" s="17">
        <v>0.16709974177041009</v>
      </c>
      <c r="I9" s="17">
        <v>0.1626916843060851</v>
      </c>
    </row>
    <row r="10" spans="1:9" x14ac:dyDescent="0.35">
      <c r="A10" s="14" t="s">
        <v>210</v>
      </c>
      <c r="B10" s="18">
        <v>0.24526364567230521</v>
      </c>
      <c r="C10" s="18">
        <v>0.18984516245170119</v>
      </c>
      <c r="D10" s="24">
        <v>0.16118480681983491</v>
      </c>
      <c r="E10" s="25">
        <v>0.1796128641866922</v>
      </c>
      <c r="F10" s="18">
        <v>0.24526364567230521</v>
      </c>
      <c r="G10" s="18">
        <v>0.20225298329807839</v>
      </c>
      <c r="H10" s="18">
        <v>0.18801022130334269</v>
      </c>
      <c r="I10" s="18">
        <v>0.19582273767803521</v>
      </c>
    </row>
    <row r="11" spans="1:9" x14ac:dyDescent="0.35">
      <c r="A11" s="14" t="s">
        <v>197</v>
      </c>
      <c r="B11" s="18">
        <v>0.1249118485439214</v>
      </c>
      <c r="C11" s="18">
        <v>0.1456394627730572</v>
      </c>
      <c r="D11" s="18">
        <v>0.14361483339737191</v>
      </c>
      <c r="E11" s="18">
        <v>0.12391259474664609</v>
      </c>
      <c r="F11" s="18">
        <v>0.1249118485439214</v>
      </c>
      <c r="G11" s="18">
        <v>0.1874732124452248</v>
      </c>
      <c r="H11" s="18">
        <v>0.18021383286153819</v>
      </c>
      <c r="I11" s="18">
        <v>0.17826882834064969</v>
      </c>
    </row>
    <row r="12" spans="1:9" x14ac:dyDescent="0.35">
      <c r="A12" s="14" t="s">
        <v>198</v>
      </c>
      <c r="B12" s="18">
        <v>0.28851918972144469</v>
      </c>
      <c r="C12" s="18">
        <v>0.26900286370924192</v>
      </c>
      <c r="D12" s="18">
        <v>0.32338546587766848</v>
      </c>
      <c r="E12" s="18">
        <v>0.31270196728127181</v>
      </c>
      <c r="F12" s="18">
        <v>0.28851918972144458</v>
      </c>
      <c r="G12" s="18">
        <v>0.27970927455537647</v>
      </c>
      <c r="H12" s="18">
        <v>0.28296044605151699</v>
      </c>
      <c r="I12" s="18">
        <v>0.28457701930722712</v>
      </c>
    </row>
    <row r="13" spans="1:9" x14ac:dyDescent="0.35">
      <c r="A13" s="14" t="s">
        <v>199</v>
      </c>
      <c r="B13" s="18">
        <v>0.1580119655085043</v>
      </c>
      <c r="C13" s="18">
        <v>0.2152717552816914</v>
      </c>
      <c r="D13" s="18">
        <v>0.20006244742922771</v>
      </c>
      <c r="E13" s="19">
        <v>0.18791612440745289</v>
      </c>
      <c r="F13" s="18">
        <v>0.15801196550850419</v>
      </c>
      <c r="G13" s="18">
        <v>0.16674591549143061</v>
      </c>
      <c r="H13" s="18">
        <v>0.18171575801319201</v>
      </c>
      <c r="I13" s="18">
        <v>0.1786397303680031</v>
      </c>
    </row>
    <row r="14" spans="1:9" x14ac:dyDescent="0.35">
      <c r="A14" s="14" t="s">
        <v>200</v>
      </c>
      <c r="B14" s="18">
        <v>8.2811171596217481E-2</v>
      </c>
      <c r="C14" s="18">
        <v>9.6762037758339248E-2</v>
      </c>
      <c r="D14" s="18">
        <v>8.8733872666239069E-2</v>
      </c>
      <c r="E14" s="18">
        <v>9.5912094941812118E-2</v>
      </c>
      <c r="F14" s="18">
        <v>8.2811171596217481E-2</v>
      </c>
      <c r="G14" s="18">
        <v>7.6006514075930245E-2</v>
      </c>
      <c r="H14" s="18">
        <v>8.0787444813511466E-2</v>
      </c>
      <c r="I14" s="18">
        <v>7.484612153479879E-2</v>
      </c>
    </row>
    <row r="15" spans="1:9" x14ac:dyDescent="0.35">
      <c r="A15" s="14" t="s">
        <v>201</v>
      </c>
      <c r="B15" s="18">
        <v>5.1841760727367979E-2</v>
      </c>
      <c r="C15" s="23">
        <v>0</v>
      </c>
      <c r="D15" s="18">
        <v>2.734142210480893E-2</v>
      </c>
      <c r="E15" s="18">
        <v>4.6284467818229903E-2</v>
      </c>
      <c r="F15" s="18">
        <v>5.1841760727367979E-2</v>
      </c>
      <c r="G15" s="18">
        <v>4.6988702770492129E-2</v>
      </c>
      <c r="H15" s="18">
        <v>4.6161635341049008E-2</v>
      </c>
      <c r="I15" s="18">
        <v>4.9678973841885667E-2</v>
      </c>
    </row>
    <row r="16" spans="1:9" x14ac:dyDescent="0.35">
      <c r="A16" s="14" t="s">
        <v>202</v>
      </c>
      <c r="B16" s="18">
        <v>1.8884368493173351E-2</v>
      </c>
      <c r="C16" s="18">
        <v>2.782623934198972E-2</v>
      </c>
      <c r="D16" s="18">
        <v>1.4918086776557111E-2</v>
      </c>
      <c r="E16" s="18">
        <v>1.8580995827184681E-2</v>
      </c>
      <c r="F16" s="18">
        <v>1.8884368493173351E-2</v>
      </c>
      <c r="G16" s="18">
        <v>1.788907729583069E-2</v>
      </c>
      <c r="H16" s="18">
        <v>2.0193941720467939E-2</v>
      </c>
      <c r="I16" s="18">
        <v>1.6538512804508389E-2</v>
      </c>
    </row>
    <row r="17" spans="1:9" x14ac:dyDescent="0.35">
      <c r="A17" s="14" t="s">
        <v>211</v>
      </c>
      <c r="B17" s="18">
        <v>1.5716805926141039E-2</v>
      </c>
      <c r="C17" s="18">
        <v>2.782623934198972E-2</v>
      </c>
      <c r="D17" s="18">
        <v>2.584097815173483E-2</v>
      </c>
      <c r="E17" s="18">
        <v>1.649789496352537E-2</v>
      </c>
      <c r="F17" s="18">
        <v>1.5716805926141039E-2</v>
      </c>
      <c r="G17" s="18">
        <v>1.211364615720632E-2</v>
      </c>
      <c r="H17" s="18">
        <v>1.0540911723486181E-2</v>
      </c>
      <c r="I17" s="18">
        <v>1.101651128926167E-2</v>
      </c>
    </row>
    <row r="18" spans="1:9" x14ac:dyDescent="0.35">
      <c r="A18" s="14" t="s">
        <v>212</v>
      </c>
      <c r="B18" s="18">
        <v>0</v>
      </c>
      <c r="C18" s="18">
        <v>0</v>
      </c>
      <c r="D18" s="18">
        <v>0</v>
      </c>
      <c r="E18" s="18">
        <v>0</v>
      </c>
      <c r="F18" s="18">
        <v>0</v>
      </c>
      <c r="G18" s="18">
        <v>0</v>
      </c>
      <c r="H18" s="18">
        <v>0</v>
      </c>
      <c r="I18" s="18">
        <v>0</v>
      </c>
    </row>
    <row r="19" spans="1:9" x14ac:dyDescent="0.35">
      <c r="A19" s="14" t="s">
        <v>203</v>
      </c>
      <c r="B19" s="18">
        <v>0</v>
      </c>
      <c r="C19" s="18">
        <v>0</v>
      </c>
      <c r="D19" s="18">
        <v>0</v>
      </c>
      <c r="E19" s="18">
        <v>0</v>
      </c>
      <c r="F19" s="18">
        <v>0</v>
      </c>
      <c r="G19" s="18">
        <v>0</v>
      </c>
      <c r="H19" s="18">
        <v>0</v>
      </c>
      <c r="I19" s="18">
        <v>0</v>
      </c>
    </row>
    <row r="20" spans="1:9" x14ac:dyDescent="0.35">
      <c r="A20" s="14" t="s">
        <v>204</v>
      </c>
      <c r="B20" s="18">
        <v>1.4039243810924539E-2</v>
      </c>
      <c r="C20" s="18">
        <v>2.782623934198972E-2</v>
      </c>
      <c r="D20" s="18">
        <v>1.4918086776557111E-2</v>
      </c>
      <c r="E20" s="18">
        <v>1.8580995827184681E-2</v>
      </c>
      <c r="F20" s="25">
        <v>1.4039243810924539E-2</v>
      </c>
      <c r="G20" s="18">
        <v>1.082067391043017E-2</v>
      </c>
      <c r="H20" s="18">
        <v>9.4158081718955511E-3</v>
      </c>
      <c r="I20" s="18">
        <v>1.0611564835630539E-2</v>
      </c>
    </row>
    <row r="21" spans="1:9" x14ac:dyDescent="0.35">
      <c r="A21" s="14" t="s">
        <v>213</v>
      </c>
      <c r="B21" s="1">
        <v>18.688214366240221</v>
      </c>
      <c r="C21" s="1">
        <v>15.524386944045011</v>
      </c>
      <c r="D21" s="1">
        <v>13.30471937413097</v>
      </c>
      <c r="E21" s="1">
        <v>10.76690095554016</v>
      </c>
      <c r="F21" s="1">
        <v>18.688214366240221</v>
      </c>
      <c r="G21" s="1">
        <v>22.590758153341369</v>
      </c>
      <c r="H21" s="1">
        <v>20.112431239447069</v>
      </c>
      <c r="I21" s="1">
        <v>21.139988171259979</v>
      </c>
    </row>
    <row r="23" spans="1:9" x14ac:dyDescent="0.35">
      <c r="C23" s="187"/>
      <c r="D23" s="187"/>
      <c r="E23" s="187"/>
      <c r="F23" s="187"/>
      <c r="G23" s="170"/>
      <c r="H23" s="170"/>
      <c r="I23" s="170"/>
    </row>
    <row r="24" spans="1:9" ht="29" x14ac:dyDescent="0.35">
      <c r="A24" s="12" t="s">
        <v>557</v>
      </c>
      <c r="B24" s="13" t="s">
        <v>208</v>
      </c>
      <c r="C24" s="13" t="s">
        <v>458</v>
      </c>
      <c r="D24" s="13" t="s">
        <v>466</v>
      </c>
      <c r="E24" s="13" t="s">
        <v>467</v>
      </c>
      <c r="F24" s="13" t="s">
        <v>468</v>
      </c>
      <c r="G24" s="13" t="s">
        <v>634</v>
      </c>
      <c r="H24" s="13" t="s">
        <v>641</v>
      </c>
      <c r="I24" s="13" t="s">
        <v>647</v>
      </c>
    </row>
    <row r="25" spans="1:9" x14ac:dyDescent="0.35">
      <c r="A25" s="14" t="s">
        <v>209</v>
      </c>
      <c r="B25" s="15">
        <v>157</v>
      </c>
      <c r="C25" s="15">
        <v>46</v>
      </c>
      <c r="D25" s="15">
        <v>84</v>
      </c>
      <c r="E25" s="15">
        <v>115</v>
      </c>
      <c r="F25" s="15">
        <v>157</v>
      </c>
      <c r="G25" s="15">
        <v>193</v>
      </c>
      <c r="H25" s="15">
        <v>223</v>
      </c>
      <c r="I25" s="15">
        <v>213</v>
      </c>
    </row>
    <row r="26" spans="1:9" x14ac:dyDescent="0.35">
      <c r="A26" s="16" t="s">
        <v>336</v>
      </c>
      <c r="B26" s="17">
        <v>0.2763791150815928</v>
      </c>
      <c r="C26" s="17">
        <v>0.32182516078352552</v>
      </c>
      <c r="D26" s="17">
        <v>0.31926333622076303</v>
      </c>
      <c r="E26" s="17">
        <v>0.25963715242374641</v>
      </c>
      <c r="F26" s="17">
        <v>0.2763791150815928</v>
      </c>
      <c r="G26" s="17">
        <v>0.2683650003599794</v>
      </c>
      <c r="H26" s="17">
        <v>0.2654910125420521</v>
      </c>
      <c r="I26" s="17">
        <v>0.26681679173124079</v>
      </c>
    </row>
    <row r="27" spans="1:9" x14ac:dyDescent="0.35">
      <c r="A27" s="16" t="s">
        <v>194</v>
      </c>
      <c r="B27" s="17">
        <v>0.57296555205267696</v>
      </c>
      <c r="C27" s="17">
        <v>0.55650898102255786</v>
      </c>
      <c r="D27" s="17">
        <v>0.5324036228498662</v>
      </c>
      <c r="E27" s="17">
        <v>0.56476628913058924</v>
      </c>
      <c r="F27" s="17">
        <v>0.57296555205267707</v>
      </c>
      <c r="G27" s="17">
        <v>0.5719963903482993</v>
      </c>
      <c r="H27" s="17">
        <v>0.56861054113144527</v>
      </c>
      <c r="I27" s="17">
        <v>0.55935015402667909</v>
      </c>
    </row>
    <row r="28" spans="1:9" x14ac:dyDescent="0.35">
      <c r="A28" s="16" t="s">
        <v>195</v>
      </c>
      <c r="B28" s="17">
        <v>0.15065533286572991</v>
      </c>
      <c r="C28" s="17">
        <v>0.1216658581939167</v>
      </c>
      <c r="D28" s="17">
        <v>0.14833304092937061</v>
      </c>
      <c r="E28" s="17">
        <v>0.1755965584456643</v>
      </c>
      <c r="F28" s="17">
        <v>0.15065533286572991</v>
      </c>
      <c r="G28" s="17">
        <v>0.15963860929172111</v>
      </c>
      <c r="H28" s="17">
        <v>0.1658984463265025</v>
      </c>
      <c r="I28" s="17">
        <v>0.17383305424208001</v>
      </c>
    </row>
    <row r="29" spans="1:9" x14ac:dyDescent="0.35">
      <c r="A29" s="14" t="s">
        <v>210</v>
      </c>
      <c r="B29" s="18">
        <v>0.1270121869905658</v>
      </c>
      <c r="C29" s="18">
        <v>0.113419717303903</v>
      </c>
      <c r="D29" s="18">
        <v>0.14368330257871431</v>
      </c>
      <c r="E29" s="18">
        <v>0.1142666370814954</v>
      </c>
      <c r="F29" s="18">
        <v>0.1270121869905658</v>
      </c>
      <c r="G29" s="18">
        <v>0.124099607451267</v>
      </c>
      <c r="H29" s="18">
        <v>0.1239289288081963</v>
      </c>
      <c r="I29" s="18">
        <v>0.1323628680082696</v>
      </c>
    </row>
    <row r="30" spans="1:9" x14ac:dyDescent="0.35">
      <c r="A30" s="14" t="s">
        <v>197</v>
      </c>
      <c r="B30" s="18">
        <v>0.149366928091027</v>
      </c>
      <c r="C30" s="18">
        <v>0.20840544347962239</v>
      </c>
      <c r="D30" s="18">
        <v>0.1755800336420488</v>
      </c>
      <c r="E30" s="18">
        <v>0.14537051534225101</v>
      </c>
      <c r="F30" s="18">
        <v>0.149366928091027</v>
      </c>
      <c r="G30" s="18">
        <v>0.1442653929087124</v>
      </c>
      <c r="H30" s="18">
        <v>0.14156208373385579</v>
      </c>
      <c r="I30" s="18">
        <v>0.1344539237229711</v>
      </c>
    </row>
    <row r="31" spans="1:9" x14ac:dyDescent="0.35">
      <c r="A31" s="14" t="s">
        <v>198</v>
      </c>
      <c r="B31" s="18">
        <v>0.34741660181533929</v>
      </c>
      <c r="C31" s="18">
        <v>0.42903662419563482</v>
      </c>
      <c r="D31" s="18">
        <v>0.32741657697664373</v>
      </c>
      <c r="E31" s="18">
        <v>0.34990236658654489</v>
      </c>
      <c r="F31" s="25">
        <v>0.3474166018153394</v>
      </c>
      <c r="G31" s="18">
        <v>0.37426643394800901</v>
      </c>
      <c r="H31" s="18">
        <v>0.36865615674257091</v>
      </c>
      <c r="I31" s="18">
        <v>0.32438797534532371</v>
      </c>
    </row>
    <row r="32" spans="1:9" x14ac:dyDescent="0.35">
      <c r="A32" s="14" t="s">
        <v>199</v>
      </c>
      <c r="B32" s="18">
        <v>0.2255489502373377</v>
      </c>
      <c r="C32" s="21">
        <v>0.12747235682692309</v>
      </c>
      <c r="D32" s="18">
        <v>0.20498704587322261</v>
      </c>
      <c r="E32" s="18">
        <v>0.21486392254404441</v>
      </c>
      <c r="F32" s="18">
        <v>0.2255489502373377</v>
      </c>
      <c r="G32" s="18">
        <v>0.1977299564002904</v>
      </c>
      <c r="H32" s="18">
        <v>0.19995438438887439</v>
      </c>
      <c r="I32" s="20">
        <v>0.23496217868135541</v>
      </c>
    </row>
    <row r="33" spans="1:9" x14ac:dyDescent="0.35">
      <c r="A33" s="14" t="s">
        <v>200</v>
      </c>
      <c r="B33" s="18">
        <v>8.4899138681640812E-2</v>
      </c>
      <c r="C33" s="18">
        <v>6.8943646128475852E-2</v>
      </c>
      <c r="D33" s="18">
        <v>8.4082687705954409E-2</v>
      </c>
      <c r="E33" s="18">
        <v>9.9166640175333123E-2</v>
      </c>
      <c r="F33" s="18">
        <v>8.4899138681640826E-2</v>
      </c>
      <c r="G33" s="18">
        <v>8.6551395438655143E-2</v>
      </c>
      <c r="H33" s="18">
        <v>8.9724689852877473E-2</v>
      </c>
      <c r="I33" s="18">
        <v>8.8750445519359983E-2</v>
      </c>
    </row>
    <row r="34" spans="1:9" x14ac:dyDescent="0.35">
      <c r="A34" s="14" t="s">
        <v>201</v>
      </c>
      <c r="B34" s="18">
        <v>4.9684605166833679E-2</v>
      </c>
      <c r="C34" s="18">
        <v>3.4599995482624962E-2</v>
      </c>
      <c r="D34" s="18">
        <v>3.4123187916778618E-2</v>
      </c>
      <c r="E34" s="18">
        <v>5.4624153395361752E-2</v>
      </c>
      <c r="F34" s="18">
        <v>4.9684605166833692E-2</v>
      </c>
      <c r="G34" s="18">
        <v>4.8033655334350722E-2</v>
      </c>
      <c r="H34" s="18">
        <v>5.455364847069908E-2</v>
      </c>
      <c r="I34" s="18">
        <v>5.4560661094059007E-2</v>
      </c>
    </row>
    <row r="35" spans="1:9" x14ac:dyDescent="0.35">
      <c r="A35" s="14" t="s">
        <v>202</v>
      </c>
      <c r="B35" s="18">
        <v>0</v>
      </c>
      <c r="C35" s="18">
        <v>0</v>
      </c>
      <c r="D35" s="18">
        <v>0</v>
      </c>
      <c r="E35" s="18">
        <v>0</v>
      </c>
      <c r="F35" s="18">
        <v>0</v>
      </c>
      <c r="G35" s="18">
        <v>0</v>
      </c>
      <c r="H35" s="18">
        <v>0</v>
      </c>
      <c r="I35" s="18">
        <v>3.7652538072815052E-3</v>
      </c>
    </row>
    <row r="36" spans="1:9" x14ac:dyDescent="0.35">
      <c r="A36" s="14" t="s">
        <v>211</v>
      </c>
      <c r="B36" s="18">
        <v>5.2475505582472654E-3</v>
      </c>
      <c r="C36" s="18">
        <v>0</v>
      </c>
      <c r="D36" s="18">
        <v>9.8368507901436929E-3</v>
      </c>
      <c r="E36" s="18">
        <v>7.1198220362528432E-3</v>
      </c>
      <c r="F36" s="18">
        <v>5.2475505582472654E-3</v>
      </c>
      <c r="G36" s="18">
        <v>4.3303732932164288E-3</v>
      </c>
      <c r="H36" s="18">
        <v>3.736919776182214E-3</v>
      </c>
      <c r="I36" s="18">
        <v>4.0077290679293616E-3</v>
      </c>
    </row>
    <row r="37" spans="1:9" x14ac:dyDescent="0.35">
      <c r="A37" s="14" t="s">
        <v>212</v>
      </c>
      <c r="B37" s="18">
        <v>0</v>
      </c>
      <c r="C37" s="18">
        <v>0</v>
      </c>
      <c r="D37" s="18">
        <v>0</v>
      </c>
      <c r="E37" s="18">
        <v>0</v>
      </c>
      <c r="F37" s="18">
        <v>0</v>
      </c>
      <c r="G37" s="18">
        <v>0</v>
      </c>
      <c r="H37" s="18">
        <v>0</v>
      </c>
      <c r="I37" s="18">
        <v>0</v>
      </c>
    </row>
    <row r="38" spans="1:9" x14ac:dyDescent="0.35">
      <c r="A38" s="14" t="s">
        <v>203</v>
      </c>
      <c r="B38" s="18">
        <v>5.5764879007609023E-3</v>
      </c>
      <c r="C38" s="18">
        <v>1.81222165828159E-2</v>
      </c>
      <c r="D38" s="18">
        <v>1.0453463726350219E-2</v>
      </c>
      <c r="E38" s="18">
        <v>7.5661208024637378E-3</v>
      </c>
      <c r="F38" s="25">
        <v>5.5764879007609031E-3</v>
      </c>
      <c r="G38" s="25">
        <v>4.6018183164423529E-3</v>
      </c>
      <c r="H38" s="18">
        <v>3.971164772341833E-3</v>
      </c>
      <c r="I38" s="21">
        <v>0</v>
      </c>
    </row>
    <row r="39" spans="1:9" x14ac:dyDescent="0.35">
      <c r="A39" s="14" t="s">
        <v>204</v>
      </c>
      <c r="B39" s="18">
        <v>5.2475505582472654E-3</v>
      </c>
      <c r="C39" s="18">
        <v>0</v>
      </c>
      <c r="D39" s="18">
        <v>9.8368507901436929E-3</v>
      </c>
      <c r="E39" s="18">
        <v>7.1198220362528432E-3</v>
      </c>
      <c r="F39" s="18">
        <v>5.2475505582472654E-3</v>
      </c>
      <c r="G39" s="18">
        <v>1.6121366909056481E-2</v>
      </c>
      <c r="H39" s="18">
        <v>1.391202345440194E-2</v>
      </c>
      <c r="I39" s="18">
        <v>2.2748964753450191E-2</v>
      </c>
    </row>
    <row r="40" spans="1:9" x14ac:dyDescent="0.35">
      <c r="A40" s="14" t="s">
        <v>213</v>
      </c>
      <c r="B40" s="1">
        <v>12.57237822158628</v>
      </c>
      <c r="C40" s="1">
        <v>20.015930258960871</v>
      </c>
      <c r="D40" s="1">
        <v>17.09302952913924</v>
      </c>
      <c r="E40" s="1">
        <v>8.4040593978082114</v>
      </c>
      <c r="F40" s="1">
        <v>12.57237822158628</v>
      </c>
      <c r="G40" s="1">
        <v>10.872639106825829</v>
      </c>
      <c r="H40" s="1">
        <v>9.9592566215549514</v>
      </c>
      <c r="I40" s="1">
        <v>9.298373748916072</v>
      </c>
    </row>
    <row r="42" spans="1:9" x14ac:dyDescent="0.35">
      <c r="C42" s="187"/>
      <c r="D42" s="187"/>
      <c r="E42" s="187"/>
      <c r="F42" s="187"/>
      <c r="G42" s="170"/>
      <c r="H42" s="170"/>
      <c r="I42" s="170"/>
    </row>
    <row r="43" spans="1:9" ht="29" x14ac:dyDescent="0.35">
      <c r="A43" s="12" t="s">
        <v>558</v>
      </c>
      <c r="B43" s="13" t="s">
        <v>208</v>
      </c>
      <c r="C43" s="13" t="s">
        <v>458</v>
      </c>
      <c r="D43" s="13" t="s">
        <v>466</v>
      </c>
      <c r="E43" s="13" t="s">
        <v>467</v>
      </c>
      <c r="F43" s="13" t="s">
        <v>468</v>
      </c>
      <c r="G43" s="13" t="s">
        <v>634</v>
      </c>
      <c r="H43" s="13" t="s">
        <v>641</v>
      </c>
      <c r="I43" s="13" t="s">
        <v>647</v>
      </c>
    </row>
    <row r="44" spans="1:9" x14ac:dyDescent="0.35">
      <c r="A44" s="14" t="s">
        <v>209</v>
      </c>
      <c r="B44" s="15">
        <v>133</v>
      </c>
      <c r="C44" s="15">
        <v>38</v>
      </c>
      <c r="D44" s="15">
        <v>67</v>
      </c>
      <c r="E44" s="15">
        <v>98</v>
      </c>
      <c r="F44" s="15">
        <v>133</v>
      </c>
      <c r="G44" s="15">
        <v>168</v>
      </c>
      <c r="H44" s="15">
        <v>203</v>
      </c>
      <c r="I44" s="15">
        <v>199</v>
      </c>
    </row>
    <row r="45" spans="1:9" x14ac:dyDescent="0.35">
      <c r="A45" s="16" t="s">
        <v>336</v>
      </c>
      <c r="B45" s="17">
        <v>0.30932401286541561</v>
      </c>
      <c r="C45" s="17">
        <v>0.4045273161020253</v>
      </c>
      <c r="D45" s="17">
        <v>0.32176269538066288</v>
      </c>
      <c r="E45" s="17">
        <v>0.33513915457959859</v>
      </c>
      <c r="F45" s="17">
        <v>0.30932401286541539</v>
      </c>
      <c r="G45" s="17">
        <v>0.32986538217565731</v>
      </c>
      <c r="H45" s="17">
        <v>0.33102770476986199</v>
      </c>
      <c r="I45" s="17">
        <v>0.3024702373024889</v>
      </c>
    </row>
    <row r="46" spans="1:9" x14ac:dyDescent="0.35">
      <c r="A46" s="16" t="s">
        <v>194</v>
      </c>
      <c r="B46" s="17">
        <v>0.46657557839895142</v>
      </c>
      <c r="C46" s="17">
        <v>0.39353783123104019</v>
      </c>
      <c r="D46" s="17">
        <v>0.47341287565586582</v>
      </c>
      <c r="E46" s="17">
        <v>0.44395476245163429</v>
      </c>
      <c r="F46" s="152">
        <v>0.46657557839895142</v>
      </c>
      <c r="G46" s="17">
        <v>0.47191430765270032</v>
      </c>
      <c r="H46" s="17">
        <v>0.49369042452158152</v>
      </c>
      <c r="I46" s="17">
        <v>0.53342434339133027</v>
      </c>
    </row>
    <row r="47" spans="1:9" x14ac:dyDescent="0.35">
      <c r="A47" s="16" t="s">
        <v>195</v>
      </c>
      <c r="B47" s="17">
        <v>0.224100408735633</v>
      </c>
      <c r="C47" s="17">
        <v>0.20193485266693459</v>
      </c>
      <c r="D47" s="17">
        <v>0.20482442896347139</v>
      </c>
      <c r="E47" s="17">
        <v>0.22090608296876699</v>
      </c>
      <c r="F47" s="17">
        <v>0.224100408735633</v>
      </c>
      <c r="G47" s="17">
        <v>0.19822031017164229</v>
      </c>
      <c r="H47" s="17">
        <v>0.1752818707085565</v>
      </c>
      <c r="I47" s="17">
        <v>0.16410541930618069</v>
      </c>
    </row>
    <row r="48" spans="1:9" x14ac:dyDescent="0.35">
      <c r="A48" s="14" t="s">
        <v>210</v>
      </c>
      <c r="B48" s="18">
        <v>0.1273605960128934</v>
      </c>
      <c r="C48" s="18">
        <v>0.16506274929592329</v>
      </c>
      <c r="D48" s="18">
        <v>0.13737368354966839</v>
      </c>
      <c r="E48" s="23">
        <v>9.3950090335779085E-2</v>
      </c>
      <c r="F48" s="18">
        <v>0.1273605960128934</v>
      </c>
      <c r="G48" s="18">
        <v>0.1336888459657575</v>
      </c>
      <c r="H48" s="18">
        <v>0.1453670135388043</v>
      </c>
      <c r="I48" s="18">
        <v>0.13463556268896859</v>
      </c>
    </row>
    <row r="49" spans="1:9" x14ac:dyDescent="0.35">
      <c r="A49" s="14" t="s">
        <v>197</v>
      </c>
      <c r="B49" s="18">
        <v>0.1819634168525221</v>
      </c>
      <c r="C49" s="18">
        <v>0.23946456680610201</v>
      </c>
      <c r="D49" s="18">
        <v>0.18438901183099449</v>
      </c>
      <c r="E49" s="22">
        <v>0.24118906424381961</v>
      </c>
      <c r="F49" s="18">
        <v>0.1819634168525221</v>
      </c>
      <c r="G49" s="18">
        <v>0.1961765362098998</v>
      </c>
      <c r="H49" s="18">
        <v>0.18566069123105769</v>
      </c>
      <c r="I49" s="18">
        <v>0.16783467461352031</v>
      </c>
    </row>
    <row r="50" spans="1:9" x14ac:dyDescent="0.35">
      <c r="A50" s="14" t="s">
        <v>198</v>
      </c>
      <c r="B50" s="18">
        <v>0.26031272027585511</v>
      </c>
      <c r="C50" s="18">
        <v>0.27477716476419323</v>
      </c>
      <c r="D50" s="20">
        <v>0.33054684525063832</v>
      </c>
      <c r="E50" s="18">
        <v>0.29197631582366668</v>
      </c>
      <c r="F50" s="18">
        <v>0.26031272027585511</v>
      </c>
      <c r="G50" s="18">
        <v>0.28171162909048991</v>
      </c>
      <c r="H50" s="18">
        <v>0.2986278418513203</v>
      </c>
      <c r="I50" s="18">
        <v>0.34262356892711687</v>
      </c>
    </row>
    <row r="51" spans="1:9" x14ac:dyDescent="0.35">
      <c r="A51" s="14" t="s">
        <v>199</v>
      </c>
      <c r="B51" s="18">
        <v>0.20626285812309639</v>
      </c>
      <c r="C51" s="18">
        <v>0.11876066646684701</v>
      </c>
      <c r="D51" s="23">
        <v>0.14286603040522741</v>
      </c>
      <c r="E51" s="21">
        <v>0.15197844662796761</v>
      </c>
      <c r="F51" s="18">
        <v>0.20626285812309639</v>
      </c>
      <c r="G51" s="18">
        <v>0.19020267856221049</v>
      </c>
      <c r="H51" s="18">
        <v>0.1950625826702613</v>
      </c>
      <c r="I51" s="18">
        <v>0.1908007744642134</v>
      </c>
    </row>
    <row r="52" spans="1:9" x14ac:dyDescent="0.35">
      <c r="A52" s="14" t="s">
        <v>200</v>
      </c>
      <c r="B52" s="18">
        <v>5.3803984934164939E-2</v>
      </c>
      <c r="C52" s="18">
        <v>2.669958206651946E-2</v>
      </c>
      <c r="D52" s="18">
        <v>2.9621607605297889E-2</v>
      </c>
      <c r="E52" s="18">
        <v>6.3906830301721715E-2</v>
      </c>
      <c r="F52" s="18">
        <v>5.3803984934164932E-2</v>
      </c>
      <c r="G52" s="18">
        <v>5.4889749004508978E-2</v>
      </c>
      <c r="H52" s="18">
        <v>5.1233776485721839E-2</v>
      </c>
      <c r="I52" s="18">
        <v>5.5336055997218803E-2</v>
      </c>
    </row>
    <row r="53" spans="1:9" x14ac:dyDescent="0.35">
      <c r="A53" s="14" t="s">
        <v>201</v>
      </c>
      <c r="B53" s="18">
        <v>8.340947449154873E-2</v>
      </c>
      <c r="C53" s="18">
        <v>8.0429375432149841E-2</v>
      </c>
      <c r="D53" s="18">
        <v>6.898883270808355E-2</v>
      </c>
      <c r="E53" s="18">
        <v>8.4359329424458104E-2</v>
      </c>
      <c r="F53" s="18">
        <v>8.3409474491548702E-2</v>
      </c>
      <c r="G53" s="18">
        <v>7.4821788651685969E-2</v>
      </c>
      <c r="H53" s="25">
        <v>6.2053653794094409E-2</v>
      </c>
      <c r="I53" s="18">
        <v>5.4615473418891808E-2</v>
      </c>
    </row>
    <row r="54" spans="1:9" x14ac:dyDescent="0.35">
      <c r="A54" s="14" t="s">
        <v>202</v>
      </c>
      <c r="B54" s="18">
        <v>1.0973073051815829E-2</v>
      </c>
      <c r="C54" s="18">
        <v>0</v>
      </c>
      <c r="D54" s="18">
        <v>2.1840403277162551E-2</v>
      </c>
      <c r="E54" s="18">
        <v>1.493668807473876E-2</v>
      </c>
      <c r="F54" s="18">
        <v>1.0973073051815829E-2</v>
      </c>
      <c r="G54" s="18">
        <v>8.6520676749829595E-3</v>
      </c>
      <c r="H54" s="18">
        <v>7.1756158437462046E-3</v>
      </c>
      <c r="I54" s="18">
        <v>7.1984599462380887E-3</v>
      </c>
    </row>
    <row r="55" spans="1:9" x14ac:dyDescent="0.35">
      <c r="A55" s="14" t="s">
        <v>211</v>
      </c>
      <c r="B55" s="18">
        <v>1.494621959949656E-2</v>
      </c>
      <c r="C55" s="18">
        <v>3.9596232961542618E-2</v>
      </c>
      <c r="D55" s="18">
        <v>2.106070214293021E-2</v>
      </c>
      <c r="E55" s="18">
        <v>1.440344917407586E-2</v>
      </c>
      <c r="F55" s="18">
        <v>1.494621959949656E-2</v>
      </c>
      <c r="G55" s="18">
        <v>1.178482115715084E-2</v>
      </c>
      <c r="H55" s="18">
        <v>9.7737734594330501E-3</v>
      </c>
      <c r="I55" s="21">
        <v>2.8634136460437701E-3</v>
      </c>
    </row>
    <row r="56" spans="1:9" x14ac:dyDescent="0.35">
      <c r="A56" s="14" t="s">
        <v>212</v>
      </c>
      <c r="B56" s="18">
        <v>1.367928374778409E-2</v>
      </c>
      <c r="C56" s="18">
        <v>0</v>
      </c>
      <c r="D56" s="18">
        <v>0</v>
      </c>
      <c r="E56" s="21">
        <v>0</v>
      </c>
      <c r="F56" s="18">
        <v>1.367928374778409E-2</v>
      </c>
      <c r="G56" s="18">
        <v>1.0785865379027719E-2</v>
      </c>
      <c r="H56" s="18">
        <v>1.412179049642227E-2</v>
      </c>
      <c r="I56" s="18">
        <v>1.416674825844493E-2</v>
      </c>
    </row>
    <row r="57" spans="1:9" x14ac:dyDescent="0.35">
      <c r="A57" s="14" t="s">
        <v>203</v>
      </c>
      <c r="B57" s="18">
        <v>1.1113778368646601E-2</v>
      </c>
      <c r="C57" s="18">
        <v>0</v>
      </c>
      <c r="D57" s="18">
        <v>0</v>
      </c>
      <c r="E57" s="21">
        <v>0</v>
      </c>
      <c r="F57" s="18">
        <v>1.1113778368646601E-2</v>
      </c>
      <c r="G57" s="18">
        <v>8.7630112472804472E-3</v>
      </c>
      <c r="H57" s="18">
        <v>7.2676271969908763E-3</v>
      </c>
      <c r="I57" s="18">
        <v>9.7842725083613358E-3</v>
      </c>
    </row>
    <row r="58" spans="1:9" x14ac:dyDescent="0.35">
      <c r="A58" s="14" t="s">
        <v>204</v>
      </c>
      <c r="B58" s="18">
        <v>3.6174594542176267E-2</v>
      </c>
      <c r="C58" s="18">
        <v>5.5209662206722653E-2</v>
      </c>
      <c r="D58" s="20">
        <v>6.3312883229997202E-2</v>
      </c>
      <c r="E58" s="18">
        <v>4.3299785993772523E-2</v>
      </c>
      <c r="F58" s="18">
        <v>3.6174594542176267E-2</v>
      </c>
      <c r="G58" s="18">
        <v>2.8523007057005358E-2</v>
      </c>
      <c r="H58" s="18">
        <v>2.365563343214783E-2</v>
      </c>
      <c r="I58" s="18">
        <v>2.0140995530982E-2</v>
      </c>
    </row>
    <row r="59" spans="1:9" x14ac:dyDescent="0.35">
      <c r="A59" s="14" t="s">
        <v>213</v>
      </c>
      <c r="B59" s="1">
        <v>8.5223604129782551</v>
      </c>
      <c r="C59" s="1">
        <v>20.259246343509069</v>
      </c>
      <c r="D59" s="1">
        <v>11.69382664171915</v>
      </c>
      <c r="E59" s="1">
        <v>11.423307161083169</v>
      </c>
      <c r="F59" s="1">
        <v>8.522360412978248</v>
      </c>
      <c r="G59" s="1">
        <v>13.1645072004015</v>
      </c>
      <c r="H59" s="1">
        <v>15.57458340613055</v>
      </c>
      <c r="I59" s="1">
        <v>13.836481799630819</v>
      </c>
    </row>
    <row r="61" spans="1:9" x14ac:dyDescent="0.35">
      <c r="C61" s="187"/>
      <c r="D61" s="187"/>
      <c r="E61" s="187"/>
      <c r="F61" s="187"/>
      <c r="G61" s="170"/>
      <c r="H61" s="170"/>
      <c r="I61" s="170"/>
    </row>
    <row r="62" spans="1:9" ht="29" x14ac:dyDescent="0.35">
      <c r="A62" s="12" t="s">
        <v>559</v>
      </c>
      <c r="B62" s="13" t="s">
        <v>208</v>
      </c>
      <c r="C62" s="13" t="s">
        <v>458</v>
      </c>
      <c r="D62" s="13" t="s">
        <v>466</v>
      </c>
      <c r="E62" s="13" t="s">
        <v>467</v>
      </c>
      <c r="F62" s="13" t="s">
        <v>468</v>
      </c>
      <c r="G62" s="13" t="s">
        <v>634</v>
      </c>
      <c r="H62" s="13" t="s">
        <v>641</v>
      </c>
      <c r="I62" s="13" t="s">
        <v>647</v>
      </c>
    </row>
    <row r="63" spans="1:9" x14ac:dyDescent="0.35">
      <c r="A63" s="14" t="s">
        <v>209</v>
      </c>
      <c r="B63" s="15">
        <v>9</v>
      </c>
      <c r="C63" s="15">
        <v>5</v>
      </c>
      <c r="D63" s="15">
        <v>9</v>
      </c>
      <c r="E63" s="15">
        <v>9</v>
      </c>
      <c r="F63" s="15">
        <v>9</v>
      </c>
      <c r="G63" s="15">
        <v>9</v>
      </c>
      <c r="H63" s="15">
        <v>9</v>
      </c>
      <c r="I63" s="15">
        <v>4</v>
      </c>
    </row>
    <row r="64" spans="1:9" x14ac:dyDescent="0.35">
      <c r="A64" s="16" t="s">
        <v>336</v>
      </c>
      <c r="B64" s="17">
        <v>0.26062452478928672</v>
      </c>
      <c r="C64" s="17">
        <v>0.21291728354729689</v>
      </c>
      <c r="D64" s="17">
        <v>0.26062452478928672</v>
      </c>
      <c r="E64" s="17">
        <v>0.26062452478928672</v>
      </c>
      <c r="F64" s="17">
        <v>0.26062452478928672</v>
      </c>
      <c r="G64" s="17">
        <v>0.26062452478928672</v>
      </c>
      <c r="H64" s="17">
        <v>0.26062452478928672</v>
      </c>
      <c r="I64" s="17">
        <v>0.30659989037570168</v>
      </c>
    </row>
    <row r="65" spans="1:9" x14ac:dyDescent="0.35">
      <c r="A65" s="16" t="s">
        <v>194</v>
      </c>
      <c r="B65" s="17">
        <v>0.49650478636748729</v>
      </c>
      <c r="C65" s="17">
        <v>0.787082716452703</v>
      </c>
      <c r="D65" s="17">
        <v>0.49650478636748729</v>
      </c>
      <c r="E65" s="17">
        <v>0.49650478636748729</v>
      </c>
      <c r="F65" s="17">
        <v>0.49650478636748729</v>
      </c>
      <c r="G65" s="17">
        <v>0.49650478636748729</v>
      </c>
      <c r="H65" s="17">
        <v>0.49650478636748729</v>
      </c>
      <c r="I65" s="17">
        <v>0.21647546127515371</v>
      </c>
    </row>
    <row r="66" spans="1:9" x14ac:dyDescent="0.35">
      <c r="A66" s="16" t="s">
        <v>195</v>
      </c>
      <c r="B66" s="17">
        <v>0.24287068884322591</v>
      </c>
      <c r="C66" s="17">
        <v>0</v>
      </c>
      <c r="D66" s="17">
        <v>0.24287068884322591</v>
      </c>
      <c r="E66" s="17">
        <v>0.24287068884322591</v>
      </c>
      <c r="F66" s="17">
        <v>0.24287068884322591</v>
      </c>
      <c r="G66" s="17">
        <v>0.24287068884322591</v>
      </c>
      <c r="H66" s="17">
        <v>0.24287068884322591</v>
      </c>
      <c r="I66" s="17">
        <v>0.47692464834914478</v>
      </c>
    </row>
    <row r="67" spans="1:9" x14ac:dyDescent="0.35">
      <c r="A67" s="14" t="s">
        <v>210</v>
      </c>
      <c r="B67" s="18">
        <v>0</v>
      </c>
      <c r="C67" s="18">
        <v>0</v>
      </c>
      <c r="D67" s="18">
        <v>0</v>
      </c>
      <c r="E67" s="18">
        <v>0</v>
      </c>
      <c r="F67" s="18">
        <v>0</v>
      </c>
      <c r="G67" s="18">
        <v>0</v>
      </c>
      <c r="H67" s="18">
        <v>0</v>
      </c>
      <c r="I67" s="18">
        <v>0</v>
      </c>
    </row>
    <row r="68" spans="1:9" x14ac:dyDescent="0.35">
      <c r="A68" s="14" t="s">
        <v>197</v>
      </c>
      <c r="B68" s="18">
        <v>0.26062452478928672</v>
      </c>
      <c r="C68" s="18">
        <v>0.21291728354729689</v>
      </c>
      <c r="D68" s="18">
        <v>0.26062452478928672</v>
      </c>
      <c r="E68" s="18">
        <v>0.26062452478928672</v>
      </c>
      <c r="F68" s="18">
        <v>0.26062452478928672</v>
      </c>
      <c r="G68" s="18">
        <v>0.26062452478928672</v>
      </c>
      <c r="H68" s="18">
        <v>0.26062452478928672</v>
      </c>
      <c r="I68" s="18">
        <v>0.30659989037570168</v>
      </c>
    </row>
    <row r="69" spans="1:9" x14ac:dyDescent="0.35">
      <c r="A69" s="14" t="s">
        <v>198</v>
      </c>
      <c r="B69" s="18">
        <v>0.2381931356395062</v>
      </c>
      <c r="C69" s="18">
        <v>0.48535892190782998</v>
      </c>
      <c r="D69" s="18">
        <v>0.2381931356395062</v>
      </c>
      <c r="E69" s="18">
        <v>0.2381931356395062</v>
      </c>
      <c r="F69" s="18">
        <v>0.2381931356395062</v>
      </c>
      <c r="G69" s="18">
        <v>0.2381931356395062</v>
      </c>
      <c r="H69" s="18">
        <v>0.2381931356395062</v>
      </c>
      <c r="I69" s="18">
        <v>0</v>
      </c>
    </row>
    <row r="70" spans="1:9" x14ac:dyDescent="0.35">
      <c r="A70" s="14" t="s">
        <v>199</v>
      </c>
      <c r="B70" s="18">
        <v>0.25831165072798118</v>
      </c>
      <c r="C70" s="18">
        <v>0.30172379454487308</v>
      </c>
      <c r="D70" s="18">
        <v>0.25831165072798118</v>
      </c>
      <c r="E70" s="18">
        <v>0.25831165072798118</v>
      </c>
      <c r="F70" s="18">
        <v>0.25831165072798118</v>
      </c>
      <c r="G70" s="18">
        <v>0.25831165072798118</v>
      </c>
      <c r="H70" s="18">
        <v>0.25831165072798118</v>
      </c>
      <c r="I70" s="18">
        <v>0.21647546127515371</v>
      </c>
    </row>
    <row r="71" spans="1:9" x14ac:dyDescent="0.35">
      <c r="A71" s="14" t="s">
        <v>200</v>
      </c>
      <c r="B71" s="18">
        <v>9.1209964726920667E-2</v>
      </c>
      <c r="C71" s="18">
        <v>0</v>
      </c>
      <c r="D71" s="18">
        <v>9.1209964726920667E-2</v>
      </c>
      <c r="E71" s="18">
        <v>9.1209964726920667E-2</v>
      </c>
      <c r="F71" s="18">
        <v>9.1209964726920667E-2</v>
      </c>
      <c r="G71" s="18">
        <v>9.1209964726920667E-2</v>
      </c>
      <c r="H71" s="18">
        <v>9.1209964726920667E-2</v>
      </c>
      <c r="I71" s="18">
        <v>0.1791088111970735</v>
      </c>
    </row>
    <row r="72" spans="1:9" x14ac:dyDescent="0.35">
      <c r="A72" s="14" t="s">
        <v>201</v>
      </c>
      <c r="B72" s="18">
        <v>0.1516607241163053</v>
      </c>
      <c r="C72" s="18">
        <v>0</v>
      </c>
      <c r="D72" s="18">
        <v>0.1516607241163053</v>
      </c>
      <c r="E72" s="18">
        <v>0.1516607241163053</v>
      </c>
      <c r="F72" s="18">
        <v>0.1516607241163053</v>
      </c>
      <c r="G72" s="18">
        <v>0.1516607241163053</v>
      </c>
      <c r="H72" s="18">
        <v>0.1516607241163053</v>
      </c>
      <c r="I72" s="18">
        <v>0.29781583715207122</v>
      </c>
    </row>
    <row r="73" spans="1:9" x14ac:dyDescent="0.35">
      <c r="A73" s="14" t="s">
        <v>202</v>
      </c>
      <c r="B73" s="18">
        <v>0</v>
      </c>
      <c r="C73" s="18">
        <v>0</v>
      </c>
      <c r="D73" s="18">
        <v>0</v>
      </c>
      <c r="E73" s="18">
        <v>0</v>
      </c>
      <c r="F73" s="18">
        <v>0</v>
      </c>
      <c r="G73" s="18">
        <v>0</v>
      </c>
      <c r="H73" s="18">
        <v>0</v>
      </c>
      <c r="I73" s="18">
        <v>0</v>
      </c>
    </row>
    <row r="74" spans="1:9" x14ac:dyDescent="0.35">
      <c r="A74" s="14" t="s">
        <v>211</v>
      </c>
      <c r="B74" s="18">
        <v>0</v>
      </c>
      <c r="C74" s="18">
        <v>0</v>
      </c>
      <c r="D74" s="18">
        <v>0</v>
      </c>
      <c r="E74" s="18">
        <v>0</v>
      </c>
      <c r="F74" s="18">
        <v>0</v>
      </c>
      <c r="G74" s="18">
        <v>0</v>
      </c>
      <c r="H74" s="18">
        <v>0</v>
      </c>
      <c r="I74" s="18">
        <v>0</v>
      </c>
    </row>
    <row r="75" spans="1:9" x14ac:dyDescent="0.35">
      <c r="A75" s="14" t="s">
        <v>212</v>
      </c>
      <c r="B75" s="18">
        <v>0</v>
      </c>
      <c r="C75" s="18">
        <v>0</v>
      </c>
      <c r="D75" s="18">
        <v>0</v>
      </c>
      <c r="E75" s="18">
        <v>0</v>
      </c>
      <c r="F75" s="18">
        <v>0</v>
      </c>
      <c r="G75" s="18">
        <v>0</v>
      </c>
      <c r="H75" s="18">
        <v>0</v>
      </c>
      <c r="I75" s="18">
        <v>0</v>
      </c>
    </row>
    <row r="76" spans="1:9" x14ac:dyDescent="0.35">
      <c r="A76" s="14" t="s">
        <v>203</v>
      </c>
      <c r="B76" s="18">
        <v>0</v>
      </c>
      <c r="C76" s="18">
        <v>0</v>
      </c>
      <c r="D76" s="18">
        <v>0</v>
      </c>
      <c r="E76" s="18">
        <v>0</v>
      </c>
      <c r="F76" s="18">
        <v>0</v>
      </c>
      <c r="G76" s="18">
        <v>0</v>
      </c>
      <c r="H76" s="18">
        <v>0</v>
      </c>
      <c r="I76" s="18">
        <v>0</v>
      </c>
    </row>
    <row r="77" spans="1:9" x14ac:dyDescent="0.35">
      <c r="A77" s="14" t="s">
        <v>204</v>
      </c>
      <c r="B77" s="18">
        <v>0</v>
      </c>
      <c r="C77" s="18">
        <v>0</v>
      </c>
      <c r="D77" s="18">
        <v>0</v>
      </c>
      <c r="E77" s="18">
        <v>0</v>
      </c>
      <c r="F77" s="18">
        <v>0</v>
      </c>
      <c r="G77" s="18">
        <v>0</v>
      </c>
      <c r="H77" s="18">
        <v>0</v>
      </c>
      <c r="I77" s="18">
        <v>0</v>
      </c>
    </row>
    <row r="78" spans="1:9" x14ac:dyDescent="0.35">
      <c r="A78" s="14" t="s">
        <v>213</v>
      </c>
      <c r="B78" s="1">
        <v>1.775383594606075</v>
      </c>
      <c r="C78" s="1">
        <v>21.291728354729688</v>
      </c>
      <c r="D78" s="1">
        <v>1.7753835946060801</v>
      </c>
      <c r="E78" s="1">
        <v>1.7753835946060801</v>
      </c>
      <c r="F78" s="1">
        <v>1.7753835946060801</v>
      </c>
      <c r="G78" s="1">
        <v>1.7753835946060801</v>
      </c>
      <c r="H78" s="1">
        <v>1.7753835946060801</v>
      </c>
      <c r="I78" s="1">
        <v>-17.032475797344301</v>
      </c>
    </row>
    <row r="80" spans="1:9" x14ac:dyDescent="0.35">
      <c r="C80" s="187"/>
      <c r="D80" s="187"/>
      <c r="E80" s="187"/>
      <c r="F80" s="187"/>
      <c r="G80" s="170"/>
      <c r="H80" s="170"/>
      <c r="I80" s="170"/>
    </row>
    <row r="81" spans="1:9" ht="29" x14ac:dyDescent="0.35">
      <c r="A81" s="12" t="s">
        <v>560</v>
      </c>
      <c r="B81" s="13" t="s">
        <v>208</v>
      </c>
      <c r="C81" s="13" t="s">
        <v>458</v>
      </c>
      <c r="D81" s="13" t="s">
        <v>466</v>
      </c>
      <c r="E81" s="13" t="s">
        <v>467</v>
      </c>
      <c r="F81" s="13" t="s">
        <v>468</v>
      </c>
      <c r="G81" s="13" t="s">
        <v>634</v>
      </c>
      <c r="H81" s="13" t="s">
        <v>641</v>
      </c>
      <c r="I81" s="13" t="s">
        <v>647</v>
      </c>
    </row>
    <row r="82" spans="1:9" x14ac:dyDescent="0.35">
      <c r="A82" s="14" t="s">
        <v>209</v>
      </c>
      <c r="B82" s="15">
        <v>39</v>
      </c>
      <c r="C82" s="15">
        <v>17</v>
      </c>
      <c r="D82" s="15">
        <v>23</v>
      </c>
      <c r="E82" s="15">
        <v>32</v>
      </c>
      <c r="F82" s="15">
        <v>39</v>
      </c>
      <c r="G82" s="15">
        <v>50</v>
      </c>
      <c r="H82" s="15">
        <v>66</v>
      </c>
      <c r="I82" s="15">
        <v>69</v>
      </c>
    </row>
    <row r="83" spans="1:9" x14ac:dyDescent="0.35">
      <c r="A83" s="16" t="s">
        <v>336</v>
      </c>
      <c r="B83" s="17">
        <v>0.21740905770467781</v>
      </c>
      <c r="C83" s="17">
        <v>0.32254572182539459</v>
      </c>
      <c r="D83" s="17">
        <v>0.27742785682692922</v>
      </c>
      <c r="E83" s="17">
        <v>0.19985287774093269</v>
      </c>
      <c r="F83" s="17">
        <v>0.21740905770467789</v>
      </c>
      <c r="G83" s="17">
        <v>0.20447409339586109</v>
      </c>
      <c r="H83" s="17">
        <v>0.1981528713177477</v>
      </c>
      <c r="I83" s="17">
        <v>0.1595296759916949</v>
      </c>
    </row>
    <row r="84" spans="1:9" x14ac:dyDescent="0.35">
      <c r="A84" s="16" t="s">
        <v>194</v>
      </c>
      <c r="B84" s="17">
        <v>0.41537208980551432</v>
      </c>
      <c r="C84" s="17">
        <v>0.36799518018111199</v>
      </c>
      <c r="D84" s="17">
        <v>0.45913517611845789</v>
      </c>
      <c r="E84" s="17">
        <v>0.45316935915135292</v>
      </c>
      <c r="F84" s="17">
        <v>0.41537208980551432</v>
      </c>
      <c r="G84" s="17">
        <v>0.39989644465694663</v>
      </c>
      <c r="H84" s="17">
        <v>0.42202054739547318</v>
      </c>
      <c r="I84" s="17">
        <v>0.5152851266278583</v>
      </c>
    </row>
    <row r="85" spans="1:9" x14ac:dyDescent="0.35">
      <c r="A85" s="16" t="s">
        <v>195</v>
      </c>
      <c r="B85" s="17">
        <v>0.36721885248980779</v>
      </c>
      <c r="C85" s="17">
        <v>0.30945909799349341</v>
      </c>
      <c r="D85" s="17">
        <v>0.26343696705461289</v>
      </c>
      <c r="E85" s="17">
        <v>0.34697776310771422</v>
      </c>
      <c r="F85" s="17">
        <v>0.3672188524898079</v>
      </c>
      <c r="G85" s="17">
        <v>0.39562946194719217</v>
      </c>
      <c r="H85" s="17">
        <v>0.37982658128677932</v>
      </c>
      <c r="I85" s="17">
        <v>0.32518519738044682</v>
      </c>
    </row>
    <row r="86" spans="1:9" x14ac:dyDescent="0.35">
      <c r="A86" s="14" t="s">
        <v>210</v>
      </c>
      <c r="B86" s="18">
        <v>0.1307122302276234</v>
      </c>
      <c r="C86" s="18">
        <v>0.19263355134205301</v>
      </c>
      <c r="D86" s="18">
        <v>0.18853934002367201</v>
      </c>
      <c r="E86" s="18">
        <v>0.13581956081149221</v>
      </c>
      <c r="F86" s="18">
        <v>0.1307122302276234</v>
      </c>
      <c r="G86" s="18">
        <v>0.1024704996680271</v>
      </c>
      <c r="H86" s="18">
        <v>9.0770385108692217E-2</v>
      </c>
      <c r="I86" s="21">
        <v>4.2235959787914522E-2</v>
      </c>
    </row>
    <row r="87" spans="1:9" x14ac:dyDescent="0.35">
      <c r="A87" s="14" t="s">
        <v>197</v>
      </c>
      <c r="B87" s="18">
        <v>8.6696827477054428E-2</v>
      </c>
      <c r="C87" s="18">
        <v>0.12991217048334169</v>
      </c>
      <c r="D87" s="18">
        <v>8.888851680325717E-2</v>
      </c>
      <c r="E87" s="18">
        <v>6.4033316929440504E-2</v>
      </c>
      <c r="F87" s="18">
        <v>8.6696827477054442E-2</v>
      </c>
      <c r="G87" s="18">
        <v>0.102003593727834</v>
      </c>
      <c r="H87" s="18">
        <v>0.10738248620905549</v>
      </c>
      <c r="I87" s="18">
        <v>0.1172937162037804</v>
      </c>
    </row>
    <row r="88" spans="1:9" x14ac:dyDescent="0.35">
      <c r="A88" s="14" t="s">
        <v>198</v>
      </c>
      <c r="B88" s="18">
        <v>0.28939989393919668</v>
      </c>
      <c r="C88" s="18">
        <v>0.18202587425648031</v>
      </c>
      <c r="D88" s="18">
        <v>0.27670796693232091</v>
      </c>
      <c r="E88" s="18">
        <v>0.29427745787458343</v>
      </c>
      <c r="F88" s="18">
        <v>0.2893998939391968</v>
      </c>
      <c r="G88" s="18">
        <v>0.28614718209025042</v>
      </c>
      <c r="H88" s="18">
        <v>0.28655774440367321</v>
      </c>
      <c r="I88" s="18">
        <v>0.34339143784127929</v>
      </c>
    </row>
    <row r="89" spans="1:9" x14ac:dyDescent="0.35">
      <c r="A89" s="14" t="s">
        <v>199</v>
      </c>
      <c r="B89" s="18">
        <v>0.1259721958663175</v>
      </c>
      <c r="C89" s="18">
        <v>0.18596930592463171</v>
      </c>
      <c r="D89" s="18">
        <v>0.182427209186137</v>
      </c>
      <c r="E89" s="18">
        <v>0.1588919012767695</v>
      </c>
      <c r="F89" s="18">
        <v>0.12597219586631761</v>
      </c>
      <c r="G89" s="18">
        <v>0.11374926256669619</v>
      </c>
      <c r="H89" s="18">
        <v>0.13546280299179991</v>
      </c>
      <c r="I89" s="18">
        <v>0.17189368878657901</v>
      </c>
    </row>
    <row r="90" spans="1:9" x14ac:dyDescent="0.35">
      <c r="A90" s="14" t="s">
        <v>200</v>
      </c>
      <c r="B90" s="18">
        <v>0.1730762678960043</v>
      </c>
      <c r="C90" s="18">
        <v>5.2058177109258669E-2</v>
      </c>
      <c r="D90" s="24">
        <v>3.5619250556025717E-2</v>
      </c>
      <c r="E90" s="18">
        <v>0.18286293064871531</v>
      </c>
      <c r="F90" s="18">
        <v>0.17307626789600439</v>
      </c>
      <c r="G90" s="18">
        <v>0.15283933902094729</v>
      </c>
      <c r="H90" s="18">
        <v>0.14669226945343819</v>
      </c>
      <c r="I90" s="18">
        <v>0.12709191825248389</v>
      </c>
    </row>
    <row r="91" spans="1:9" x14ac:dyDescent="0.35">
      <c r="A91" s="14" t="s">
        <v>201</v>
      </c>
      <c r="B91" s="18">
        <v>0.16870608717075461</v>
      </c>
      <c r="C91" s="18">
        <v>0.19230883165838689</v>
      </c>
      <c r="D91" s="18">
        <v>0.18328040143884999</v>
      </c>
      <c r="E91" s="18">
        <v>0.1320311380407567</v>
      </c>
      <c r="F91" s="18">
        <v>0.16870608717075461</v>
      </c>
      <c r="G91" s="18">
        <v>0.1888495943407871</v>
      </c>
      <c r="H91" s="18">
        <v>0.17715353179935531</v>
      </c>
      <c r="I91" s="18">
        <v>0.14310934799878461</v>
      </c>
    </row>
    <row r="92" spans="1:9" x14ac:dyDescent="0.35">
      <c r="A92" s="14" t="s">
        <v>202</v>
      </c>
      <c r="B92" s="18">
        <v>2.5436497423048932E-2</v>
      </c>
      <c r="C92" s="18">
        <v>6.5092089225847707E-2</v>
      </c>
      <c r="D92" s="18">
        <v>4.4537315059737202E-2</v>
      </c>
      <c r="E92" s="18">
        <v>3.2083694418242263E-2</v>
      </c>
      <c r="F92" s="18">
        <v>2.5436497423048939E-2</v>
      </c>
      <c r="G92" s="18">
        <v>5.3940528585457823E-2</v>
      </c>
      <c r="H92" s="18">
        <v>4.2199044929473073E-2</v>
      </c>
      <c r="I92" s="18">
        <v>2.518711225319132E-2</v>
      </c>
    </row>
    <row r="93" spans="1:9" x14ac:dyDescent="0.35">
      <c r="A93" s="14" t="s">
        <v>211</v>
      </c>
      <c r="B93" s="18">
        <v>0</v>
      </c>
      <c r="C93" s="18">
        <v>0</v>
      </c>
      <c r="D93" s="18">
        <v>0</v>
      </c>
      <c r="E93" s="18">
        <v>0</v>
      </c>
      <c r="F93" s="18">
        <v>0</v>
      </c>
      <c r="G93" s="18">
        <v>0</v>
      </c>
      <c r="H93" s="18">
        <v>1.3781735104512711E-2</v>
      </c>
      <c r="I93" s="18">
        <v>1.305022062764296E-2</v>
      </c>
    </row>
    <row r="94" spans="1:9" x14ac:dyDescent="0.35">
      <c r="A94" s="14" t="s">
        <v>212</v>
      </c>
      <c r="B94" s="18">
        <v>0</v>
      </c>
      <c r="C94" s="18">
        <v>0</v>
      </c>
      <c r="D94" s="18">
        <v>0</v>
      </c>
      <c r="E94" s="18">
        <v>0</v>
      </c>
      <c r="F94" s="18">
        <v>0</v>
      </c>
      <c r="G94" s="18">
        <v>0</v>
      </c>
      <c r="H94" s="18">
        <v>0</v>
      </c>
      <c r="I94" s="18">
        <v>0</v>
      </c>
    </row>
    <row r="95" spans="1:9" x14ac:dyDescent="0.35">
      <c r="A95" s="14" t="s">
        <v>203</v>
      </c>
      <c r="B95" s="18">
        <v>0</v>
      </c>
      <c r="C95" s="18">
        <v>0</v>
      </c>
      <c r="D95" s="18">
        <v>0</v>
      </c>
      <c r="E95" s="18">
        <v>0</v>
      </c>
      <c r="F95" s="18">
        <v>0</v>
      </c>
      <c r="G95" s="18">
        <v>0</v>
      </c>
      <c r="H95" s="18">
        <v>0</v>
      </c>
      <c r="I95" s="18">
        <v>0</v>
      </c>
    </row>
    <row r="96" spans="1:9" x14ac:dyDescent="0.35">
      <c r="A96" s="14" t="s">
        <v>204</v>
      </c>
      <c r="B96" s="18">
        <v>0</v>
      </c>
      <c r="C96" s="18">
        <v>0</v>
      </c>
      <c r="D96" s="18">
        <v>0</v>
      </c>
      <c r="E96" s="18">
        <v>0</v>
      </c>
      <c r="F96" s="18">
        <v>0</v>
      </c>
      <c r="G96" s="18">
        <v>0</v>
      </c>
      <c r="H96" s="18">
        <v>0</v>
      </c>
      <c r="I96" s="18">
        <v>1.6746598248344E-2</v>
      </c>
    </row>
    <row r="97" spans="1:9" x14ac:dyDescent="0.35">
      <c r="A97" s="14" t="s">
        <v>213</v>
      </c>
      <c r="B97" s="1">
        <v>-14.980979478512999</v>
      </c>
      <c r="C97" s="1">
        <v>1.3086623831901321</v>
      </c>
      <c r="D97" s="1">
        <v>1.399088977231614</v>
      </c>
      <c r="E97" s="1">
        <v>-14.71248853667816</v>
      </c>
      <c r="F97" s="1">
        <v>-14.98097947851301</v>
      </c>
      <c r="G97" s="1">
        <v>-19.115536855133112</v>
      </c>
      <c r="H97" s="1">
        <v>-18.167370996903148</v>
      </c>
      <c r="I97" s="1">
        <v>-16.56555213887518</v>
      </c>
    </row>
    <row r="99" spans="1:9" x14ac:dyDescent="0.35">
      <c r="C99" s="187"/>
      <c r="D99" s="187"/>
      <c r="E99" s="187"/>
      <c r="F99" s="187"/>
      <c r="G99" s="170"/>
      <c r="H99" s="170"/>
      <c r="I99" s="170"/>
    </row>
    <row r="100" spans="1:9" ht="29" x14ac:dyDescent="0.35">
      <c r="A100" s="12" t="s">
        <v>561</v>
      </c>
      <c r="B100" s="13" t="s">
        <v>208</v>
      </c>
      <c r="C100" s="13" t="s">
        <v>458</v>
      </c>
      <c r="D100" s="13" t="s">
        <v>466</v>
      </c>
      <c r="E100" s="13" t="s">
        <v>467</v>
      </c>
      <c r="F100" s="13" t="s">
        <v>468</v>
      </c>
      <c r="G100" s="13" t="s">
        <v>634</v>
      </c>
      <c r="H100" s="13" t="s">
        <v>641</v>
      </c>
      <c r="I100" s="13" t="s">
        <v>647</v>
      </c>
    </row>
    <row r="101" spans="1:9" x14ac:dyDescent="0.35">
      <c r="A101" s="14" t="s">
        <v>209</v>
      </c>
      <c r="B101" s="15">
        <v>18</v>
      </c>
      <c r="C101" s="15">
        <v>5</v>
      </c>
      <c r="D101" s="15">
        <v>9</v>
      </c>
      <c r="E101" s="15">
        <v>13</v>
      </c>
      <c r="F101" s="15">
        <v>18</v>
      </c>
      <c r="G101" s="15">
        <v>21</v>
      </c>
      <c r="H101" s="15">
        <v>23</v>
      </c>
      <c r="I101" s="15">
        <v>25</v>
      </c>
    </row>
    <row r="102" spans="1:9" x14ac:dyDescent="0.35">
      <c r="A102" s="16" t="s">
        <v>336</v>
      </c>
      <c r="B102" s="17">
        <v>0.22340834882400559</v>
      </c>
      <c r="C102" s="17">
        <v>0.13183756355234941</v>
      </c>
      <c r="D102" s="17">
        <v>0.3095397851010061</v>
      </c>
      <c r="E102" s="17">
        <v>0.25235072729570812</v>
      </c>
      <c r="F102" s="17">
        <v>0.2234083488240057</v>
      </c>
      <c r="G102" s="17">
        <v>0.25672568667821311</v>
      </c>
      <c r="H102" s="152">
        <v>0.26106070183602892</v>
      </c>
      <c r="I102" s="17">
        <v>0.30661513710441052</v>
      </c>
    </row>
    <row r="103" spans="1:9" x14ac:dyDescent="0.35">
      <c r="A103" s="16" t="s">
        <v>194</v>
      </c>
      <c r="B103" s="17">
        <v>0.42207453818630619</v>
      </c>
      <c r="C103" s="17">
        <v>0.58708422471425825</v>
      </c>
      <c r="D103" s="17">
        <v>0.5347286757164883</v>
      </c>
      <c r="E103" s="17">
        <v>0.50555201546313189</v>
      </c>
      <c r="F103" s="17">
        <v>0.42207453818630641</v>
      </c>
      <c r="G103" s="17">
        <v>0.40207925076834411</v>
      </c>
      <c r="H103" s="17">
        <v>0.43193954113131727</v>
      </c>
      <c r="I103" s="17">
        <v>0.33638969130687191</v>
      </c>
    </row>
    <row r="104" spans="1:9" x14ac:dyDescent="0.35">
      <c r="A104" s="16" t="s">
        <v>195</v>
      </c>
      <c r="B104" s="17">
        <v>0.35451711298968808</v>
      </c>
      <c r="C104" s="17">
        <v>0.28107821173339242</v>
      </c>
      <c r="D104" s="154">
        <v>0.1557315391825056</v>
      </c>
      <c r="E104" s="154">
        <v>0.24209725724115991</v>
      </c>
      <c r="F104" s="17">
        <v>0.35451711298968808</v>
      </c>
      <c r="G104" s="152">
        <v>0.34119506255344279</v>
      </c>
      <c r="H104" s="152">
        <v>0.30699975703265392</v>
      </c>
      <c r="I104" s="17">
        <v>0.35699517158871757</v>
      </c>
    </row>
    <row r="105" spans="1:9" x14ac:dyDescent="0.35">
      <c r="A105" s="14" t="s">
        <v>210</v>
      </c>
      <c r="B105" s="18">
        <v>3.4419902495202749E-2</v>
      </c>
      <c r="C105" s="18">
        <v>0</v>
      </c>
      <c r="D105" s="18">
        <v>0</v>
      </c>
      <c r="E105" s="18">
        <v>4.6131563285225587E-2</v>
      </c>
      <c r="F105" s="18">
        <v>3.4419902495202749E-2</v>
      </c>
      <c r="G105" s="18">
        <v>2.9268676837615259E-2</v>
      </c>
      <c r="H105" s="18">
        <v>5.6399924409040569E-2</v>
      </c>
      <c r="I105" s="18">
        <v>0.1126946347034978</v>
      </c>
    </row>
    <row r="106" spans="1:9" x14ac:dyDescent="0.35">
      <c r="A106" s="14" t="s">
        <v>197</v>
      </c>
      <c r="B106" s="18">
        <v>0.18898844632880291</v>
      </c>
      <c r="C106" s="18">
        <v>0.13183756355234941</v>
      </c>
      <c r="D106" s="18">
        <v>0.3095397851010061</v>
      </c>
      <c r="E106" s="18">
        <v>0.20621916401048249</v>
      </c>
      <c r="F106" s="18">
        <v>0.18898844632880291</v>
      </c>
      <c r="G106" s="18">
        <v>0.2274570098405978</v>
      </c>
      <c r="H106" s="18">
        <v>0.20466077742698829</v>
      </c>
      <c r="I106" s="18">
        <v>0.19392050240091269</v>
      </c>
    </row>
    <row r="107" spans="1:9" x14ac:dyDescent="0.35">
      <c r="A107" s="14" t="s">
        <v>198</v>
      </c>
      <c r="B107" s="18">
        <v>0.24664127938534669</v>
      </c>
      <c r="C107" s="18">
        <v>0.32812747098137318</v>
      </c>
      <c r="D107" s="18">
        <v>0.18179920737670421</v>
      </c>
      <c r="E107" s="18">
        <v>0.27042611753713452</v>
      </c>
      <c r="F107" s="18">
        <v>0.2466412793853468</v>
      </c>
      <c r="G107" s="18">
        <v>0.25290104321442519</v>
      </c>
      <c r="H107" s="18">
        <v>0.22755475486393389</v>
      </c>
      <c r="I107" s="18">
        <v>0.15160233880393159</v>
      </c>
    </row>
    <row r="108" spans="1:9" x14ac:dyDescent="0.35">
      <c r="A108" s="14" t="s">
        <v>199</v>
      </c>
      <c r="B108" s="18">
        <v>0.1754332588009595</v>
      </c>
      <c r="C108" s="18">
        <v>0.25895675373288513</v>
      </c>
      <c r="D108" s="19">
        <v>0.35292946833978411</v>
      </c>
      <c r="E108" s="18">
        <v>0.23512589792599739</v>
      </c>
      <c r="F108" s="18">
        <v>0.17543325880095961</v>
      </c>
      <c r="G108" s="25">
        <v>0.14917820755391889</v>
      </c>
      <c r="H108" s="18">
        <v>0.20438478626738341</v>
      </c>
      <c r="I108" s="18">
        <v>0.18478735250294021</v>
      </c>
    </row>
    <row r="109" spans="1:9" x14ac:dyDescent="0.35">
      <c r="A109" s="14" t="s">
        <v>200</v>
      </c>
      <c r="B109" s="18">
        <v>0.22191963399188111</v>
      </c>
      <c r="C109" s="18">
        <v>0.28107821173339242</v>
      </c>
      <c r="D109" s="18">
        <v>0.1557315391825056</v>
      </c>
      <c r="E109" s="18">
        <v>0.24209725724115991</v>
      </c>
      <c r="F109" s="18">
        <v>0.22191963399188111</v>
      </c>
      <c r="G109" s="18">
        <v>0.1887075087483325</v>
      </c>
      <c r="H109" s="18">
        <v>0.16979483496160269</v>
      </c>
      <c r="I109" s="18">
        <v>0.1390832093413556</v>
      </c>
    </row>
    <row r="110" spans="1:9" x14ac:dyDescent="0.35">
      <c r="A110" s="14" t="s">
        <v>201</v>
      </c>
      <c r="B110" s="18">
        <v>0</v>
      </c>
      <c r="C110" s="18">
        <v>0</v>
      </c>
      <c r="D110" s="18">
        <v>0</v>
      </c>
      <c r="E110" s="18">
        <v>0</v>
      </c>
      <c r="F110" s="18">
        <v>0</v>
      </c>
      <c r="G110" s="18">
        <v>0</v>
      </c>
      <c r="H110" s="18">
        <v>0</v>
      </c>
      <c r="I110" s="18">
        <v>0</v>
      </c>
    </row>
    <row r="111" spans="1:9" x14ac:dyDescent="0.35">
      <c r="A111" s="14" t="s">
        <v>202</v>
      </c>
      <c r="B111" s="18">
        <v>6.8744774232617101E-2</v>
      </c>
      <c r="C111" s="18">
        <v>0</v>
      </c>
      <c r="D111" s="18">
        <v>0</v>
      </c>
      <c r="E111" s="21">
        <v>0</v>
      </c>
      <c r="F111" s="18">
        <v>6.8744774232617115E-2</v>
      </c>
      <c r="G111" s="18">
        <v>9.819093918685344E-2</v>
      </c>
      <c r="H111" s="18">
        <v>8.8350031350323058E-2</v>
      </c>
      <c r="I111" s="18">
        <v>8.4551961400293418E-2</v>
      </c>
    </row>
    <row r="112" spans="1:9" x14ac:dyDescent="0.35">
      <c r="A112" s="14" t="s">
        <v>211</v>
      </c>
      <c r="B112" s="18">
        <v>0</v>
      </c>
      <c r="C112" s="18">
        <v>0</v>
      </c>
      <c r="D112" s="18">
        <v>0</v>
      </c>
      <c r="E112" s="18">
        <v>0</v>
      </c>
      <c r="F112" s="18">
        <v>0</v>
      </c>
      <c r="G112" s="18">
        <v>0</v>
      </c>
      <c r="H112" s="18">
        <v>0</v>
      </c>
      <c r="I112" s="18">
        <v>3.667837037022411E-2</v>
      </c>
    </row>
    <row r="113" spans="1:9" x14ac:dyDescent="0.35">
      <c r="A113" s="14" t="s">
        <v>212</v>
      </c>
      <c r="B113" s="18">
        <v>0</v>
      </c>
      <c r="C113" s="18">
        <v>0</v>
      </c>
      <c r="D113" s="18">
        <v>0</v>
      </c>
      <c r="E113" s="18">
        <v>0</v>
      </c>
      <c r="F113" s="18">
        <v>0</v>
      </c>
      <c r="G113" s="18">
        <v>0</v>
      </c>
      <c r="H113" s="18">
        <v>0</v>
      </c>
      <c r="I113" s="18">
        <v>0</v>
      </c>
    </row>
    <row r="114" spans="1:9" x14ac:dyDescent="0.35">
      <c r="A114" s="14" t="s">
        <v>203</v>
      </c>
      <c r="B114" s="18">
        <v>6.3852704765189866E-2</v>
      </c>
      <c r="C114" s="18">
        <v>0</v>
      </c>
      <c r="D114" s="18">
        <v>0</v>
      </c>
      <c r="E114" s="23">
        <v>0</v>
      </c>
      <c r="F114" s="18">
        <v>6.385270476518988E-2</v>
      </c>
      <c r="G114" s="18">
        <v>5.4296614618256772E-2</v>
      </c>
      <c r="H114" s="18">
        <v>4.8854890720728218E-2</v>
      </c>
      <c r="I114" s="18">
        <v>4.6754673103117823E-2</v>
      </c>
    </row>
    <row r="115" spans="1:9" x14ac:dyDescent="0.35">
      <c r="A115" s="14" t="s">
        <v>204</v>
      </c>
      <c r="B115" s="18">
        <v>0</v>
      </c>
      <c r="C115" s="18">
        <v>0</v>
      </c>
      <c r="D115" s="18">
        <v>0</v>
      </c>
      <c r="E115" s="18">
        <v>0</v>
      </c>
      <c r="F115" s="18">
        <v>0</v>
      </c>
      <c r="G115" s="18">
        <v>0</v>
      </c>
      <c r="H115" s="18">
        <v>0</v>
      </c>
      <c r="I115" s="18">
        <v>4.9926957373726613E-2</v>
      </c>
    </row>
    <row r="116" spans="1:9" x14ac:dyDescent="0.35">
      <c r="A116" s="14" t="s">
        <v>213</v>
      </c>
      <c r="B116" s="1">
        <v>-13.110876416568241</v>
      </c>
      <c r="C116" s="1">
        <v>-14.92406481810429</v>
      </c>
      <c r="D116" s="1">
        <v>15.380824591850059</v>
      </c>
      <c r="E116" s="1">
        <v>1.0253470054548219</v>
      </c>
      <c r="F116" s="1">
        <v>-13.110876416568241</v>
      </c>
      <c r="G116" s="1">
        <v>-8.4469375875229655</v>
      </c>
      <c r="H116" s="1">
        <v>-4.5939055196625054</v>
      </c>
      <c r="I116" s="1">
        <v>-5.0380034484307092</v>
      </c>
    </row>
    <row r="118" spans="1:9" x14ac:dyDescent="0.35">
      <c r="C118" s="187"/>
      <c r="D118" s="187"/>
      <c r="E118" s="187"/>
      <c r="F118" s="187"/>
      <c r="G118" s="170"/>
      <c r="H118" s="170"/>
      <c r="I118" s="170"/>
    </row>
    <row r="119" spans="1:9" ht="29" x14ac:dyDescent="0.35">
      <c r="A119" s="12" t="s">
        <v>562</v>
      </c>
      <c r="B119" s="13" t="s">
        <v>208</v>
      </c>
      <c r="C119" s="13" t="s">
        <v>458</v>
      </c>
      <c r="D119" s="13" t="s">
        <v>466</v>
      </c>
      <c r="E119" s="13" t="s">
        <v>467</v>
      </c>
      <c r="F119" s="13" t="s">
        <v>468</v>
      </c>
      <c r="G119" s="13" t="s">
        <v>634</v>
      </c>
      <c r="H119" s="13" t="s">
        <v>641</v>
      </c>
      <c r="I119" s="13" t="s">
        <v>647</v>
      </c>
    </row>
    <row r="120" spans="1:9" x14ac:dyDescent="0.35">
      <c r="A120" s="14" t="s">
        <v>209</v>
      </c>
      <c r="B120" s="15">
        <v>16</v>
      </c>
      <c r="C120" s="15">
        <v>6</v>
      </c>
      <c r="D120" s="15">
        <v>8</v>
      </c>
      <c r="E120" s="15">
        <v>13</v>
      </c>
      <c r="F120" s="15">
        <v>16</v>
      </c>
      <c r="G120" s="15">
        <v>20</v>
      </c>
      <c r="H120" s="15">
        <v>25</v>
      </c>
      <c r="I120" s="15">
        <v>24</v>
      </c>
    </row>
    <row r="121" spans="1:9" x14ac:dyDescent="0.35">
      <c r="A121" s="16" t="s">
        <v>336</v>
      </c>
      <c r="B121" s="17">
        <v>0.1410718991613677</v>
      </c>
      <c r="C121" s="17">
        <v>0.19716212294978019</v>
      </c>
      <c r="D121" s="17">
        <v>0.15057135003084021</v>
      </c>
      <c r="E121" s="17">
        <v>9.3463307993803757E-2</v>
      </c>
      <c r="F121" s="17">
        <v>0.1410718991613677</v>
      </c>
      <c r="G121" s="17">
        <v>0.1229019014813908</v>
      </c>
      <c r="H121" s="17">
        <v>0.17175758131619381</v>
      </c>
      <c r="I121" s="17">
        <v>0.23625664908754501</v>
      </c>
    </row>
    <row r="122" spans="1:9" x14ac:dyDescent="0.35">
      <c r="A122" s="16" t="s">
        <v>194</v>
      </c>
      <c r="B122" s="17">
        <v>0.73732653775714629</v>
      </c>
      <c r="C122" s="17">
        <v>0.62895634308642645</v>
      </c>
      <c r="D122" s="17">
        <v>0.716636524774654</v>
      </c>
      <c r="E122" s="17">
        <v>0.75951333577806535</v>
      </c>
      <c r="F122" s="17">
        <v>0.73732653775714629</v>
      </c>
      <c r="G122" s="17">
        <v>0.64235920861452167</v>
      </c>
      <c r="H122" s="17">
        <v>0.60439671786595117</v>
      </c>
      <c r="I122" s="17">
        <v>0.57535584601587109</v>
      </c>
    </row>
    <row r="123" spans="1:9" x14ac:dyDescent="0.35">
      <c r="A123" s="16" t="s">
        <v>195</v>
      </c>
      <c r="B123" s="17">
        <v>0.12160156308148611</v>
      </c>
      <c r="C123" s="17">
        <v>0.17388153396379341</v>
      </c>
      <c r="D123" s="17">
        <v>0.13279212519450581</v>
      </c>
      <c r="E123" s="17">
        <v>0.1470233562281309</v>
      </c>
      <c r="F123" s="17">
        <v>0.12160156308148611</v>
      </c>
      <c r="G123" s="17">
        <v>0.23473888990408759</v>
      </c>
      <c r="H123" s="17">
        <v>0.22384570081785521</v>
      </c>
      <c r="I123" s="17">
        <v>0.18838750489658401</v>
      </c>
    </row>
    <row r="124" spans="1:9" x14ac:dyDescent="0.35">
      <c r="A124" s="14" t="s">
        <v>210</v>
      </c>
      <c r="B124" s="18">
        <v>7.7302577184932303E-2</v>
      </c>
      <c r="C124" s="18">
        <v>0.19716212294978019</v>
      </c>
      <c r="D124" s="18">
        <v>0.15057135003084021</v>
      </c>
      <c r="E124" s="18">
        <v>9.3463307993803757E-2</v>
      </c>
      <c r="F124" s="18">
        <v>7.7302577184932303E-2</v>
      </c>
      <c r="G124" s="18">
        <v>6.7346039728101215E-2</v>
      </c>
      <c r="H124" s="18">
        <v>8.4535304539778811E-2</v>
      </c>
      <c r="I124" s="18">
        <v>3.2184920891227313E-2</v>
      </c>
    </row>
    <row r="125" spans="1:9" x14ac:dyDescent="0.35">
      <c r="A125" s="14" t="s">
        <v>197</v>
      </c>
      <c r="B125" s="18">
        <v>6.3769321976435381E-2</v>
      </c>
      <c r="C125" s="18">
        <v>0</v>
      </c>
      <c r="D125" s="18">
        <v>0</v>
      </c>
      <c r="E125" s="21">
        <v>0</v>
      </c>
      <c r="F125" s="18">
        <v>6.3769321976435381E-2</v>
      </c>
      <c r="G125" s="18">
        <v>5.5555861753289568E-2</v>
      </c>
      <c r="H125" s="18">
        <v>8.7222276776414961E-2</v>
      </c>
      <c r="I125" s="18">
        <v>0.20407172819631769</v>
      </c>
    </row>
    <row r="126" spans="1:9" x14ac:dyDescent="0.35">
      <c r="A126" s="14" t="s">
        <v>198</v>
      </c>
      <c r="B126" s="18">
        <v>0.32789076716308979</v>
      </c>
      <c r="C126" s="18">
        <v>0.2410700529560984</v>
      </c>
      <c r="D126" s="18">
        <v>0.18410353257786499</v>
      </c>
      <c r="E126" s="18">
        <v>0.2644816961580132</v>
      </c>
      <c r="F126" s="18">
        <v>0.32789076716308979</v>
      </c>
      <c r="G126" s="18">
        <v>0.28565858262416699</v>
      </c>
      <c r="H126" s="18">
        <v>0.31570978671702238</v>
      </c>
      <c r="I126" s="18">
        <v>0.32720829953308661</v>
      </c>
    </row>
    <row r="127" spans="1:9" x14ac:dyDescent="0.35">
      <c r="A127" s="14" t="s">
        <v>199</v>
      </c>
      <c r="B127" s="18">
        <v>0.40943577059405639</v>
      </c>
      <c r="C127" s="18">
        <v>0.38788629013032799</v>
      </c>
      <c r="D127" s="18">
        <v>0.53253299219678907</v>
      </c>
      <c r="E127" s="18">
        <v>0.49503163962005209</v>
      </c>
      <c r="F127" s="18">
        <v>0.40943577059405639</v>
      </c>
      <c r="G127" s="18">
        <v>0.35670062599035463</v>
      </c>
      <c r="H127" s="18">
        <v>0.28868693114892868</v>
      </c>
      <c r="I127" s="18">
        <v>0.24814754648278459</v>
      </c>
    </row>
    <row r="128" spans="1:9" x14ac:dyDescent="0.35">
      <c r="A128" s="14" t="s">
        <v>200</v>
      </c>
      <c r="B128" s="18">
        <v>0.12160156308148611</v>
      </c>
      <c r="C128" s="18">
        <v>0.17388153396379341</v>
      </c>
      <c r="D128" s="18">
        <v>0.13279212519450581</v>
      </c>
      <c r="E128" s="18">
        <v>0.1470233562281309</v>
      </c>
      <c r="F128" s="18">
        <v>0.12160156308148611</v>
      </c>
      <c r="G128" s="18">
        <v>0.1914710406579179</v>
      </c>
      <c r="H128" s="18">
        <v>0.18882792482822461</v>
      </c>
      <c r="I128" s="18">
        <v>0.15085743257708209</v>
      </c>
    </row>
    <row r="129" spans="1:9" x14ac:dyDescent="0.35">
      <c r="A129" s="14" t="s">
        <v>201</v>
      </c>
      <c r="B129" s="18">
        <v>0</v>
      </c>
      <c r="C129" s="18">
        <v>0</v>
      </c>
      <c r="D129" s="18">
        <v>0</v>
      </c>
      <c r="E129" s="18">
        <v>0</v>
      </c>
      <c r="F129" s="18">
        <v>0</v>
      </c>
      <c r="G129" s="18">
        <v>4.3267849246169707E-2</v>
      </c>
      <c r="H129" s="18">
        <v>3.5017775989630538E-2</v>
      </c>
      <c r="I129" s="18">
        <v>3.753007231950195E-2</v>
      </c>
    </row>
    <row r="130" spans="1:9" x14ac:dyDescent="0.35">
      <c r="A130" s="14" t="s">
        <v>202</v>
      </c>
      <c r="B130" s="18">
        <v>0</v>
      </c>
      <c r="C130" s="18">
        <v>0</v>
      </c>
      <c r="D130" s="18">
        <v>0</v>
      </c>
      <c r="E130" s="18">
        <v>0</v>
      </c>
      <c r="F130" s="18">
        <v>0</v>
      </c>
      <c r="G130" s="18">
        <v>0</v>
      </c>
      <c r="H130" s="18">
        <v>0</v>
      </c>
      <c r="I130" s="18">
        <v>0</v>
      </c>
    </row>
    <row r="131" spans="1:9" x14ac:dyDescent="0.35">
      <c r="A131" s="14" t="s">
        <v>211</v>
      </c>
      <c r="B131" s="18">
        <v>0</v>
      </c>
      <c r="C131" s="18">
        <v>0</v>
      </c>
      <c r="D131" s="18">
        <v>0</v>
      </c>
      <c r="E131" s="18">
        <v>0</v>
      </c>
      <c r="F131" s="18">
        <v>0</v>
      </c>
      <c r="G131" s="18">
        <v>0</v>
      </c>
      <c r="H131" s="18">
        <v>0</v>
      </c>
      <c r="I131" s="18">
        <v>0</v>
      </c>
    </row>
    <row r="132" spans="1:9" x14ac:dyDescent="0.35">
      <c r="A132" s="14" t="s">
        <v>212</v>
      </c>
      <c r="B132" s="18">
        <v>0</v>
      </c>
      <c r="C132" s="18">
        <v>0</v>
      </c>
      <c r="D132" s="18">
        <v>0</v>
      </c>
      <c r="E132" s="18">
        <v>0</v>
      </c>
      <c r="F132" s="18">
        <v>0</v>
      </c>
      <c r="G132" s="18">
        <v>0</v>
      </c>
      <c r="H132" s="18">
        <v>0</v>
      </c>
      <c r="I132" s="18">
        <v>0</v>
      </c>
    </row>
    <row r="133" spans="1:9" x14ac:dyDescent="0.35">
      <c r="A133" s="14" t="s">
        <v>203</v>
      </c>
      <c r="B133" s="18">
        <v>0</v>
      </c>
      <c r="C133" s="18">
        <v>0</v>
      </c>
      <c r="D133" s="18">
        <v>0</v>
      </c>
      <c r="E133" s="18">
        <v>0</v>
      </c>
      <c r="F133" s="18">
        <v>0</v>
      </c>
      <c r="G133" s="18">
        <v>0</v>
      </c>
      <c r="H133" s="18">
        <v>0</v>
      </c>
      <c r="I133" s="18">
        <v>0</v>
      </c>
    </row>
    <row r="134" spans="1:9" x14ac:dyDescent="0.35">
      <c r="A134" s="14" t="s">
        <v>204</v>
      </c>
      <c r="B134" s="18">
        <v>0</v>
      </c>
      <c r="C134" s="18">
        <v>0</v>
      </c>
      <c r="D134" s="18">
        <v>0</v>
      </c>
      <c r="E134" s="18">
        <v>0</v>
      </c>
      <c r="F134" s="18">
        <v>0</v>
      </c>
      <c r="G134" s="18">
        <v>0</v>
      </c>
      <c r="H134" s="18">
        <v>0</v>
      </c>
      <c r="I134" s="18">
        <v>0</v>
      </c>
    </row>
    <row r="135" spans="1:9" x14ac:dyDescent="0.35">
      <c r="A135" s="14" t="s">
        <v>213</v>
      </c>
      <c r="B135" s="1">
        <v>1.9470336079881609</v>
      </c>
      <c r="C135" s="1">
        <v>2.3280588985986799</v>
      </c>
      <c r="D135" s="1">
        <v>1.777922483633436</v>
      </c>
      <c r="E135" s="1">
        <v>-5.356004823432718</v>
      </c>
      <c r="F135" s="1">
        <v>1.9470336079881621</v>
      </c>
      <c r="G135" s="1">
        <v>-11.183698842269679</v>
      </c>
      <c r="H135" s="1">
        <v>-5.2088119501661403</v>
      </c>
      <c r="I135" s="1">
        <v>4.7869144190960959</v>
      </c>
    </row>
    <row r="137" spans="1:9" x14ac:dyDescent="0.35">
      <c r="C137" s="187"/>
      <c r="D137" s="187"/>
      <c r="E137" s="187"/>
      <c r="F137" s="187"/>
      <c r="G137" s="170"/>
      <c r="H137" s="170"/>
      <c r="I137" s="170"/>
    </row>
    <row r="138" spans="1:9" ht="29" x14ac:dyDescent="0.35">
      <c r="A138" s="12" t="s">
        <v>478</v>
      </c>
      <c r="B138" s="13" t="s">
        <v>208</v>
      </c>
      <c r="C138" s="13" t="s">
        <v>458</v>
      </c>
      <c r="D138" s="13" t="s">
        <v>466</v>
      </c>
      <c r="E138" s="13" t="s">
        <v>467</v>
      </c>
      <c r="F138" s="13" t="s">
        <v>468</v>
      </c>
      <c r="G138" s="13" t="s">
        <v>634</v>
      </c>
      <c r="H138" s="13" t="s">
        <v>641</v>
      </c>
      <c r="I138" s="13" t="s">
        <v>647</v>
      </c>
    </row>
    <row r="139" spans="1:9" x14ac:dyDescent="0.35">
      <c r="A139" s="14" t="s">
        <v>209</v>
      </c>
      <c r="B139" s="15">
        <v>0</v>
      </c>
      <c r="C139" s="15">
        <v>0</v>
      </c>
      <c r="D139" s="15">
        <v>0</v>
      </c>
      <c r="E139" s="15">
        <v>0</v>
      </c>
      <c r="F139" s="15">
        <v>0</v>
      </c>
      <c r="G139" s="15">
        <v>0</v>
      </c>
      <c r="H139" s="15">
        <v>0</v>
      </c>
      <c r="I139" s="15">
        <v>0</v>
      </c>
    </row>
    <row r="140" spans="1:9" x14ac:dyDescent="0.35">
      <c r="A140" s="16" t="s">
        <v>336</v>
      </c>
      <c r="B140" s="17" t="s">
        <v>214</v>
      </c>
      <c r="C140" s="168" t="s">
        <v>214</v>
      </c>
      <c r="D140" s="168" t="s">
        <v>214</v>
      </c>
      <c r="E140" s="168" t="s">
        <v>214</v>
      </c>
      <c r="F140" s="168" t="s">
        <v>214</v>
      </c>
      <c r="G140" s="168" t="s">
        <v>214</v>
      </c>
      <c r="H140" s="168" t="s">
        <v>214</v>
      </c>
      <c r="I140" s="168" t="s">
        <v>214</v>
      </c>
    </row>
    <row r="141" spans="1:9" x14ac:dyDescent="0.35">
      <c r="A141" s="16" t="s">
        <v>194</v>
      </c>
      <c r="B141" s="17" t="s">
        <v>214</v>
      </c>
      <c r="C141" s="168" t="s">
        <v>214</v>
      </c>
      <c r="D141" s="168" t="s">
        <v>214</v>
      </c>
      <c r="E141" s="168" t="s">
        <v>214</v>
      </c>
      <c r="F141" s="168" t="s">
        <v>214</v>
      </c>
      <c r="G141" s="168" t="s">
        <v>214</v>
      </c>
      <c r="H141" s="168" t="s">
        <v>214</v>
      </c>
      <c r="I141" s="168" t="s">
        <v>214</v>
      </c>
    </row>
    <row r="142" spans="1:9" x14ac:dyDescent="0.35">
      <c r="A142" s="16" t="s">
        <v>195</v>
      </c>
      <c r="B142" s="17" t="s">
        <v>214</v>
      </c>
      <c r="C142" s="168" t="s">
        <v>214</v>
      </c>
      <c r="D142" s="168" t="s">
        <v>214</v>
      </c>
      <c r="E142" s="168" t="s">
        <v>214</v>
      </c>
      <c r="F142" s="168" t="s">
        <v>214</v>
      </c>
      <c r="G142" s="168" t="s">
        <v>214</v>
      </c>
      <c r="H142" s="168" t="s">
        <v>214</v>
      </c>
      <c r="I142" s="168" t="s">
        <v>214</v>
      </c>
    </row>
    <row r="143" spans="1:9" x14ac:dyDescent="0.35">
      <c r="A143" s="14" t="s">
        <v>210</v>
      </c>
      <c r="B143" s="18" t="s">
        <v>214</v>
      </c>
      <c r="C143" s="18" t="s">
        <v>214</v>
      </c>
      <c r="D143" s="18" t="s">
        <v>214</v>
      </c>
      <c r="E143" s="18" t="s">
        <v>214</v>
      </c>
      <c r="F143" s="18" t="s">
        <v>214</v>
      </c>
      <c r="G143" s="18" t="s">
        <v>214</v>
      </c>
      <c r="H143" s="18" t="s">
        <v>214</v>
      </c>
      <c r="I143" s="18" t="s">
        <v>214</v>
      </c>
    </row>
    <row r="144" spans="1:9" x14ac:dyDescent="0.35">
      <c r="A144" s="14" t="s">
        <v>197</v>
      </c>
      <c r="B144" s="18" t="s">
        <v>214</v>
      </c>
      <c r="C144" s="18" t="s">
        <v>214</v>
      </c>
      <c r="D144" s="18" t="s">
        <v>214</v>
      </c>
      <c r="E144" s="18" t="s">
        <v>214</v>
      </c>
      <c r="F144" s="18" t="s">
        <v>214</v>
      </c>
      <c r="G144" s="18" t="s">
        <v>214</v>
      </c>
      <c r="H144" s="18" t="s">
        <v>214</v>
      </c>
      <c r="I144" s="18" t="s">
        <v>214</v>
      </c>
    </row>
    <row r="145" spans="1:9" x14ac:dyDescent="0.35">
      <c r="A145" s="14" t="s">
        <v>198</v>
      </c>
      <c r="B145" s="18" t="s">
        <v>214</v>
      </c>
      <c r="C145" s="18" t="s">
        <v>214</v>
      </c>
      <c r="D145" s="18" t="s">
        <v>214</v>
      </c>
      <c r="E145" s="18" t="s">
        <v>214</v>
      </c>
      <c r="F145" s="18" t="s">
        <v>214</v>
      </c>
      <c r="G145" s="18" t="s">
        <v>214</v>
      </c>
      <c r="H145" s="18" t="s">
        <v>214</v>
      </c>
      <c r="I145" s="18" t="s">
        <v>214</v>
      </c>
    </row>
    <row r="146" spans="1:9" x14ac:dyDescent="0.35">
      <c r="A146" s="14" t="s">
        <v>199</v>
      </c>
      <c r="B146" s="18" t="s">
        <v>214</v>
      </c>
      <c r="C146" s="18" t="s">
        <v>214</v>
      </c>
      <c r="D146" s="18" t="s">
        <v>214</v>
      </c>
      <c r="E146" s="18" t="s">
        <v>214</v>
      </c>
      <c r="F146" s="18" t="s">
        <v>214</v>
      </c>
      <c r="G146" s="18" t="s">
        <v>214</v>
      </c>
      <c r="H146" s="18" t="s">
        <v>214</v>
      </c>
      <c r="I146" s="18" t="s">
        <v>214</v>
      </c>
    </row>
    <row r="147" spans="1:9" x14ac:dyDescent="0.35">
      <c r="A147" s="14" t="s">
        <v>200</v>
      </c>
      <c r="B147" s="18" t="s">
        <v>214</v>
      </c>
      <c r="C147" s="18" t="s">
        <v>214</v>
      </c>
      <c r="D147" s="18" t="s">
        <v>214</v>
      </c>
      <c r="E147" s="18" t="s">
        <v>214</v>
      </c>
      <c r="F147" s="18" t="s">
        <v>214</v>
      </c>
      <c r="G147" s="18" t="s">
        <v>214</v>
      </c>
      <c r="H147" s="18" t="s">
        <v>214</v>
      </c>
      <c r="I147" s="18" t="s">
        <v>214</v>
      </c>
    </row>
    <row r="148" spans="1:9" x14ac:dyDescent="0.35">
      <c r="A148" s="14" t="s">
        <v>201</v>
      </c>
      <c r="B148" s="18" t="s">
        <v>214</v>
      </c>
      <c r="C148" s="18" t="s">
        <v>214</v>
      </c>
      <c r="D148" s="18" t="s">
        <v>214</v>
      </c>
      <c r="E148" s="18" t="s">
        <v>214</v>
      </c>
      <c r="F148" s="18" t="s">
        <v>214</v>
      </c>
      <c r="G148" s="18" t="s">
        <v>214</v>
      </c>
      <c r="H148" s="18" t="s">
        <v>214</v>
      </c>
      <c r="I148" s="18" t="s">
        <v>214</v>
      </c>
    </row>
    <row r="149" spans="1:9" x14ac:dyDescent="0.35">
      <c r="A149" s="14" t="s">
        <v>202</v>
      </c>
      <c r="B149" s="18" t="s">
        <v>214</v>
      </c>
      <c r="C149" s="18" t="s">
        <v>214</v>
      </c>
      <c r="D149" s="18" t="s">
        <v>214</v>
      </c>
      <c r="E149" s="18" t="s">
        <v>214</v>
      </c>
      <c r="F149" s="18" t="s">
        <v>214</v>
      </c>
      <c r="G149" s="18" t="s">
        <v>214</v>
      </c>
      <c r="H149" s="18" t="s">
        <v>214</v>
      </c>
      <c r="I149" s="18" t="s">
        <v>214</v>
      </c>
    </row>
    <row r="150" spans="1:9" x14ac:dyDescent="0.35">
      <c r="A150" s="14" t="s">
        <v>211</v>
      </c>
      <c r="B150" s="18" t="s">
        <v>214</v>
      </c>
      <c r="C150" s="18" t="s">
        <v>214</v>
      </c>
      <c r="D150" s="18" t="s">
        <v>214</v>
      </c>
      <c r="E150" s="18" t="s">
        <v>214</v>
      </c>
      <c r="F150" s="18" t="s">
        <v>214</v>
      </c>
      <c r="G150" s="18" t="s">
        <v>214</v>
      </c>
      <c r="H150" s="18" t="s">
        <v>214</v>
      </c>
      <c r="I150" s="18" t="s">
        <v>214</v>
      </c>
    </row>
    <row r="151" spans="1:9" x14ac:dyDescent="0.35">
      <c r="A151" s="14" t="s">
        <v>212</v>
      </c>
      <c r="B151" s="18" t="s">
        <v>214</v>
      </c>
      <c r="C151" s="18" t="s">
        <v>214</v>
      </c>
      <c r="D151" s="18" t="s">
        <v>214</v>
      </c>
      <c r="E151" s="18" t="s">
        <v>214</v>
      </c>
      <c r="F151" s="18" t="s">
        <v>214</v>
      </c>
      <c r="G151" s="18" t="s">
        <v>214</v>
      </c>
      <c r="H151" s="18" t="s">
        <v>214</v>
      </c>
      <c r="I151" s="18" t="s">
        <v>214</v>
      </c>
    </row>
    <row r="152" spans="1:9" x14ac:dyDescent="0.35">
      <c r="A152" s="14" t="s">
        <v>203</v>
      </c>
      <c r="B152" s="18" t="s">
        <v>214</v>
      </c>
      <c r="C152" s="18" t="s">
        <v>214</v>
      </c>
      <c r="D152" s="18" t="s">
        <v>214</v>
      </c>
      <c r="E152" s="18" t="s">
        <v>214</v>
      </c>
      <c r="F152" s="18" t="s">
        <v>214</v>
      </c>
      <c r="G152" s="18" t="s">
        <v>214</v>
      </c>
      <c r="H152" s="18" t="s">
        <v>214</v>
      </c>
      <c r="I152" s="18" t="s">
        <v>214</v>
      </c>
    </row>
    <row r="153" spans="1:9" x14ac:dyDescent="0.35">
      <c r="A153" s="14" t="s">
        <v>204</v>
      </c>
      <c r="B153" s="18" t="s">
        <v>214</v>
      </c>
      <c r="C153" s="18" t="s">
        <v>214</v>
      </c>
      <c r="D153" s="18" t="s">
        <v>214</v>
      </c>
      <c r="E153" s="18" t="s">
        <v>214</v>
      </c>
      <c r="F153" s="18" t="s">
        <v>214</v>
      </c>
      <c r="G153" s="18" t="s">
        <v>214</v>
      </c>
      <c r="H153" s="18" t="s">
        <v>214</v>
      </c>
      <c r="I153" s="18" t="s">
        <v>214</v>
      </c>
    </row>
    <row r="155" spans="1:9" x14ac:dyDescent="0.35">
      <c r="C155" s="187"/>
      <c r="D155" s="187"/>
      <c r="E155" s="187"/>
      <c r="F155" s="187"/>
      <c r="G155" s="170"/>
      <c r="H155" s="170"/>
      <c r="I155" s="170"/>
    </row>
    <row r="156" spans="1:9" ht="29" x14ac:dyDescent="0.35">
      <c r="A156" s="12" t="s">
        <v>563</v>
      </c>
      <c r="B156" s="13" t="s">
        <v>208</v>
      </c>
      <c r="C156" s="13" t="s">
        <v>458</v>
      </c>
      <c r="D156" s="13" t="s">
        <v>466</v>
      </c>
      <c r="E156" s="13" t="s">
        <v>467</v>
      </c>
      <c r="F156" s="13" t="s">
        <v>468</v>
      </c>
      <c r="G156" s="13" t="s">
        <v>634</v>
      </c>
      <c r="H156" s="13" t="s">
        <v>641</v>
      </c>
      <c r="I156" s="13" t="s">
        <v>647</v>
      </c>
    </row>
    <row r="157" spans="1:9" x14ac:dyDescent="0.35">
      <c r="A157" s="14" t="s">
        <v>209</v>
      </c>
      <c r="B157" s="15">
        <v>4</v>
      </c>
      <c r="C157" s="15">
        <v>2</v>
      </c>
      <c r="D157" s="15">
        <v>4</v>
      </c>
      <c r="E157" s="15">
        <v>4</v>
      </c>
      <c r="F157" s="15">
        <v>4</v>
      </c>
      <c r="G157" s="15">
        <v>4</v>
      </c>
      <c r="H157" s="15">
        <v>4</v>
      </c>
      <c r="I157" s="15">
        <v>2</v>
      </c>
    </row>
    <row r="158" spans="1:9" x14ac:dyDescent="0.35">
      <c r="A158" s="16" t="s">
        <v>336</v>
      </c>
      <c r="B158" s="17">
        <v>0.818155730329023</v>
      </c>
      <c r="C158" s="17">
        <v>1</v>
      </c>
      <c r="D158" s="17">
        <v>0.818155730329023</v>
      </c>
      <c r="E158" s="17">
        <v>0.818155730329023</v>
      </c>
      <c r="F158" s="17">
        <v>0.818155730329023</v>
      </c>
      <c r="G158" s="17">
        <v>0.818155730329023</v>
      </c>
      <c r="H158" s="17">
        <v>0.818155730329023</v>
      </c>
      <c r="I158" s="17">
        <v>0.58758920869111431</v>
      </c>
    </row>
    <row r="159" spans="1:9" x14ac:dyDescent="0.35">
      <c r="A159" s="16" t="s">
        <v>194</v>
      </c>
      <c r="B159" s="17">
        <v>0.18184426967097711</v>
      </c>
      <c r="C159" s="17">
        <v>0</v>
      </c>
      <c r="D159" s="17">
        <v>0.18184426967097711</v>
      </c>
      <c r="E159" s="17">
        <v>0.18184426967097711</v>
      </c>
      <c r="F159" s="17">
        <v>0.18184426967097711</v>
      </c>
      <c r="G159" s="17">
        <v>0.18184426967097711</v>
      </c>
      <c r="H159" s="17">
        <v>0.18184426967097711</v>
      </c>
      <c r="I159" s="17">
        <v>0.4124107913088858</v>
      </c>
    </row>
    <row r="160" spans="1:9" x14ac:dyDescent="0.35">
      <c r="A160" s="16" t="s">
        <v>195</v>
      </c>
      <c r="B160" s="17">
        <v>0</v>
      </c>
      <c r="C160" s="17">
        <v>0</v>
      </c>
      <c r="D160" s="17">
        <v>0</v>
      </c>
      <c r="E160" s="17">
        <v>0</v>
      </c>
      <c r="F160" s="17">
        <v>0</v>
      </c>
      <c r="G160" s="17">
        <v>0</v>
      </c>
      <c r="H160" s="17">
        <v>0</v>
      </c>
      <c r="I160" s="17">
        <v>0</v>
      </c>
    </row>
    <row r="161" spans="1:9" x14ac:dyDescent="0.35">
      <c r="A161" s="14" t="s">
        <v>210</v>
      </c>
      <c r="B161" s="18">
        <v>0.818155730329023</v>
      </c>
      <c r="C161" s="18">
        <v>1</v>
      </c>
      <c r="D161" s="18">
        <v>0.818155730329023</v>
      </c>
      <c r="E161" s="18">
        <v>0.818155730329023</v>
      </c>
      <c r="F161" s="18">
        <v>0.818155730329023</v>
      </c>
      <c r="G161" s="18">
        <v>0.818155730329023</v>
      </c>
      <c r="H161" s="18">
        <v>0.818155730329023</v>
      </c>
      <c r="I161" s="18">
        <v>0.58758920869111431</v>
      </c>
    </row>
    <row r="162" spans="1:9" x14ac:dyDescent="0.35">
      <c r="A162" s="14" t="s">
        <v>197</v>
      </c>
      <c r="B162" s="18">
        <v>0</v>
      </c>
      <c r="C162" s="18">
        <v>0</v>
      </c>
      <c r="D162" s="18">
        <v>0</v>
      </c>
      <c r="E162" s="18">
        <v>0</v>
      </c>
      <c r="F162" s="18">
        <v>0</v>
      </c>
      <c r="G162" s="18">
        <v>0</v>
      </c>
      <c r="H162" s="18">
        <v>0</v>
      </c>
      <c r="I162" s="18">
        <v>0</v>
      </c>
    </row>
    <row r="163" spans="1:9" x14ac:dyDescent="0.35">
      <c r="A163" s="14" t="s">
        <v>198</v>
      </c>
      <c r="B163" s="18">
        <v>0</v>
      </c>
      <c r="C163" s="18">
        <v>0</v>
      </c>
      <c r="D163" s="18">
        <v>0</v>
      </c>
      <c r="E163" s="18">
        <v>0</v>
      </c>
      <c r="F163" s="18">
        <v>0</v>
      </c>
      <c r="G163" s="18">
        <v>0</v>
      </c>
      <c r="H163" s="18">
        <v>0</v>
      </c>
      <c r="I163" s="18">
        <v>0</v>
      </c>
    </row>
    <row r="164" spans="1:9" x14ac:dyDescent="0.35">
      <c r="A164" s="14" t="s">
        <v>199</v>
      </c>
      <c r="B164" s="18">
        <v>0.18184426967097711</v>
      </c>
      <c r="C164" s="18">
        <v>0</v>
      </c>
      <c r="D164" s="18">
        <v>0.18184426967097711</v>
      </c>
      <c r="E164" s="18">
        <v>0.18184426967097711</v>
      </c>
      <c r="F164" s="18">
        <v>0.18184426967097711</v>
      </c>
      <c r="G164" s="18">
        <v>0.18184426967097711</v>
      </c>
      <c r="H164" s="18">
        <v>0.18184426967097711</v>
      </c>
      <c r="I164" s="18">
        <v>0.4124107913088858</v>
      </c>
    </row>
    <row r="165" spans="1:9" x14ac:dyDescent="0.35">
      <c r="A165" s="14" t="s">
        <v>200</v>
      </c>
      <c r="B165" s="18">
        <v>0</v>
      </c>
      <c r="C165" s="18">
        <v>0</v>
      </c>
      <c r="D165" s="18">
        <v>0</v>
      </c>
      <c r="E165" s="18">
        <v>0</v>
      </c>
      <c r="F165" s="18">
        <v>0</v>
      </c>
      <c r="G165" s="18">
        <v>0</v>
      </c>
      <c r="H165" s="18">
        <v>0</v>
      </c>
      <c r="I165" s="18">
        <v>0</v>
      </c>
    </row>
    <row r="166" spans="1:9" x14ac:dyDescent="0.35">
      <c r="A166" s="14" t="s">
        <v>201</v>
      </c>
      <c r="B166" s="18">
        <v>0</v>
      </c>
      <c r="C166" s="18">
        <v>0</v>
      </c>
      <c r="D166" s="18">
        <v>0</v>
      </c>
      <c r="E166" s="18">
        <v>0</v>
      </c>
      <c r="F166" s="18">
        <v>0</v>
      </c>
      <c r="G166" s="18">
        <v>0</v>
      </c>
      <c r="H166" s="18">
        <v>0</v>
      </c>
      <c r="I166" s="18">
        <v>0</v>
      </c>
    </row>
    <row r="167" spans="1:9" x14ac:dyDescent="0.35">
      <c r="A167" s="14" t="s">
        <v>202</v>
      </c>
      <c r="B167" s="18">
        <v>0</v>
      </c>
      <c r="C167" s="18">
        <v>0</v>
      </c>
      <c r="D167" s="18">
        <v>0</v>
      </c>
      <c r="E167" s="18">
        <v>0</v>
      </c>
      <c r="F167" s="18">
        <v>0</v>
      </c>
      <c r="G167" s="18">
        <v>0</v>
      </c>
      <c r="H167" s="18">
        <v>0</v>
      </c>
      <c r="I167" s="18">
        <v>0</v>
      </c>
    </row>
    <row r="168" spans="1:9" x14ac:dyDescent="0.35">
      <c r="A168" s="14" t="s">
        <v>211</v>
      </c>
      <c r="B168" s="18">
        <v>0</v>
      </c>
      <c r="C168" s="18">
        <v>0</v>
      </c>
      <c r="D168" s="18">
        <v>0</v>
      </c>
      <c r="E168" s="18">
        <v>0</v>
      </c>
      <c r="F168" s="18">
        <v>0</v>
      </c>
      <c r="G168" s="18">
        <v>0</v>
      </c>
      <c r="H168" s="18">
        <v>0</v>
      </c>
      <c r="I168" s="18">
        <v>0</v>
      </c>
    </row>
    <row r="169" spans="1:9" x14ac:dyDescent="0.35">
      <c r="A169" s="14" t="s">
        <v>212</v>
      </c>
      <c r="B169" s="18">
        <v>0</v>
      </c>
      <c r="C169" s="18">
        <v>0</v>
      </c>
      <c r="D169" s="18">
        <v>0</v>
      </c>
      <c r="E169" s="18">
        <v>0</v>
      </c>
      <c r="F169" s="18">
        <v>0</v>
      </c>
      <c r="G169" s="18">
        <v>0</v>
      </c>
      <c r="H169" s="18">
        <v>0</v>
      </c>
      <c r="I169" s="18">
        <v>0</v>
      </c>
    </row>
    <row r="170" spans="1:9" x14ac:dyDescent="0.35">
      <c r="A170" s="14" t="s">
        <v>203</v>
      </c>
      <c r="B170" s="18">
        <v>0</v>
      </c>
      <c r="C170" s="18">
        <v>0</v>
      </c>
      <c r="D170" s="18">
        <v>0</v>
      </c>
      <c r="E170" s="18">
        <v>0</v>
      </c>
      <c r="F170" s="18">
        <v>0</v>
      </c>
      <c r="G170" s="18">
        <v>0</v>
      </c>
      <c r="H170" s="18">
        <v>0</v>
      </c>
      <c r="I170" s="18">
        <v>0</v>
      </c>
    </row>
    <row r="171" spans="1:9" x14ac:dyDescent="0.35">
      <c r="A171" s="14" t="s">
        <v>204</v>
      </c>
      <c r="B171" s="18">
        <v>0</v>
      </c>
      <c r="C171" s="18">
        <v>0</v>
      </c>
      <c r="D171" s="18">
        <v>0</v>
      </c>
      <c r="E171" s="18">
        <v>0</v>
      </c>
      <c r="F171" s="18">
        <v>0</v>
      </c>
      <c r="G171" s="18">
        <v>0</v>
      </c>
      <c r="H171" s="18">
        <v>0</v>
      </c>
      <c r="I171" s="18">
        <v>0</v>
      </c>
    </row>
    <row r="172" spans="1:9" x14ac:dyDescent="0.35">
      <c r="A172" s="14" t="s">
        <v>213</v>
      </c>
      <c r="B172" s="1">
        <v>81.815573032902293</v>
      </c>
      <c r="C172" s="1">
        <v>100</v>
      </c>
      <c r="D172" s="1">
        <v>81.815573032902307</v>
      </c>
      <c r="E172" s="1">
        <v>81.815573032902307</v>
      </c>
      <c r="F172" s="1">
        <v>81.815573032902307</v>
      </c>
      <c r="G172" s="1">
        <v>81.815573032902307</v>
      </c>
      <c r="H172" s="1">
        <v>81.815573032902307</v>
      </c>
      <c r="I172" s="1">
        <v>58.758920869111428</v>
      </c>
    </row>
    <row r="174" spans="1:9" x14ac:dyDescent="0.35">
      <c r="C174" s="187"/>
      <c r="D174" s="187"/>
      <c r="E174" s="187"/>
      <c r="F174" s="187"/>
      <c r="G174" s="170"/>
      <c r="H174" s="170"/>
      <c r="I174" s="170"/>
    </row>
    <row r="175" spans="1:9" ht="29" x14ac:dyDescent="0.35">
      <c r="A175" s="12" t="s">
        <v>486</v>
      </c>
      <c r="B175" s="13" t="s">
        <v>208</v>
      </c>
      <c r="C175" s="13" t="s">
        <v>458</v>
      </c>
      <c r="D175" s="13" t="s">
        <v>466</v>
      </c>
      <c r="E175" s="13" t="s">
        <v>467</v>
      </c>
      <c r="F175" s="13" t="s">
        <v>468</v>
      </c>
      <c r="G175" s="13" t="s">
        <v>634</v>
      </c>
      <c r="H175" s="13" t="s">
        <v>641</v>
      </c>
      <c r="I175" s="13" t="s">
        <v>647</v>
      </c>
    </row>
    <row r="176" spans="1:9" x14ac:dyDescent="0.35">
      <c r="A176" s="14" t="s">
        <v>209</v>
      </c>
      <c r="B176" s="15">
        <v>0</v>
      </c>
      <c r="C176" s="15">
        <v>0</v>
      </c>
      <c r="D176" s="15">
        <v>0</v>
      </c>
      <c r="E176" s="15">
        <v>0</v>
      </c>
      <c r="F176" s="15">
        <v>0</v>
      </c>
      <c r="G176" s="15">
        <v>0</v>
      </c>
      <c r="H176" s="15">
        <v>0</v>
      </c>
      <c r="I176" s="15">
        <v>0</v>
      </c>
    </row>
    <row r="177" spans="1:9" x14ac:dyDescent="0.35">
      <c r="A177" s="16" t="s">
        <v>336</v>
      </c>
      <c r="B177" s="17" t="s">
        <v>214</v>
      </c>
      <c r="C177" s="168" t="s">
        <v>214</v>
      </c>
      <c r="D177" s="168" t="s">
        <v>214</v>
      </c>
      <c r="E177" s="168" t="s">
        <v>214</v>
      </c>
      <c r="F177" s="168" t="s">
        <v>214</v>
      </c>
      <c r="G177" s="168" t="s">
        <v>214</v>
      </c>
      <c r="H177" s="168" t="s">
        <v>214</v>
      </c>
      <c r="I177" s="168" t="s">
        <v>214</v>
      </c>
    </row>
    <row r="178" spans="1:9" x14ac:dyDescent="0.35">
      <c r="A178" s="16" t="s">
        <v>194</v>
      </c>
      <c r="B178" s="17" t="s">
        <v>214</v>
      </c>
      <c r="C178" s="168" t="s">
        <v>214</v>
      </c>
      <c r="D178" s="168" t="s">
        <v>214</v>
      </c>
      <c r="E178" s="168" t="s">
        <v>214</v>
      </c>
      <c r="F178" s="168" t="s">
        <v>214</v>
      </c>
      <c r="G178" s="168" t="s">
        <v>214</v>
      </c>
      <c r="H178" s="168" t="s">
        <v>214</v>
      </c>
      <c r="I178" s="168" t="s">
        <v>214</v>
      </c>
    </row>
    <row r="179" spans="1:9" x14ac:dyDescent="0.35">
      <c r="A179" s="16" t="s">
        <v>195</v>
      </c>
      <c r="B179" s="17" t="s">
        <v>214</v>
      </c>
      <c r="C179" s="168" t="s">
        <v>214</v>
      </c>
      <c r="D179" s="168" t="s">
        <v>214</v>
      </c>
      <c r="E179" s="168" t="s">
        <v>214</v>
      </c>
      <c r="F179" s="168" t="s">
        <v>214</v>
      </c>
      <c r="G179" s="168" t="s">
        <v>214</v>
      </c>
      <c r="H179" s="168" t="s">
        <v>214</v>
      </c>
      <c r="I179" s="168" t="s">
        <v>214</v>
      </c>
    </row>
    <row r="180" spans="1:9" x14ac:dyDescent="0.35">
      <c r="A180" s="14" t="s">
        <v>210</v>
      </c>
      <c r="B180" s="18" t="s">
        <v>214</v>
      </c>
      <c r="C180" s="18" t="s">
        <v>214</v>
      </c>
      <c r="D180" s="18" t="s">
        <v>214</v>
      </c>
      <c r="E180" s="18" t="s">
        <v>214</v>
      </c>
      <c r="F180" s="18" t="s">
        <v>214</v>
      </c>
      <c r="G180" s="18" t="s">
        <v>214</v>
      </c>
      <c r="H180" s="18" t="s">
        <v>214</v>
      </c>
      <c r="I180" s="18" t="s">
        <v>214</v>
      </c>
    </row>
    <row r="181" spans="1:9" x14ac:dyDescent="0.35">
      <c r="A181" s="14" t="s">
        <v>197</v>
      </c>
      <c r="B181" s="18" t="s">
        <v>214</v>
      </c>
      <c r="C181" s="18" t="s">
        <v>214</v>
      </c>
      <c r="D181" s="18" t="s">
        <v>214</v>
      </c>
      <c r="E181" s="18" t="s">
        <v>214</v>
      </c>
      <c r="F181" s="18" t="s">
        <v>214</v>
      </c>
      <c r="G181" s="18" t="s">
        <v>214</v>
      </c>
      <c r="H181" s="18" t="s">
        <v>214</v>
      </c>
      <c r="I181" s="18" t="s">
        <v>214</v>
      </c>
    </row>
    <row r="182" spans="1:9" x14ac:dyDescent="0.35">
      <c r="A182" s="14" t="s">
        <v>198</v>
      </c>
      <c r="B182" s="18" t="s">
        <v>214</v>
      </c>
      <c r="C182" s="18" t="s">
        <v>214</v>
      </c>
      <c r="D182" s="18" t="s">
        <v>214</v>
      </c>
      <c r="E182" s="18" t="s">
        <v>214</v>
      </c>
      <c r="F182" s="18" t="s">
        <v>214</v>
      </c>
      <c r="G182" s="18" t="s">
        <v>214</v>
      </c>
      <c r="H182" s="18" t="s">
        <v>214</v>
      </c>
      <c r="I182" s="18" t="s">
        <v>214</v>
      </c>
    </row>
    <row r="183" spans="1:9" x14ac:dyDescent="0.35">
      <c r="A183" s="14" t="s">
        <v>199</v>
      </c>
      <c r="B183" s="18" t="s">
        <v>214</v>
      </c>
      <c r="C183" s="18" t="s">
        <v>214</v>
      </c>
      <c r="D183" s="18" t="s">
        <v>214</v>
      </c>
      <c r="E183" s="18" t="s">
        <v>214</v>
      </c>
      <c r="F183" s="18" t="s">
        <v>214</v>
      </c>
      <c r="G183" s="18" t="s">
        <v>214</v>
      </c>
      <c r="H183" s="18" t="s">
        <v>214</v>
      </c>
      <c r="I183" s="18" t="s">
        <v>214</v>
      </c>
    </row>
    <row r="184" spans="1:9" x14ac:dyDescent="0.35">
      <c r="A184" s="14" t="s">
        <v>200</v>
      </c>
      <c r="B184" s="18" t="s">
        <v>214</v>
      </c>
      <c r="C184" s="18" t="s">
        <v>214</v>
      </c>
      <c r="D184" s="18" t="s">
        <v>214</v>
      </c>
      <c r="E184" s="18" t="s">
        <v>214</v>
      </c>
      <c r="F184" s="18" t="s">
        <v>214</v>
      </c>
      <c r="G184" s="18" t="s">
        <v>214</v>
      </c>
      <c r="H184" s="18" t="s">
        <v>214</v>
      </c>
      <c r="I184" s="18" t="s">
        <v>214</v>
      </c>
    </row>
    <row r="185" spans="1:9" x14ac:dyDescent="0.35">
      <c r="A185" s="14" t="s">
        <v>201</v>
      </c>
      <c r="B185" s="18" t="s">
        <v>214</v>
      </c>
      <c r="C185" s="18" t="s">
        <v>214</v>
      </c>
      <c r="D185" s="18" t="s">
        <v>214</v>
      </c>
      <c r="E185" s="18" t="s">
        <v>214</v>
      </c>
      <c r="F185" s="18" t="s">
        <v>214</v>
      </c>
      <c r="G185" s="18" t="s">
        <v>214</v>
      </c>
      <c r="H185" s="18" t="s">
        <v>214</v>
      </c>
      <c r="I185" s="18" t="s">
        <v>214</v>
      </c>
    </row>
    <row r="186" spans="1:9" x14ac:dyDescent="0.35">
      <c r="A186" s="14" t="s">
        <v>202</v>
      </c>
      <c r="B186" s="18" t="s">
        <v>214</v>
      </c>
      <c r="C186" s="18" t="s">
        <v>214</v>
      </c>
      <c r="D186" s="18" t="s">
        <v>214</v>
      </c>
      <c r="E186" s="18" t="s">
        <v>214</v>
      </c>
      <c r="F186" s="18" t="s">
        <v>214</v>
      </c>
      <c r="G186" s="18" t="s">
        <v>214</v>
      </c>
      <c r="H186" s="18" t="s">
        <v>214</v>
      </c>
      <c r="I186" s="18" t="s">
        <v>214</v>
      </c>
    </row>
    <row r="187" spans="1:9" x14ac:dyDescent="0.35">
      <c r="A187" s="14" t="s">
        <v>211</v>
      </c>
      <c r="B187" s="18" t="s">
        <v>214</v>
      </c>
      <c r="C187" s="18" t="s">
        <v>214</v>
      </c>
      <c r="D187" s="18" t="s">
        <v>214</v>
      </c>
      <c r="E187" s="18" t="s">
        <v>214</v>
      </c>
      <c r="F187" s="18" t="s">
        <v>214</v>
      </c>
      <c r="G187" s="18" t="s">
        <v>214</v>
      </c>
      <c r="H187" s="18" t="s">
        <v>214</v>
      </c>
      <c r="I187" s="18" t="s">
        <v>214</v>
      </c>
    </row>
    <row r="188" spans="1:9" x14ac:dyDescent="0.35">
      <c r="A188" s="14" t="s">
        <v>212</v>
      </c>
      <c r="B188" s="18" t="s">
        <v>214</v>
      </c>
      <c r="C188" s="18" t="s">
        <v>214</v>
      </c>
      <c r="D188" s="18" t="s">
        <v>214</v>
      </c>
      <c r="E188" s="18" t="s">
        <v>214</v>
      </c>
      <c r="F188" s="18" t="s">
        <v>214</v>
      </c>
      <c r="G188" s="18" t="s">
        <v>214</v>
      </c>
      <c r="H188" s="18" t="s">
        <v>214</v>
      </c>
      <c r="I188" s="18" t="s">
        <v>214</v>
      </c>
    </row>
    <row r="189" spans="1:9" x14ac:dyDescent="0.35">
      <c r="A189" s="14" t="s">
        <v>203</v>
      </c>
      <c r="B189" s="18" t="s">
        <v>214</v>
      </c>
      <c r="C189" s="18" t="s">
        <v>214</v>
      </c>
      <c r="D189" s="18" t="s">
        <v>214</v>
      </c>
      <c r="E189" s="18" t="s">
        <v>214</v>
      </c>
      <c r="F189" s="18" t="s">
        <v>214</v>
      </c>
      <c r="G189" s="18" t="s">
        <v>214</v>
      </c>
      <c r="H189" s="18" t="s">
        <v>214</v>
      </c>
      <c r="I189" s="18" t="s">
        <v>214</v>
      </c>
    </row>
    <row r="190" spans="1:9" x14ac:dyDescent="0.35">
      <c r="A190" s="14" t="s">
        <v>204</v>
      </c>
      <c r="B190" s="18" t="s">
        <v>214</v>
      </c>
      <c r="C190" s="18" t="s">
        <v>214</v>
      </c>
      <c r="D190" s="18" t="s">
        <v>214</v>
      </c>
      <c r="E190" s="18" t="s">
        <v>214</v>
      </c>
      <c r="F190" s="18" t="s">
        <v>214</v>
      </c>
      <c r="G190" s="18" t="s">
        <v>214</v>
      </c>
      <c r="H190" s="18" t="s">
        <v>214</v>
      </c>
      <c r="I190" s="18" t="s">
        <v>214</v>
      </c>
    </row>
    <row r="192" spans="1:9" x14ac:dyDescent="0.35">
      <c r="C192" s="187"/>
      <c r="D192" s="187"/>
      <c r="E192" s="187"/>
      <c r="F192" s="187"/>
      <c r="G192" s="170"/>
      <c r="H192" s="170"/>
      <c r="I192" s="170"/>
    </row>
    <row r="193" spans="1:9" ht="29" x14ac:dyDescent="0.35">
      <c r="A193" s="12" t="s">
        <v>564</v>
      </c>
      <c r="B193" s="13" t="s">
        <v>208</v>
      </c>
      <c r="C193" s="13" t="s">
        <v>458</v>
      </c>
      <c r="D193" s="13" t="s">
        <v>466</v>
      </c>
      <c r="E193" s="13" t="s">
        <v>467</v>
      </c>
      <c r="F193" s="13" t="s">
        <v>468</v>
      </c>
      <c r="G193" s="13" t="s">
        <v>634</v>
      </c>
      <c r="H193" s="13" t="s">
        <v>641</v>
      </c>
      <c r="I193" s="13" t="s">
        <v>647</v>
      </c>
    </row>
    <row r="194" spans="1:9" x14ac:dyDescent="0.35">
      <c r="A194" s="14" t="s">
        <v>209</v>
      </c>
      <c r="B194" s="15">
        <v>84</v>
      </c>
      <c r="C194" s="15">
        <v>6</v>
      </c>
      <c r="D194" s="15">
        <v>13</v>
      </c>
      <c r="E194" s="15">
        <v>48</v>
      </c>
      <c r="F194" s="15">
        <v>84</v>
      </c>
      <c r="G194" s="15">
        <v>126</v>
      </c>
      <c r="H194" s="15">
        <v>164</v>
      </c>
      <c r="I194" s="15">
        <v>165</v>
      </c>
    </row>
    <row r="195" spans="1:9" x14ac:dyDescent="0.35">
      <c r="A195" s="16" t="s">
        <v>336</v>
      </c>
      <c r="B195" s="17">
        <v>0.27076494315969452</v>
      </c>
      <c r="C195" s="17">
        <v>0.30083098888948928</v>
      </c>
      <c r="D195" s="17">
        <v>0.32182958925651522</v>
      </c>
      <c r="E195" s="17">
        <v>0.24812808339453171</v>
      </c>
      <c r="F195" s="17">
        <v>0.27076494315969452</v>
      </c>
      <c r="G195" s="17">
        <v>0.27839425818665642</v>
      </c>
      <c r="H195" s="152">
        <v>0.30711581345886918</v>
      </c>
      <c r="I195" s="17">
        <v>0.3149684184633767</v>
      </c>
    </row>
    <row r="196" spans="1:9" x14ac:dyDescent="0.35">
      <c r="A196" s="16" t="s">
        <v>194</v>
      </c>
      <c r="B196" s="17">
        <v>0.45774838430559789</v>
      </c>
      <c r="C196" s="17">
        <v>0.49081850313148673</v>
      </c>
      <c r="D196" s="17">
        <v>0.59665300125475385</v>
      </c>
      <c r="E196" s="17">
        <v>0.45301671129210852</v>
      </c>
      <c r="F196" s="17">
        <v>0.45774838430559789</v>
      </c>
      <c r="G196" s="17">
        <v>0.47620923093547102</v>
      </c>
      <c r="H196" s="17">
        <v>0.45273467183452593</v>
      </c>
      <c r="I196" s="17">
        <v>0.4382090109960482</v>
      </c>
    </row>
    <row r="197" spans="1:9" x14ac:dyDescent="0.35">
      <c r="A197" s="16" t="s">
        <v>195</v>
      </c>
      <c r="B197" s="17">
        <v>0.27148667253470771</v>
      </c>
      <c r="C197" s="17">
        <v>0.20835050797902399</v>
      </c>
      <c r="D197" s="17">
        <v>8.1517409488730833E-2</v>
      </c>
      <c r="E197" s="17">
        <v>0.29885520531336002</v>
      </c>
      <c r="F197" s="17">
        <v>0.27148667253470771</v>
      </c>
      <c r="G197" s="17">
        <v>0.2453965108778727</v>
      </c>
      <c r="H197" s="17">
        <v>0.24014951470660509</v>
      </c>
      <c r="I197" s="17">
        <v>0.2468225705405751</v>
      </c>
    </row>
    <row r="198" spans="1:9" x14ac:dyDescent="0.35">
      <c r="A198" s="14" t="s">
        <v>210</v>
      </c>
      <c r="B198" s="18">
        <v>0.14446675841068651</v>
      </c>
      <c r="C198" s="18">
        <v>0.13863177558563161</v>
      </c>
      <c r="D198" s="18">
        <v>0.16423580189425169</v>
      </c>
      <c r="E198" s="18">
        <v>0.14304804092602411</v>
      </c>
      <c r="F198" s="18">
        <v>0.14446675841068651</v>
      </c>
      <c r="G198" s="18">
        <v>0.12684214886625689</v>
      </c>
      <c r="H198" s="18">
        <v>0.14953294505405479</v>
      </c>
      <c r="I198" s="18">
        <v>0.14797241876379591</v>
      </c>
    </row>
    <row r="199" spans="1:9" x14ac:dyDescent="0.35">
      <c r="A199" s="14" t="s">
        <v>197</v>
      </c>
      <c r="B199" s="18">
        <v>0.12629818474900811</v>
      </c>
      <c r="C199" s="18">
        <v>0.16219921330385781</v>
      </c>
      <c r="D199" s="18">
        <v>0.15759378736226351</v>
      </c>
      <c r="E199" s="18">
        <v>0.1050800424685075</v>
      </c>
      <c r="F199" s="18">
        <v>0.12629818474900811</v>
      </c>
      <c r="G199" s="18">
        <v>0.1515521093203995</v>
      </c>
      <c r="H199" s="25">
        <v>0.15758286840481439</v>
      </c>
      <c r="I199" s="18">
        <v>0.16699599969958079</v>
      </c>
    </row>
    <row r="200" spans="1:9" x14ac:dyDescent="0.35">
      <c r="A200" s="14" t="s">
        <v>198</v>
      </c>
      <c r="B200" s="18">
        <v>0.2669563233831983</v>
      </c>
      <c r="C200" s="18">
        <v>0.1192114349760857</v>
      </c>
      <c r="D200" s="18">
        <v>0.28861306167047912</v>
      </c>
      <c r="E200" s="18">
        <v>0.27140172266225082</v>
      </c>
      <c r="F200" s="18">
        <v>0.2669563233831983</v>
      </c>
      <c r="G200" s="18">
        <v>0.2761954534659839</v>
      </c>
      <c r="H200" s="18">
        <v>0.2484985986203492</v>
      </c>
      <c r="I200" s="18">
        <v>0.2428374119962638</v>
      </c>
    </row>
    <row r="201" spans="1:9" x14ac:dyDescent="0.35">
      <c r="A201" s="14" t="s">
        <v>199</v>
      </c>
      <c r="B201" s="18">
        <v>0.19079206092239959</v>
      </c>
      <c r="C201" s="18">
        <v>0.37160706815540101</v>
      </c>
      <c r="D201" s="18">
        <v>0.30803993958427478</v>
      </c>
      <c r="E201" s="18">
        <v>0.1816149886298577</v>
      </c>
      <c r="F201" s="18">
        <v>0.19079206092239959</v>
      </c>
      <c r="G201" s="18">
        <v>0.20001377746948709</v>
      </c>
      <c r="H201" s="18">
        <v>0.20423607321417669</v>
      </c>
      <c r="I201" s="18">
        <v>0.19537159899978429</v>
      </c>
    </row>
    <row r="202" spans="1:9" x14ac:dyDescent="0.35">
      <c r="A202" s="14" t="s">
        <v>200</v>
      </c>
      <c r="B202" s="18">
        <v>0.1477975785727953</v>
      </c>
      <c r="C202" s="18">
        <v>0</v>
      </c>
      <c r="D202" s="18">
        <v>0</v>
      </c>
      <c r="E202" s="18">
        <v>0.12974481678797661</v>
      </c>
      <c r="F202" s="25">
        <v>0.1477975785727953</v>
      </c>
      <c r="G202" s="18">
        <v>0.12820138590065991</v>
      </c>
      <c r="H202" s="18">
        <v>0.13649538566366429</v>
      </c>
      <c r="I202" s="18">
        <v>0.14997971496960991</v>
      </c>
    </row>
    <row r="203" spans="1:9" x14ac:dyDescent="0.35">
      <c r="A203" s="14" t="s">
        <v>201</v>
      </c>
      <c r="B203" s="18">
        <v>8.719347412641773E-2</v>
      </c>
      <c r="C203" s="18">
        <v>0</v>
      </c>
      <c r="D203" s="18">
        <v>0</v>
      </c>
      <c r="E203" s="18">
        <v>0.1292545607361483</v>
      </c>
      <c r="F203" s="18">
        <v>8.719347412641773E-2</v>
      </c>
      <c r="G203" s="18">
        <v>8.1713638553282494E-2</v>
      </c>
      <c r="H203" s="18">
        <v>7.6389862360120422E-2</v>
      </c>
      <c r="I203" s="18">
        <v>7.567761198600946E-2</v>
      </c>
    </row>
    <row r="204" spans="1:9" x14ac:dyDescent="0.35">
      <c r="A204" s="14" t="s">
        <v>202</v>
      </c>
      <c r="B204" s="18">
        <v>2.610679906456672E-2</v>
      </c>
      <c r="C204" s="19">
        <v>0.20835050797902399</v>
      </c>
      <c r="D204" s="18">
        <v>8.1517409488730833E-2</v>
      </c>
      <c r="E204" s="18">
        <v>2.0994718190603098E-2</v>
      </c>
      <c r="F204" s="18">
        <v>2.610679906456672E-2</v>
      </c>
      <c r="G204" s="18">
        <v>1.7333711457382509E-2</v>
      </c>
      <c r="H204" s="18">
        <v>1.3319366785558329E-2</v>
      </c>
      <c r="I204" s="25">
        <v>7.3503643456959552E-3</v>
      </c>
    </row>
    <row r="205" spans="1:9" x14ac:dyDescent="0.35">
      <c r="A205" s="14" t="s">
        <v>211</v>
      </c>
      <c r="B205" s="18">
        <v>0</v>
      </c>
      <c r="C205" s="18">
        <v>0</v>
      </c>
      <c r="D205" s="18">
        <v>0</v>
      </c>
      <c r="E205" s="18">
        <v>0</v>
      </c>
      <c r="F205" s="18">
        <v>0</v>
      </c>
      <c r="G205" s="18">
        <v>0</v>
      </c>
      <c r="H205" s="18">
        <v>0</v>
      </c>
      <c r="I205" s="18">
        <v>0</v>
      </c>
    </row>
    <row r="206" spans="1:9" x14ac:dyDescent="0.35">
      <c r="A206" s="14" t="s">
        <v>212</v>
      </c>
      <c r="B206" s="18">
        <v>1.038882077092792E-2</v>
      </c>
      <c r="C206" s="18">
        <v>0</v>
      </c>
      <c r="D206" s="18">
        <v>0</v>
      </c>
      <c r="E206" s="18">
        <v>1.8861109598631909E-2</v>
      </c>
      <c r="F206" s="18">
        <v>1.038882077092792E-2</v>
      </c>
      <c r="G206" s="18">
        <v>1.8147774966547781E-2</v>
      </c>
      <c r="H206" s="18">
        <v>1.394489989726205E-2</v>
      </c>
      <c r="I206" s="18">
        <v>1.3814879239259789E-2</v>
      </c>
    </row>
    <row r="207" spans="1:9" x14ac:dyDescent="0.35">
      <c r="A207" s="14" t="s">
        <v>203</v>
      </c>
      <c r="B207" s="18">
        <v>0</v>
      </c>
      <c r="C207" s="18">
        <v>0</v>
      </c>
      <c r="D207" s="18">
        <v>0</v>
      </c>
      <c r="E207" s="18">
        <v>0</v>
      </c>
      <c r="F207" s="18">
        <v>0</v>
      </c>
      <c r="G207" s="18">
        <v>0</v>
      </c>
      <c r="H207" s="18">
        <v>0</v>
      </c>
      <c r="I207" s="18">
        <v>0</v>
      </c>
    </row>
    <row r="208" spans="1:9" x14ac:dyDescent="0.35">
      <c r="A208" s="14" t="s">
        <v>204</v>
      </c>
      <c r="B208" s="18">
        <v>0</v>
      </c>
      <c r="C208" s="18">
        <v>0</v>
      </c>
      <c r="D208" s="18">
        <v>0</v>
      </c>
      <c r="E208" s="18">
        <v>0</v>
      </c>
      <c r="F208" s="18">
        <v>0</v>
      </c>
      <c r="G208" s="18">
        <v>0</v>
      </c>
      <c r="H208" s="18">
        <v>0</v>
      </c>
      <c r="I208" s="18">
        <v>0</v>
      </c>
    </row>
    <row r="209" spans="1:9" x14ac:dyDescent="0.35">
      <c r="A209" s="14" t="s">
        <v>213</v>
      </c>
      <c r="B209" s="1">
        <v>-7.2172937501312109E-2</v>
      </c>
      <c r="C209" s="1">
        <v>9.248048091046531</v>
      </c>
      <c r="D209" s="1">
        <v>24.031217976778439</v>
      </c>
      <c r="E209" s="1">
        <v>-5.0727121918828351</v>
      </c>
      <c r="F209" s="1">
        <v>-7.2172937501308709E-2</v>
      </c>
      <c r="G209" s="1">
        <v>3.299774730878378</v>
      </c>
      <c r="H209" s="1">
        <v>6.6966298752264066</v>
      </c>
      <c r="I209" s="1">
        <v>6.8145847922801632</v>
      </c>
    </row>
    <row r="211" spans="1:9" x14ac:dyDescent="0.35">
      <c r="C211" s="187"/>
      <c r="D211" s="187"/>
      <c r="E211" s="187"/>
      <c r="F211" s="187"/>
      <c r="G211" s="170"/>
      <c r="H211" s="170"/>
      <c r="I211" s="170"/>
    </row>
    <row r="212" spans="1:9" ht="29" x14ac:dyDescent="0.35">
      <c r="A212" s="12" t="s">
        <v>565</v>
      </c>
      <c r="B212" s="13" t="s">
        <v>208</v>
      </c>
      <c r="C212" s="13" t="s">
        <v>458</v>
      </c>
      <c r="D212" s="13" t="s">
        <v>466</v>
      </c>
      <c r="E212" s="13" t="s">
        <v>467</v>
      </c>
      <c r="F212" s="13" t="s">
        <v>468</v>
      </c>
      <c r="G212" s="13" t="s">
        <v>634</v>
      </c>
      <c r="H212" s="13" t="s">
        <v>641</v>
      </c>
      <c r="I212" s="13" t="s">
        <v>647</v>
      </c>
    </row>
    <row r="213" spans="1:9" x14ac:dyDescent="0.35">
      <c r="A213" s="14" t="s">
        <v>209</v>
      </c>
      <c r="B213" s="15">
        <v>0</v>
      </c>
      <c r="C213" s="15">
        <v>0</v>
      </c>
      <c r="D213" s="15">
        <v>0</v>
      </c>
      <c r="E213" s="15">
        <v>0</v>
      </c>
      <c r="F213" s="15">
        <v>0</v>
      </c>
      <c r="G213" s="15">
        <v>0</v>
      </c>
      <c r="H213" s="15">
        <v>0</v>
      </c>
      <c r="I213" s="15">
        <v>0</v>
      </c>
    </row>
    <row r="214" spans="1:9" x14ac:dyDescent="0.35">
      <c r="A214" s="16" t="s">
        <v>336</v>
      </c>
      <c r="B214" s="17" t="s">
        <v>214</v>
      </c>
      <c r="C214" s="168" t="s">
        <v>214</v>
      </c>
      <c r="D214" s="168" t="s">
        <v>214</v>
      </c>
      <c r="E214" s="168" t="s">
        <v>214</v>
      </c>
      <c r="F214" s="168" t="s">
        <v>214</v>
      </c>
      <c r="G214" s="168" t="s">
        <v>214</v>
      </c>
      <c r="H214" s="168" t="s">
        <v>214</v>
      </c>
      <c r="I214" s="168" t="s">
        <v>214</v>
      </c>
    </row>
    <row r="215" spans="1:9" x14ac:dyDescent="0.35">
      <c r="A215" s="16" t="s">
        <v>194</v>
      </c>
      <c r="B215" s="17" t="s">
        <v>214</v>
      </c>
      <c r="C215" s="168" t="s">
        <v>214</v>
      </c>
      <c r="D215" s="168" t="s">
        <v>214</v>
      </c>
      <c r="E215" s="168" t="s">
        <v>214</v>
      </c>
      <c r="F215" s="168" t="s">
        <v>214</v>
      </c>
      <c r="G215" s="168" t="s">
        <v>214</v>
      </c>
      <c r="H215" s="168" t="s">
        <v>214</v>
      </c>
      <c r="I215" s="168" t="s">
        <v>214</v>
      </c>
    </row>
    <row r="216" spans="1:9" x14ac:dyDescent="0.35">
      <c r="A216" s="16" t="s">
        <v>195</v>
      </c>
      <c r="B216" s="17" t="s">
        <v>214</v>
      </c>
      <c r="C216" s="168" t="s">
        <v>214</v>
      </c>
      <c r="D216" s="168" t="s">
        <v>214</v>
      </c>
      <c r="E216" s="168" t="s">
        <v>214</v>
      </c>
      <c r="F216" s="168" t="s">
        <v>214</v>
      </c>
      <c r="G216" s="168" t="s">
        <v>214</v>
      </c>
      <c r="H216" s="168" t="s">
        <v>214</v>
      </c>
      <c r="I216" s="168" t="s">
        <v>214</v>
      </c>
    </row>
    <row r="217" spans="1:9" x14ac:dyDescent="0.35">
      <c r="A217" s="14" t="s">
        <v>210</v>
      </c>
      <c r="B217" s="18" t="s">
        <v>214</v>
      </c>
      <c r="C217" s="18" t="s">
        <v>214</v>
      </c>
      <c r="D217" s="18" t="s">
        <v>214</v>
      </c>
      <c r="E217" s="18" t="s">
        <v>214</v>
      </c>
      <c r="F217" s="18" t="s">
        <v>214</v>
      </c>
      <c r="G217" s="18" t="s">
        <v>214</v>
      </c>
      <c r="H217" s="18" t="s">
        <v>214</v>
      </c>
      <c r="I217" s="18" t="s">
        <v>214</v>
      </c>
    </row>
    <row r="218" spans="1:9" x14ac:dyDescent="0.35">
      <c r="A218" s="14" t="s">
        <v>197</v>
      </c>
      <c r="B218" s="18" t="s">
        <v>214</v>
      </c>
      <c r="C218" s="18" t="s">
        <v>214</v>
      </c>
      <c r="D218" s="18" t="s">
        <v>214</v>
      </c>
      <c r="E218" s="18" t="s">
        <v>214</v>
      </c>
      <c r="F218" s="18" t="s">
        <v>214</v>
      </c>
      <c r="G218" s="18" t="s">
        <v>214</v>
      </c>
      <c r="H218" s="18" t="s">
        <v>214</v>
      </c>
      <c r="I218" s="18" t="s">
        <v>214</v>
      </c>
    </row>
    <row r="219" spans="1:9" x14ac:dyDescent="0.35">
      <c r="A219" s="14" t="s">
        <v>198</v>
      </c>
      <c r="B219" s="18" t="s">
        <v>214</v>
      </c>
      <c r="C219" s="18" t="s">
        <v>214</v>
      </c>
      <c r="D219" s="18" t="s">
        <v>214</v>
      </c>
      <c r="E219" s="18" t="s">
        <v>214</v>
      </c>
      <c r="F219" s="18" t="s">
        <v>214</v>
      </c>
      <c r="G219" s="18" t="s">
        <v>214</v>
      </c>
      <c r="H219" s="18" t="s">
        <v>214</v>
      </c>
      <c r="I219" s="18" t="s">
        <v>214</v>
      </c>
    </row>
    <row r="220" spans="1:9" x14ac:dyDescent="0.35">
      <c r="A220" s="14" t="s">
        <v>199</v>
      </c>
      <c r="B220" s="18" t="s">
        <v>214</v>
      </c>
      <c r="C220" s="18" t="s">
        <v>214</v>
      </c>
      <c r="D220" s="18" t="s">
        <v>214</v>
      </c>
      <c r="E220" s="18" t="s">
        <v>214</v>
      </c>
      <c r="F220" s="18" t="s">
        <v>214</v>
      </c>
      <c r="G220" s="18" t="s">
        <v>214</v>
      </c>
      <c r="H220" s="18" t="s">
        <v>214</v>
      </c>
      <c r="I220" s="18" t="s">
        <v>214</v>
      </c>
    </row>
    <row r="221" spans="1:9" x14ac:dyDescent="0.35">
      <c r="A221" s="14" t="s">
        <v>200</v>
      </c>
      <c r="B221" s="18" t="s">
        <v>214</v>
      </c>
      <c r="C221" s="18" t="s">
        <v>214</v>
      </c>
      <c r="D221" s="18" t="s">
        <v>214</v>
      </c>
      <c r="E221" s="18" t="s">
        <v>214</v>
      </c>
      <c r="F221" s="18" t="s">
        <v>214</v>
      </c>
      <c r="G221" s="18" t="s">
        <v>214</v>
      </c>
      <c r="H221" s="18" t="s">
        <v>214</v>
      </c>
      <c r="I221" s="18" t="s">
        <v>214</v>
      </c>
    </row>
    <row r="222" spans="1:9" x14ac:dyDescent="0.35">
      <c r="A222" s="14" t="s">
        <v>201</v>
      </c>
      <c r="B222" s="18" t="s">
        <v>214</v>
      </c>
      <c r="C222" s="18" t="s">
        <v>214</v>
      </c>
      <c r="D222" s="18" t="s">
        <v>214</v>
      </c>
      <c r="E222" s="18" t="s">
        <v>214</v>
      </c>
      <c r="F222" s="18" t="s">
        <v>214</v>
      </c>
      <c r="G222" s="18" t="s">
        <v>214</v>
      </c>
      <c r="H222" s="18" t="s">
        <v>214</v>
      </c>
      <c r="I222" s="18" t="s">
        <v>214</v>
      </c>
    </row>
    <row r="223" spans="1:9" x14ac:dyDescent="0.35">
      <c r="A223" s="14" t="s">
        <v>202</v>
      </c>
      <c r="B223" s="18" t="s">
        <v>214</v>
      </c>
      <c r="C223" s="18" t="s">
        <v>214</v>
      </c>
      <c r="D223" s="18" t="s">
        <v>214</v>
      </c>
      <c r="E223" s="18" t="s">
        <v>214</v>
      </c>
      <c r="F223" s="18" t="s">
        <v>214</v>
      </c>
      <c r="G223" s="18" t="s">
        <v>214</v>
      </c>
      <c r="H223" s="18" t="s">
        <v>214</v>
      </c>
      <c r="I223" s="18" t="s">
        <v>214</v>
      </c>
    </row>
    <row r="224" spans="1:9" x14ac:dyDescent="0.35">
      <c r="A224" s="14" t="s">
        <v>211</v>
      </c>
      <c r="B224" s="18" t="s">
        <v>214</v>
      </c>
      <c r="C224" s="18" t="s">
        <v>214</v>
      </c>
      <c r="D224" s="18" t="s">
        <v>214</v>
      </c>
      <c r="E224" s="18" t="s">
        <v>214</v>
      </c>
      <c r="F224" s="18" t="s">
        <v>214</v>
      </c>
      <c r="G224" s="18" t="s">
        <v>214</v>
      </c>
      <c r="H224" s="18" t="s">
        <v>214</v>
      </c>
      <c r="I224" s="18" t="s">
        <v>214</v>
      </c>
    </row>
    <row r="225" spans="1:9" x14ac:dyDescent="0.35">
      <c r="A225" s="14" t="s">
        <v>212</v>
      </c>
      <c r="B225" s="18" t="s">
        <v>214</v>
      </c>
      <c r="C225" s="18" t="s">
        <v>214</v>
      </c>
      <c r="D225" s="18" t="s">
        <v>214</v>
      </c>
      <c r="E225" s="18" t="s">
        <v>214</v>
      </c>
      <c r="F225" s="18" t="s">
        <v>214</v>
      </c>
      <c r="G225" s="18" t="s">
        <v>214</v>
      </c>
      <c r="H225" s="18" t="s">
        <v>214</v>
      </c>
      <c r="I225" s="18" t="s">
        <v>214</v>
      </c>
    </row>
    <row r="226" spans="1:9" x14ac:dyDescent="0.35">
      <c r="A226" s="14" t="s">
        <v>203</v>
      </c>
      <c r="B226" s="18" t="s">
        <v>214</v>
      </c>
      <c r="C226" s="18" t="s">
        <v>214</v>
      </c>
      <c r="D226" s="18" t="s">
        <v>214</v>
      </c>
      <c r="E226" s="18" t="s">
        <v>214</v>
      </c>
      <c r="F226" s="18" t="s">
        <v>214</v>
      </c>
      <c r="G226" s="18" t="s">
        <v>214</v>
      </c>
      <c r="H226" s="18" t="s">
        <v>214</v>
      </c>
      <c r="I226" s="18" t="s">
        <v>214</v>
      </c>
    </row>
    <row r="227" spans="1:9" x14ac:dyDescent="0.35">
      <c r="A227" s="14" t="s">
        <v>204</v>
      </c>
      <c r="B227" s="18" t="s">
        <v>214</v>
      </c>
      <c r="C227" s="18" t="s">
        <v>214</v>
      </c>
      <c r="D227" s="18" t="s">
        <v>214</v>
      </c>
      <c r="E227" s="18" t="s">
        <v>214</v>
      </c>
      <c r="F227" s="18" t="s">
        <v>214</v>
      </c>
      <c r="G227" s="18" t="s">
        <v>214</v>
      </c>
      <c r="H227" s="18" t="s">
        <v>214</v>
      </c>
      <c r="I227" s="18" t="s">
        <v>214</v>
      </c>
    </row>
    <row r="229" spans="1:9" x14ac:dyDescent="0.35">
      <c r="C229" s="187"/>
      <c r="D229" s="187"/>
      <c r="E229" s="187"/>
      <c r="F229" s="187"/>
      <c r="G229" s="170"/>
      <c r="H229" s="170"/>
      <c r="I229" s="170"/>
    </row>
    <row r="230" spans="1:9" ht="29" x14ac:dyDescent="0.35">
      <c r="A230" s="12" t="s">
        <v>523</v>
      </c>
      <c r="B230" s="13" t="s">
        <v>208</v>
      </c>
      <c r="C230" s="13" t="s">
        <v>458</v>
      </c>
      <c r="D230" s="13" t="s">
        <v>466</v>
      </c>
      <c r="E230" s="13" t="s">
        <v>467</v>
      </c>
      <c r="F230" s="13" t="s">
        <v>468</v>
      </c>
      <c r="G230" s="13" t="s">
        <v>634</v>
      </c>
      <c r="H230" s="13" t="s">
        <v>641</v>
      </c>
      <c r="I230" s="13" t="s">
        <v>647</v>
      </c>
    </row>
    <row r="231" spans="1:9" x14ac:dyDescent="0.35">
      <c r="A231" s="14" t="s">
        <v>209</v>
      </c>
      <c r="B231" s="15">
        <v>139</v>
      </c>
      <c r="C231" s="15">
        <v>31</v>
      </c>
      <c r="D231" s="15">
        <v>73</v>
      </c>
      <c r="E231" s="15">
        <v>114</v>
      </c>
      <c r="F231" s="15">
        <v>139</v>
      </c>
      <c r="G231" s="15">
        <v>180</v>
      </c>
      <c r="H231" s="15">
        <v>225</v>
      </c>
      <c r="I231" s="15">
        <v>232</v>
      </c>
    </row>
    <row r="232" spans="1:9" x14ac:dyDescent="0.35">
      <c r="A232" s="16" t="s">
        <v>336</v>
      </c>
      <c r="B232" s="17">
        <v>0.28244120837512388</v>
      </c>
      <c r="C232" s="17">
        <v>0.27426762754532791</v>
      </c>
      <c r="D232" s="153">
        <v>0.34387040517985701</v>
      </c>
      <c r="E232" s="17">
        <v>0.29184826785949991</v>
      </c>
      <c r="F232" s="17">
        <v>0.28244120837512388</v>
      </c>
      <c r="G232" s="17">
        <v>0.31656161569723712</v>
      </c>
      <c r="H232" s="17">
        <v>0.31185482967231748</v>
      </c>
      <c r="I232" s="17">
        <v>0.3302295385898612</v>
      </c>
    </row>
    <row r="233" spans="1:9" x14ac:dyDescent="0.35">
      <c r="A233" s="16" t="s">
        <v>194</v>
      </c>
      <c r="B233" s="17">
        <v>0.56413360603880913</v>
      </c>
      <c r="C233" s="17">
        <v>0.64491081494083224</v>
      </c>
      <c r="D233" s="17">
        <v>0.51615875986388138</v>
      </c>
      <c r="E233" s="17">
        <v>0.56272018157975912</v>
      </c>
      <c r="F233" s="17">
        <v>0.56413360603880902</v>
      </c>
      <c r="G233" s="17">
        <v>0.53272896325214891</v>
      </c>
      <c r="H233" s="17">
        <v>0.53985056932946707</v>
      </c>
      <c r="I233" s="17">
        <v>0.51993356127458479</v>
      </c>
    </row>
    <row r="234" spans="1:9" x14ac:dyDescent="0.35">
      <c r="A234" s="16" t="s">
        <v>195</v>
      </c>
      <c r="B234" s="17">
        <v>0.1534251855860671</v>
      </c>
      <c r="C234" s="17">
        <v>8.0821557513839751E-2</v>
      </c>
      <c r="D234" s="17">
        <v>0.13997083495626161</v>
      </c>
      <c r="E234" s="17">
        <v>0.145431550560741</v>
      </c>
      <c r="F234" s="17">
        <v>0.1534251855860671</v>
      </c>
      <c r="G234" s="17">
        <v>0.15070942105061419</v>
      </c>
      <c r="H234" s="17">
        <v>0.14829460099821559</v>
      </c>
      <c r="I234" s="17">
        <v>0.14983690013555409</v>
      </c>
    </row>
    <row r="235" spans="1:9" x14ac:dyDescent="0.35">
      <c r="A235" s="14" t="s">
        <v>210</v>
      </c>
      <c r="B235" s="18">
        <v>8.904857266855902E-2</v>
      </c>
      <c r="C235" s="18">
        <v>6.9175158350075025E-2</v>
      </c>
      <c r="D235" s="18">
        <v>9.7562881079638369E-2</v>
      </c>
      <c r="E235" s="18">
        <v>8.2014076657082602E-2</v>
      </c>
      <c r="F235" s="18">
        <v>8.904857266855902E-2</v>
      </c>
      <c r="G235" s="18">
        <v>0.1057740775330014</v>
      </c>
      <c r="H235" s="18">
        <v>0.1004496558102683</v>
      </c>
      <c r="I235" s="18">
        <v>0.13028064680639481</v>
      </c>
    </row>
    <row r="236" spans="1:9" x14ac:dyDescent="0.35">
      <c r="A236" s="14" t="s">
        <v>197</v>
      </c>
      <c r="B236" s="18">
        <v>0.19339263570656481</v>
      </c>
      <c r="C236" s="18">
        <v>0.20509246919525281</v>
      </c>
      <c r="D236" s="20">
        <v>0.24630752410021861</v>
      </c>
      <c r="E236" s="18">
        <v>0.20983419120241731</v>
      </c>
      <c r="F236" s="18">
        <v>0.19339263570656481</v>
      </c>
      <c r="G236" s="18">
        <v>0.21078753816423559</v>
      </c>
      <c r="H236" s="18">
        <v>0.21140517386204921</v>
      </c>
      <c r="I236" s="18">
        <v>0.19994889178346639</v>
      </c>
    </row>
    <row r="237" spans="1:9" x14ac:dyDescent="0.35">
      <c r="A237" s="14" t="s">
        <v>198</v>
      </c>
      <c r="B237" s="18">
        <v>0.39242699861987362</v>
      </c>
      <c r="C237" s="18">
        <v>0.44594526634465359</v>
      </c>
      <c r="D237" s="18">
        <v>0.34885613669207682</v>
      </c>
      <c r="E237" s="18">
        <v>0.37534010312480509</v>
      </c>
      <c r="F237" s="18">
        <v>0.39242699861987362</v>
      </c>
      <c r="G237" s="18">
        <v>0.37917643274031421</v>
      </c>
      <c r="H237" s="18">
        <v>0.37040673001603741</v>
      </c>
      <c r="I237" s="18">
        <v>0.32594345978088751</v>
      </c>
    </row>
    <row r="238" spans="1:9" x14ac:dyDescent="0.35">
      <c r="A238" s="14" t="s">
        <v>199</v>
      </c>
      <c r="B238" s="18">
        <v>0.1717066074189354</v>
      </c>
      <c r="C238" s="18">
        <v>0.1989655485961786</v>
      </c>
      <c r="D238" s="18">
        <v>0.16730262317180469</v>
      </c>
      <c r="E238" s="18">
        <v>0.187380078454954</v>
      </c>
      <c r="F238" s="18">
        <v>0.1717066074189354</v>
      </c>
      <c r="G238" s="18">
        <v>0.15355253051183471</v>
      </c>
      <c r="H238" s="18">
        <v>0.16944383931342971</v>
      </c>
      <c r="I238" s="18">
        <v>0.19399010149369719</v>
      </c>
    </row>
    <row r="239" spans="1:9" x14ac:dyDescent="0.35">
      <c r="A239" s="14" t="s">
        <v>200</v>
      </c>
      <c r="B239" s="18">
        <v>4.67809801525449E-2</v>
      </c>
      <c r="C239" s="18">
        <v>0</v>
      </c>
      <c r="D239" s="18">
        <v>4.6016403004669922E-2</v>
      </c>
      <c r="E239" s="18">
        <v>4.3155980212338782E-2</v>
      </c>
      <c r="F239" s="18">
        <v>4.67809801525449E-2</v>
      </c>
      <c r="G239" s="18">
        <v>6.0330974492043263E-2</v>
      </c>
      <c r="H239" s="18">
        <v>5.7101700941626227E-2</v>
      </c>
      <c r="I239" s="18">
        <v>6.6511648837231832E-2</v>
      </c>
    </row>
    <row r="240" spans="1:9" x14ac:dyDescent="0.35">
      <c r="A240" s="14" t="s">
        <v>201</v>
      </c>
      <c r="B240" s="18">
        <v>4.2867031934136962E-2</v>
      </c>
      <c r="C240" s="18">
        <v>0</v>
      </c>
      <c r="D240" s="21">
        <v>1.0800268480750771E-2</v>
      </c>
      <c r="E240" s="18">
        <v>3.7820474040899811E-2</v>
      </c>
      <c r="F240" s="18">
        <v>4.2867031934136962E-2</v>
      </c>
      <c r="G240" s="18">
        <v>4.0967003790460199E-2</v>
      </c>
      <c r="H240" s="18">
        <v>4.4011714840756763E-2</v>
      </c>
      <c r="I240" s="18">
        <v>4.2544408796926267E-2</v>
      </c>
    </row>
    <row r="241" spans="1:9" x14ac:dyDescent="0.35">
      <c r="A241" s="14" t="s">
        <v>202</v>
      </c>
      <c r="B241" s="18">
        <v>7.1411529685627244E-3</v>
      </c>
      <c r="C241" s="20">
        <v>3.347883118518357E-2</v>
      </c>
      <c r="D241" s="18">
        <v>1.370748415019366E-2</v>
      </c>
      <c r="E241" s="18">
        <v>8.5946139506507986E-3</v>
      </c>
      <c r="F241" s="18">
        <v>7.1411529685627244E-3</v>
      </c>
      <c r="G241" s="18">
        <v>5.5326169512335379E-3</v>
      </c>
      <c r="H241" s="18">
        <v>4.3914374426158656E-3</v>
      </c>
      <c r="I241" s="24">
        <v>0</v>
      </c>
    </row>
    <row r="242" spans="1:9" x14ac:dyDescent="0.35">
      <c r="A242" s="14" t="s">
        <v>211</v>
      </c>
      <c r="B242" s="18">
        <v>2.0138600079971491E-2</v>
      </c>
      <c r="C242" s="18">
        <v>2.0209046804799079E-2</v>
      </c>
      <c r="D242" s="18">
        <v>1.9011381186222091E-2</v>
      </c>
      <c r="E242" s="18">
        <v>2.4237471729825748E-2</v>
      </c>
      <c r="F242" s="18">
        <v>2.0138600079971491E-2</v>
      </c>
      <c r="G242" s="18">
        <v>1.560240491515312E-2</v>
      </c>
      <c r="H242" s="18">
        <v>1.2384191015425511E-2</v>
      </c>
      <c r="I242" s="18">
        <v>9.4088584486773843E-3</v>
      </c>
    </row>
    <row r="243" spans="1:9" x14ac:dyDescent="0.35">
      <c r="A243" s="14" t="s">
        <v>212</v>
      </c>
      <c r="B243" s="18">
        <v>5.7877097025291306E-3</v>
      </c>
      <c r="C243" s="20">
        <v>2.7133679523857111E-2</v>
      </c>
      <c r="D243" s="18">
        <v>1.110954202529954E-2</v>
      </c>
      <c r="E243" s="18">
        <v>6.9657001846419606E-3</v>
      </c>
      <c r="F243" s="18">
        <v>5.7877097025291306E-3</v>
      </c>
      <c r="G243" s="25">
        <v>4.4840351341019213E-3</v>
      </c>
      <c r="H243" s="18">
        <v>8.036579422245187E-3</v>
      </c>
      <c r="I243" s="18">
        <v>4.3281658623181528E-3</v>
      </c>
    </row>
    <row r="244" spans="1:9" x14ac:dyDescent="0.35">
      <c r="A244" s="14" t="s">
        <v>203</v>
      </c>
      <c r="B244" s="18">
        <v>1.497299490896345E-2</v>
      </c>
      <c r="C244" s="18">
        <v>0</v>
      </c>
      <c r="D244" s="18">
        <v>9.119039645590259E-3</v>
      </c>
      <c r="E244" s="21">
        <v>5.7176520866829127E-3</v>
      </c>
      <c r="F244" s="18">
        <v>1.497299490896345E-2</v>
      </c>
      <c r="G244" s="18">
        <v>1.160034602377906E-2</v>
      </c>
      <c r="H244" s="18">
        <v>1.269171604944958E-2</v>
      </c>
      <c r="I244" s="18">
        <v>1.226858707723575E-2</v>
      </c>
    </row>
    <row r="245" spans="1:9" x14ac:dyDescent="0.35">
      <c r="A245" s="14" t="s">
        <v>204</v>
      </c>
      <c r="B245" s="18">
        <v>1.573671583935848E-2</v>
      </c>
      <c r="C245" s="18">
        <v>0</v>
      </c>
      <c r="D245" s="18">
        <v>3.020671646353534E-2</v>
      </c>
      <c r="E245" s="18">
        <v>1.893965835570097E-2</v>
      </c>
      <c r="F245" s="18">
        <v>1.573671583935848E-2</v>
      </c>
      <c r="G245" s="18">
        <v>1.2192039743843121E-2</v>
      </c>
      <c r="H245" s="18">
        <v>9.6772612860964759E-3</v>
      </c>
      <c r="I245" s="18">
        <v>1.4775231113164731E-2</v>
      </c>
    </row>
    <row r="246" spans="1:9" x14ac:dyDescent="0.35">
      <c r="A246" s="14" t="s">
        <v>213</v>
      </c>
      <c r="B246" s="1">
        <v>12.901602278905671</v>
      </c>
      <c r="C246" s="1">
        <v>19.34460700314882</v>
      </c>
      <c r="D246" s="1">
        <v>20.389957022359539</v>
      </c>
      <c r="E246" s="1">
        <v>14.64167172987589</v>
      </c>
      <c r="F246" s="1">
        <v>12.901602278905679</v>
      </c>
      <c r="G246" s="1">
        <v>16.585219464662281</v>
      </c>
      <c r="H246" s="1">
        <v>16.356022867410189</v>
      </c>
      <c r="I246" s="1">
        <v>18.03926384543071</v>
      </c>
    </row>
    <row r="248" spans="1:9" x14ac:dyDescent="0.35">
      <c r="C248" s="187"/>
      <c r="D248" s="187"/>
      <c r="E248" s="187"/>
      <c r="F248" s="187"/>
      <c r="G248" s="170"/>
      <c r="H248" s="170"/>
      <c r="I248" s="170"/>
    </row>
    <row r="249" spans="1:9" ht="29" x14ac:dyDescent="0.35">
      <c r="A249" s="12" t="s">
        <v>488</v>
      </c>
      <c r="B249" s="13" t="s">
        <v>208</v>
      </c>
      <c r="C249" s="13" t="s">
        <v>458</v>
      </c>
      <c r="D249" s="13" t="s">
        <v>466</v>
      </c>
      <c r="E249" s="13" t="s">
        <v>467</v>
      </c>
      <c r="F249" s="13" t="s">
        <v>468</v>
      </c>
      <c r="G249" s="13" t="s">
        <v>634</v>
      </c>
      <c r="H249" s="13" t="s">
        <v>641</v>
      </c>
      <c r="I249" s="13" t="s">
        <v>647</v>
      </c>
    </row>
    <row r="250" spans="1:9" x14ac:dyDescent="0.35">
      <c r="A250" s="14" t="s">
        <v>209</v>
      </c>
      <c r="B250" s="15">
        <v>0</v>
      </c>
      <c r="C250" s="15">
        <v>0</v>
      </c>
      <c r="D250" s="15">
        <v>0</v>
      </c>
      <c r="E250" s="15">
        <v>0</v>
      </c>
      <c r="F250" s="15">
        <v>0</v>
      </c>
      <c r="G250" s="15">
        <v>0</v>
      </c>
      <c r="H250" s="15">
        <v>0</v>
      </c>
      <c r="I250" s="15">
        <v>0</v>
      </c>
    </row>
    <row r="251" spans="1:9" x14ac:dyDescent="0.35">
      <c r="A251" s="16" t="s">
        <v>336</v>
      </c>
      <c r="B251" s="17" t="s">
        <v>214</v>
      </c>
      <c r="C251" s="168" t="s">
        <v>214</v>
      </c>
      <c r="D251" s="168" t="s">
        <v>214</v>
      </c>
      <c r="E251" s="168" t="s">
        <v>214</v>
      </c>
      <c r="F251" s="168" t="s">
        <v>214</v>
      </c>
      <c r="G251" s="168" t="s">
        <v>214</v>
      </c>
      <c r="H251" s="168" t="s">
        <v>214</v>
      </c>
      <c r="I251" s="168" t="s">
        <v>214</v>
      </c>
    </row>
    <row r="252" spans="1:9" x14ac:dyDescent="0.35">
      <c r="A252" s="16" t="s">
        <v>194</v>
      </c>
      <c r="B252" s="17" t="s">
        <v>214</v>
      </c>
      <c r="C252" s="168" t="s">
        <v>214</v>
      </c>
      <c r="D252" s="168" t="s">
        <v>214</v>
      </c>
      <c r="E252" s="168" t="s">
        <v>214</v>
      </c>
      <c r="F252" s="168" t="s">
        <v>214</v>
      </c>
      <c r="G252" s="168" t="s">
        <v>214</v>
      </c>
      <c r="H252" s="168" t="s">
        <v>214</v>
      </c>
      <c r="I252" s="168" t="s">
        <v>214</v>
      </c>
    </row>
    <row r="253" spans="1:9" x14ac:dyDescent="0.35">
      <c r="A253" s="16" t="s">
        <v>195</v>
      </c>
      <c r="B253" s="17" t="s">
        <v>214</v>
      </c>
      <c r="C253" s="168" t="s">
        <v>214</v>
      </c>
      <c r="D253" s="168" t="s">
        <v>214</v>
      </c>
      <c r="E253" s="168" t="s">
        <v>214</v>
      </c>
      <c r="F253" s="168" t="s">
        <v>214</v>
      </c>
      <c r="G253" s="168" t="s">
        <v>214</v>
      </c>
      <c r="H253" s="168" t="s">
        <v>214</v>
      </c>
      <c r="I253" s="168" t="s">
        <v>214</v>
      </c>
    </row>
    <row r="254" spans="1:9" x14ac:dyDescent="0.35">
      <c r="A254" s="14" t="s">
        <v>210</v>
      </c>
      <c r="B254" s="18" t="s">
        <v>214</v>
      </c>
      <c r="C254" s="18" t="s">
        <v>214</v>
      </c>
      <c r="D254" s="18" t="s">
        <v>214</v>
      </c>
      <c r="E254" s="18" t="s">
        <v>214</v>
      </c>
      <c r="F254" s="18" t="s">
        <v>214</v>
      </c>
      <c r="G254" s="18" t="s">
        <v>214</v>
      </c>
      <c r="H254" s="18" t="s">
        <v>214</v>
      </c>
      <c r="I254" s="18" t="s">
        <v>214</v>
      </c>
    </row>
    <row r="255" spans="1:9" x14ac:dyDescent="0.35">
      <c r="A255" s="14" t="s">
        <v>197</v>
      </c>
      <c r="B255" s="18" t="s">
        <v>214</v>
      </c>
      <c r="C255" s="18" t="s">
        <v>214</v>
      </c>
      <c r="D255" s="18" t="s">
        <v>214</v>
      </c>
      <c r="E255" s="18" t="s">
        <v>214</v>
      </c>
      <c r="F255" s="18" t="s">
        <v>214</v>
      </c>
      <c r="G255" s="18" t="s">
        <v>214</v>
      </c>
      <c r="H255" s="18" t="s">
        <v>214</v>
      </c>
      <c r="I255" s="18" t="s">
        <v>214</v>
      </c>
    </row>
    <row r="256" spans="1:9" x14ac:dyDescent="0.35">
      <c r="A256" s="14" t="s">
        <v>198</v>
      </c>
      <c r="B256" s="18" t="s">
        <v>214</v>
      </c>
      <c r="C256" s="18" t="s">
        <v>214</v>
      </c>
      <c r="D256" s="18" t="s">
        <v>214</v>
      </c>
      <c r="E256" s="18" t="s">
        <v>214</v>
      </c>
      <c r="F256" s="18" t="s">
        <v>214</v>
      </c>
      <c r="G256" s="18" t="s">
        <v>214</v>
      </c>
      <c r="H256" s="18" t="s">
        <v>214</v>
      </c>
      <c r="I256" s="18" t="s">
        <v>214</v>
      </c>
    </row>
    <row r="257" spans="1:9" x14ac:dyDescent="0.35">
      <c r="A257" s="14" t="s">
        <v>199</v>
      </c>
      <c r="B257" s="18" t="s">
        <v>214</v>
      </c>
      <c r="C257" s="18" t="s">
        <v>214</v>
      </c>
      <c r="D257" s="18" t="s">
        <v>214</v>
      </c>
      <c r="E257" s="18" t="s">
        <v>214</v>
      </c>
      <c r="F257" s="18" t="s">
        <v>214</v>
      </c>
      <c r="G257" s="18" t="s">
        <v>214</v>
      </c>
      <c r="H257" s="18" t="s">
        <v>214</v>
      </c>
      <c r="I257" s="18" t="s">
        <v>214</v>
      </c>
    </row>
    <row r="258" spans="1:9" x14ac:dyDescent="0.35">
      <c r="A258" s="14" t="s">
        <v>200</v>
      </c>
      <c r="B258" s="18" t="s">
        <v>214</v>
      </c>
      <c r="C258" s="18" t="s">
        <v>214</v>
      </c>
      <c r="D258" s="18" t="s">
        <v>214</v>
      </c>
      <c r="E258" s="18" t="s">
        <v>214</v>
      </c>
      <c r="F258" s="18" t="s">
        <v>214</v>
      </c>
      <c r="G258" s="18" t="s">
        <v>214</v>
      </c>
      <c r="H258" s="18" t="s">
        <v>214</v>
      </c>
      <c r="I258" s="18" t="s">
        <v>214</v>
      </c>
    </row>
    <row r="259" spans="1:9" x14ac:dyDescent="0.35">
      <c r="A259" s="14" t="s">
        <v>201</v>
      </c>
      <c r="B259" s="18" t="s">
        <v>214</v>
      </c>
      <c r="C259" s="18" t="s">
        <v>214</v>
      </c>
      <c r="D259" s="18" t="s">
        <v>214</v>
      </c>
      <c r="E259" s="18" t="s">
        <v>214</v>
      </c>
      <c r="F259" s="18" t="s">
        <v>214</v>
      </c>
      <c r="G259" s="18" t="s">
        <v>214</v>
      </c>
      <c r="H259" s="18" t="s">
        <v>214</v>
      </c>
      <c r="I259" s="18" t="s">
        <v>214</v>
      </c>
    </row>
    <row r="260" spans="1:9" x14ac:dyDescent="0.35">
      <c r="A260" s="14" t="s">
        <v>202</v>
      </c>
      <c r="B260" s="18" t="s">
        <v>214</v>
      </c>
      <c r="C260" s="18" t="s">
        <v>214</v>
      </c>
      <c r="D260" s="18" t="s">
        <v>214</v>
      </c>
      <c r="E260" s="18" t="s">
        <v>214</v>
      </c>
      <c r="F260" s="18" t="s">
        <v>214</v>
      </c>
      <c r="G260" s="18" t="s">
        <v>214</v>
      </c>
      <c r="H260" s="18" t="s">
        <v>214</v>
      </c>
      <c r="I260" s="18" t="s">
        <v>214</v>
      </c>
    </row>
    <row r="261" spans="1:9" x14ac:dyDescent="0.35">
      <c r="A261" s="14" t="s">
        <v>211</v>
      </c>
      <c r="B261" s="18" t="s">
        <v>214</v>
      </c>
      <c r="C261" s="18" t="s">
        <v>214</v>
      </c>
      <c r="D261" s="18" t="s">
        <v>214</v>
      </c>
      <c r="E261" s="18" t="s">
        <v>214</v>
      </c>
      <c r="F261" s="18" t="s">
        <v>214</v>
      </c>
      <c r="G261" s="18" t="s">
        <v>214</v>
      </c>
      <c r="H261" s="18" t="s">
        <v>214</v>
      </c>
      <c r="I261" s="18" t="s">
        <v>214</v>
      </c>
    </row>
    <row r="262" spans="1:9" x14ac:dyDescent="0.35">
      <c r="A262" s="14" t="s">
        <v>212</v>
      </c>
      <c r="B262" s="18" t="s">
        <v>214</v>
      </c>
      <c r="C262" s="18" t="s">
        <v>214</v>
      </c>
      <c r="D262" s="18" t="s">
        <v>214</v>
      </c>
      <c r="E262" s="18" t="s">
        <v>214</v>
      </c>
      <c r="F262" s="18" t="s">
        <v>214</v>
      </c>
      <c r="G262" s="18" t="s">
        <v>214</v>
      </c>
      <c r="H262" s="18" t="s">
        <v>214</v>
      </c>
      <c r="I262" s="18" t="s">
        <v>214</v>
      </c>
    </row>
    <row r="263" spans="1:9" x14ac:dyDescent="0.35">
      <c r="A263" s="14" t="s">
        <v>203</v>
      </c>
      <c r="B263" s="18" t="s">
        <v>214</v>
      </c>
      <c r="C263" s="18" t="s">
        <v>214</v>
      </c>
      <c r="D263" s="18" t="s">
        <v>214</v>
      </c>
      <c r="E263" s="18" t="s">
        <v>214</v>
      </c>
      <c r="F263" s="18" t="s">
        <v>214</v>
      </c>
      <c r="G263" s="18" t="s">
        <v>214</v>
      </c>
      <c r="H263" s="18" t="s">
        <v>214</v>
      </c>
      <c r="I263" s="18" t="s">
        <v>214</v>
      </c>
    </row>
    <row r="264" spans="1:9" x14ac:dyDescent="0.35">
      <c r="A264" s="14" t="s">
        <v>204</v>
      </c>
      <c r="B264" s="18" t="s">
        <v>214</v>
      </c>
      <c r="C264" s="18" t="s">
        <v>214</v>
      </c>
      <c r="D264" s="18" t="s">
        <v>214</v>
      </c>
      <c r="E264" s="18" t="s">
        <v>214</v>
      </c>
      <c r="F264" s="18" t="s">
        <v>214</v>
      </c>
      <c r="G264" s="18" t="s">
        <v>214</v>
      </c>
      <c r="H264" s="18" t="s">
        <v>214</v>
      </c>
      <c r="I264" s="18" t="s">
        <v>214</v>
      </c>
    </row>
    <row r="266" spans="1:9" x14ac:dyDescent="0.35">
      <c r="C266" s="187"/>
      <c r="D266" s="187"/>
      <c r="E266" s="187"/>
      <c r="F266" s="187"/>
      <c r="G266" s="170"/>
      <c r="H266" s="170"/>
      <c r="I266" s="170"/>
    </row>
    <row r="267" spans="1:9" ht="29" x14ac:dyDescent="0.35">
      <c r="A267" s="12" t="s">
        <v>502</v>
      </c>
      <c r="B267" s="13" t="s">
        <v>208</v>
      </c>
      <c r="C267" s="13" t="s">
        <v>458</v>
      </c>
      <c r="D267" s="13" t="s">
        <v>466</v>
      </c>
      <c r="E267" s="13" t="s">
        <v>467</v>
      </c>
      <c r="F267" s="13" t="s">
        <v>468</v>
      </c>
      <c r="G267" s="13" t="s">
        <v>634</v>
      </c>
      <c r="H267" s="13" t="s">
        <v>641</v>
      </c>
      <c r="I267" s="13" t="s">
        <v>647</v>
      </c>
    </row>
    <row r="268" spans="1:9" x14ac:dyDescent="0.35">
      <c r="A268" s="14" t="s">
        <v>209</v>
      </c>
      <c r="B268" s="15">
        <v>0</v>
      </c>
      <c r="C268" s="15">
        <v>0</v>
      </c>
      <c r="D268" s="15">
        <v>0</v>
      </c>
      <c r="E268" s="15">
        <v>0</v>
      </c>
      <c r="F268" s="15">
        <v>0</v>
      </c>
      <c r="G268" s="15">
        <v>0</v>
      </c>
      <c r="H268" s="15">
        <v>0</v>
      </c>
      <c r="I268" s="15">
        <v>0</v>
      </c>
    </row>
    <row r="269" spans="1:9" x14ac:dyDescent="0.35">
      <c r="A269" s="16" t="s">
        <v>336</v>
      </c>
      <c r="B269" s="17" t="s">
        <v>214</v>
      </c>
      <c r="C269" s="168" t="s">
        <v>214</v>
      </c>
      <c r="D269" s="168" t="s">
        <v>214</v>
      </c>
      <c r="E269" s="168" t="s">
        <v>214</v>
      </c>
      <c r="F269" s="168" t="s">
        <v>214</v>
      </c>
      <c r="G269" s="168" t="s">
        <v>214</v>
      </c>
      <c r="H269" s="168" t="s">
        <v>214</v>
      </c>
      <c r="I269" s="168" t="s">
        <v>214</v>
      </c>
    </row>
    <row r="270" spans="1:9" x14ac:dyDescent="0.35">
      <c r="A270" s="16" t="s">
        <v>194</v>
      </c>
      <c r="B270" s="17" t="s">
        <v>214</v>
      </c>
      <c r="C270" s="168" t="s">
        <v>214</v>
      </c>
      <c r="D270" s="168" t="s">
        <v>214</v>
      </c>
      <c r="E270" s="168" t="s">
        <v>214</v>
      </c>
      <c r="F270" s="168" t="s">
        <v>214</v>
      </c>
      <c r="G270" s="168" t="s">
        <v>214</v>
      </c>
      <c r="H270" s="168" t="s">
        <v>214</v>
      </c>
      <c r="I270" s="168" t="s">
        <v>214</v>
      </c>
    </row>
    <row r="271" spans="1:9" x14ac:dyDescent="0.35">
      <c r="A271" s="16" t="s">
        <v>195</v>
      </c>
      <c r="B271" s="17" t="s">
        <v>214</v>
      </c>
      <c r="C271" s="168" t="s">
        <v>214</v>
      </c>
      <c r="D271" s="168" t="s">
        <v>214</v>
      </c>
      <c r="E271" s="168" t="s">
        <v>214</v>
      </c>
      <c r="F271" s="168" t="s">
        <v>214</v>
      </c>
      <c r="G271" s="168" t="s">
        <v>214</v>
      </c>
      <c r="H271" s="168" t="s">
        <v>214</v>
      </c>
      <c r="I271" s="168" t="s">
        <v>214</v>
      </c>
    </row>
    <row r="272" spans="1:9" x14ac:dyDescent="0.35">
      <c r="A272" s="14" t="s">
        <v>210</v>
      </c>
      <c r="B272" s="18" t="s">
        <v>214</v>
      </c>
      <c r="C272" s="18" t="s">
        <v>214</v>
      </c>
      <c r="D272" s="18" t="s">
        <v>214</v>
      </c>
      <c r="E272" s="18" t="s">
        <v>214</v>
      </c>
      <c r="F272" s="18" t="s">
        <v>214</v>
      </c>
      <c r="G272" s="18" t="s">
        <v>214</v>
      </c>
      <c r="H272" s="18" t="s">
        <v>214</v>
      </c>
      <c r="I272" s="18" t="s">
        <v>214</v>
      </c>
    </row>
    <row r="273" spans="1:9" x14ac:dyDescent="0.35">
      <c r="A273" s="14" t="s">
        <v>197</v>
      </c>
      <c r="B273" s="18" t="s">
        <v>214</v>
      </c>
      <c r="C273" s="18" t="s">
        <v>214</v>
      </c>
      <c r="D273" s="18" t="s">
        <v>214</v>
      </c>
      <c r="E273" s="18" t="s">
        <v>214</v>
      </c>
      <c r="F273" s="18" t="s">
        <v>214</v>
      </c>
      <c r="G273" s="18" t="s">
        <v>214</v>
      </c>
      <c r="H273" s="18" t="s">
        <v>214</v>
      </c>
      <c r="I273" s="18" t="s">
        <v>214</v>
      </c>
    </row>
    <row r="274" spans="1:9" x14ac:dyDescent="0.35">
      <c r="A274" s="14" t="s">
        <v>198</v>
      </c>
      <c r="B274" s="18" t="s">
        <v>214</v>
      </c>
      <c r="C274" s="18" t="s">
        <v>214</v>
      </c>
      <c r="D274" s="18" t="s">
        <v>214</v>
      </c>
      <c r="E274" s="18" t="s">
        <v>214</v>
      </c>
      <c r="F274" s="18" t="s">
        <v>214</v>
      </c>
      <c r="G274" s="18" t="s">
        <v>214</v>
      </c>
      <c r="H274" s="18" t="s">
        <v>214</v>
      </c>
      <c r="I274" s="18" t="s">
        <v>214</v>
      </c>
    </row>
    <row r="275" spans="1:9" x14ac:dyDescent="0.35">
      <c r="A275" s="14" t="s">
        <v>199</v>
      </c>
      <c r="B275" s="18" t="s">
        <v>214</v>
      </c>
      <c r="C275" s="18" t="s">
        <v>214</v>
      </c>
      <c r="D275" s="18" t="s">
        <v>214</v>
      </c>
      <c r="E275" s="18" t="s">
        <v>214</v>
      </c>
      <c r="F275" s="18" t="s">
        <v>214</v>
      </c>
      <c r="G275" s="18" t="s">
        <v>214</v>
      </c>
      <c r="H275" s="18" t="s">
        <v>214</v>
      </c>
      <c r="I275" s="18" t="s">
        <v>214</v>
      </c>
    </row>
    <row r="276" spans="1:9" x14ac:dyDescent="0.35">
      <c r="A276" s="14" t="s">
        <v>200</v>
      </c>
      <c r="B276" s="18" t="s">
        <v>214</v>
      </c>
      <c r="C276" s="18" t="s">
        <v>214</v>
      </c>
      <c r="D276" s="18" t="s">
        <v>214</v>
      </c>
      <c r="E276" s="18" t="s">
        <v>214</v>
      </c>
      <c r="F276" s="18" t="s">
        <v>214</v>
      </c>
      <c r="G276" s="18" t="s">
        <v>214</v>
      </c>
      <c r="H276" s="18" t="s">
        <v>214</v>
      </c>
      <c r="I276" s="18" t="s">
        <v>214</v>
      </c>
    </row>
    <row r="277" spans="1:9" x14ac:dyDescent="0.35">
      <c r="A277" s="14" t="s">
        <v>201</v>
      </c>
      <c r="B277" s="18" t="s">
        <v>214</v>
      </c>
      <c r="C277" s="18" t="s">
        <v>214</v>
      </c>
      <c r="D277" s="18" t="s">
        <v>214</v>
      </c>
      <c r="E277" s="18" t="s">
        <v>214</v>
      </c>
      <c r="F277" s="18" t="s">
        <v>214</v>
      </c>
      <c r="G277" s="18" t="s">
        <v>214</v>
      </c>
      <c r="H277" s="18" t="s">
        <v>214</v>
      </c>
      <c r="I277" s="18" t="s">
        <v>214</v>
      </c>
    </row>
    <row r="278" spans="1:9" x14ac:dyDescent="0.35">
      <c r="A278" s="14" t="s">
        <v>202</v>
      </c>
      <c r="B278" s="18" t="s">
        <v>214</v>
      </c>
      <c r="C278" s="18" t="s">
        <v>214</v>
      </c>
      <c r="D278" s="18" t="s">
        <v>214</v>
      </c>
      <c r="E278" s="18" t="s">
        <v>214</v>
      </c>
      <c r="F278" s="18" t="s">
        <v>214</v>
      </c>
      <c r="G278" s="18" t="s">
        <v>214</v>
      </c>
      <c r="H278" s="18" t="s">
        <v>214</v>
      </c>
      <c r="I278" s="18" t="s">
        <v>214</v>
      </c>
    </row>
    <row r="279" spans="1:9" x14ac:dyDescent="0.35">
      <c r="A279" s="14" t="s">
        <v>211</v>
      </c>
      <c r="B279" s="18" t="s">
        <v>214</v>
      </c>
      <c r="C279" s="18" t="s">
        <v>214</v>
      </c>
      <c r="D279" s="18" t="s">
        <v>214</v>
      </c>
      <c r="E279" s="18" t="s">
        <v>214</v>
      </c>
      <c r="F279" s="18" t="s">
        <v>214</v>
      </c>
      <c r="G279" s="18" t="s">
        <v>214</v>
      </c>
      <c r="H279" s="18" t="s">
        <v>214</v>
      </c>
      <c r="I279" s="18" t="s">
        <v>214</v>
      </c>
    </row>
    <row r="280" spans="1:9" x14ac:dyDescent="0.35">
      <c r="A280" s="14" t="s">
        <v>212</v>
      </c>
      <c r="B280" s="18" t="s">
        <v>214</v>
      </c>
      <c r="C280" s="18" t="s">
        <v>214</v>
      </c>
      <c r="D280" s="18" t="s">
        <v>214</v>
      </c>
      <c r="E280" s="18" t="s">
        <v>214</v>
      </c>
      <c r="F280" s="18" t="s">
        <v>214</v>
      </c>
      <c r="G280" s="18" t="s">
        <v>214</v>
      </c>
      <c r="H280" s="18" t="s">
        <v>214</v>
      </c>
      <c r="I280" s="18" t="s">
        <v>214</v>
      </c>
    </row>
    <row r="281" spans="1:9" x14ac:dyDescent="0.35">
      <c r="A281" s="14" t="s">
        <v>203</v>
      </c>
      <c r="B281" s="18" t="s">
        <v>214</v>
      </c>
      <c r="C281" s="18" t="s">
        <v>214</v>
      </c>
      <c r="D281" s="18" t="s">
        <v>214</v>
      </c>
      <c r="E281" s="18" t="s">
        <v>214</v>
      </c>
      <c r="F281" s="18" t="s">
        <v>214</v>
      </c>
      <c r="G281" s="18" t="s">
        <v>214</v>
      </c>
      <c r="H281" s="18" t="s">
        <v>214</v>
      </c>
      <c r="I281" s="18" t="s">
        <v>214</v>
      </c>
    </row>
    <row r="282" spans="1:9" x14ac:dyDescent="0.35">
      <c r="A282" s="14" t="s">
        <v>204</v>
      </c>
      <c r="B282" s="18" t="s">
        <v>214</v>
      </c>
      <c r="C282" s="18" t="s">
        <v>214</v>
      </c>
      <c r="D282" s="18" t="s">
        <v>214</v>
      </c>
      <c r="E282" s="18" t="s">
        <v>214</v>
      </c>
      <c r="F282" s="18" t="s">
        <v>214</v>
      </c>
      <c r="G282" s="18" t="s">
        <v>214</v>
      </c>
      <c r="H282" s="18" t="s">
        <v>214</v>
      </c>
      <c r="I282" s="18" t="s">
        <v>214</v>
      </c>
    </row>
    <row r="284" spans="1:9" x14ac:dyDescent="0.35">
      <c r="C284" s="187"/>
      <c r="D284" s="187"/>
      <c r="E284" s="187"/>
      <c r="F284" s="187"/>
      <c r="G284" s="170"/>
      <c r="H284" s="170"/>
      <c r="I284" s="170"/>
    </row>
    <row r="285" spans="1:9" ht="29" x14ac:dyDescent="0.35">
      <c r="A285" s="12" t="s">
        <v>566</v>
      </c>
      <c r="B285" s="13" t="s">
        <v>208</v>
      </c>
      <c r="C285" s="13" t="s">
        <v>458</v>
      </c>
      <c r="D285" s="13" t="s">
        <v>466</v>
      </c>
      <c r="E285" s="13" t="s">
        <v>467</v>
      </c>
      <c r="F285" s="13" t="s">
        <v>468</v>
      </c>
      <c r="G285" s="13" t="s">
        <v>634</v>
      </c>
      <c r="H285" s="13" t="s">
        <v>641</v>
      </c>
      <c r="I285" s="13" t="s">
        <v>647</v>
      </c>
    </row>
    <row r="286" spans="1:9" x14ac:dyDescent="0.35">
      <c r="A286" s="14" t="s">
        <v>209</v>
      </c>
      <c r="B286" s="15">
        <v>17</v>
      </c>
      <c r="C286" s="15">
        <v>6</v>
      </c>
      <c r="D286" s="15">
        <v>11</v>
      </c>
      <c r="E286" s="15">
        <v>14</v>
      </c>
      <c r="F286" s="15">
        <v>17</v>
      </c>
      <c r="G286" s="15">
        <v>19</v>
      </c>
      <c r="H286" s="15">
        <v>26</v>
      </c>
      <c r="I286" s="15">
        <v>26</v>
      </c>
    </row>
    <row r="287" spans="1:9" x14ac:dyDescent="0.35">
      <c r="A287" s="16" t="s">
        <v>336</v>
      </c>
      <c r="B287" s="17">
        <v>0.17814332855758741</v>
      </c>
      <c r="C287" s="17">
        <v>0.33800856324052098</v>
      </c>
      <c r="D287" s="17">
        <v>0.27395700076744711</v>
      </c>
      <c r="E287" s="17">
        <v>0.21358052390709559</v>
      </c>
      <c r="F287" s="17">
        <v>0.17814332855758741</v>
      </c>
      <c r="G287" s="17">
        <v>0.16475467616530839</v>
      </c>
      <c r="H287" s="17">
        <v>0.1840349531910413</v>
      </c>
      <c r="I287" s="17">
        <v>0.15127394920243731</v>
      </c>
    </row>
    <row r="288" spans="1:9" x14ac:dyDescent="0.35">
      <c r="A288" s="16" t="s">
        <v>194</v>
      </c>
      <c r="B288" s="17">
        <v>0.54995701601814628</v>
      </c>
      <c r="C288" s="17">
        <v>0.66199143675947902</v>
      </c>
      <c r="D288" s="17">
        <v>0.5154402381570482</v>
      </c>
      <c r="E288" s="154">
        <v>0.4604321302524409</v>
      </c>
      <c r="F288" s="17">
        <v>0.54995701601814617</v>
      </c>
      <c r="G288" s="17">
        <v>0.54824692168643763</v>
      </c>
      <c r="H288" s="17">
        <v>0.60453017761724281</v>
      </c>
      <c r="I288" s="17">
        <v>0.53238955688437806</v>
      </c>
    </row>
    <row r="289" spans="1:9" x14ac:dyDescent="0.35">
      <c r="A289" s="16" t="s">
        <v>195</v>
      </c>
      <c r="B289" s="17">
        <v>0.27189965542426642</v>
      </c>
      <c r="C289" s="154">
        <v>0</v>
      </c>
      <c r="D289" s="17">
        <v>0.21060276107550471</v>
      </c>
      <c r="E289" s="17">
        <v>0.32598734584046352</v>
      </c>
      <c r="F289" s="17">
        <v>0.27189965542426642</v>
      </c>
      <c r="G289" s="17">
        <v>0.28699840214825401</v>
      </c>
      <c r="H289" s="17">
        <v>0.21143486919171589</v>
      </c>
      <c r="I289" s="153">
        <v>0.31633649391318458</v>
      </c>
    </row>
    <row r="290" spans="1:9" x14ac:dyDescent="0.35">
      <c r="A290" s="14" t="s">
        <v>210</v>
      </c>
      <c r="B290" s="18">
        <v>0</v>
      </c>
      <c r="C290" s="18">
        <v>0</v>
      </c>
      <c r="D290" s="18">
        <v>0</v>
      </c>
      <c r="E290" s="18">
        <v>0</v>
      </c>
      <c r="F290" s="18">
        <v>0</v>
      </c>
      <c r="G290" s="18">
        <v>0</v>
      </c>
      <c r="H290" s="18">
        <v>2.692524905599096E-2</v>
      </c>
      <c r="I290" s="18">
        <v>2.5637527362437181E-2</v>
      </c>
    </row>
    <row r="291" spans="1:9" x14ac:dyDescent="0.35">
      <c r="A291" s="14" t="s">
        <v>197</v>
      </c>
      <c r="B291" s="18">
        <v>0.17814332855758741</v>
      </c>
      <c r="C291" s="18">
        <v>0.33800856324052098</v>
      </c>
      <c r="D291" s="18">
        <v>0.27395700076744711</v>
      </c>
      <c r="E291" s="18">
        <v>0.21358052390709559</v>
      </c>
      <c r="F291" s="18">
        <v>0.17814332855758741</v>
      </c>
      <c r="G291" s="18">
        <v>0.16475467616530839</v>
      </c>
      <c r="H291" s="18">
        <v>0.15710970413505029</v>
      </c>
      <c r="I291" s="18">
        <v>0.1256364218400001</v>
      </c>
    </row>
    <row r="292" spans="1:9" x14ac:dyDescent="0.35">
      <c r="A292" s="14" t="s">
        <v>198</v>
      </c>
      <c r="B292" s="18">
        <v>0.28789350946801873</v>
      </c>
      <c r="C292" s="18">
        <v>0.38911962851770709</v>
      </c>
      <c r="D292" s="18">
        <v>0.28969233554446377</v>
      </c>
      <c r="E292" s="18">
        <v>0.28443606088441559</v>
      </c>
      <c r="F292" s="18">
        <v>0.28789350946801862</v>
      </c>
      <c r="G292" s="18">
        <v>0.3058792253713094</v>
      </c>
      <c r="H292" s="18">
        <v>0.28817621961466139</v>
      </c>
      <c r="I292" s="18">
        <v>0.25570614065699088</v>
      </c>
    </row>
    <row r="293" spans="1:9" x14ac:dyDescent="0.35">
      <c r="A293" s="14" t="s">
        <v>199</v>
      </c>
      <c r="B293" s="18">
        <v>0.26206350655012761</v>
      </c>
      <c r="C293" s="18">
        <v>0.27287180824177187</v>
      </c>
      <c r="D293" s="18">
        <v>0.2257479026125844</v>
      </c>
      <c r="E293" s="23">
        <v>0.17599606936802531</v>
      </c>
      <c r="F293" s="18">
        <v>0.26206350655012761</v>
      </c>
      <c r="G293" s="18">
        <v>0.24236769631512811</v>
      </c>
      <c r="H293" s="18">
        <v>0.31635395800258143</v>
      </c>
      <c r="I293" s="18">
        <v>0.27668341622738712</v>
      </c>
    </row>
    <row r="294" spans="1:9" x14ac:dyDescent="0.35">
      <c r="A294" s="14" t="s">
        <v>200</v>
      </c>
      <c r="B294" s="18">
        <v>0.27189965542426642</v>
      </c>
      <c r="C294" s="23">
        <v>0</v>
      </c>
      <c r="D294" s="18">
        <v>0.21060276107550471</v>
      </c>
      <c r="E294" s="18">
        <v>0.32598734584046352</v>
      </c>
      <c r="F294" s="18">
        <v>0.27189965542426642</v>
      </c>
      <c r="G294" s="18">
        <v>0.25146459337882388</v>
      </c>
      <c r="H294" s="18">
        <v>0.1852567227183885</v>
      </c>
      <c r="I294" s="18">
        <v>0.2232645616452319</v>
      </c>
    </row>
    <row r="295" spans="1:9" x14ac:dyDescent="0.35">
      <c r="A295" s="14" t="s">
        <v>201</v>
      </c>
      <c r="B295" s="18">
        <v>0</v>
      </c>
      <c r="C295" s="18">
        <v>0</v>
      </c>
      <c r="D295" s="18">
        <v>0</v>
      </c>
      <c r="E295" s="18">
        <v>0</v>
      </c>
      <c r="F295" s="18">
        <v>0</v>
      </c>
      <c r="G295" s="18">
        <v>3.5533808769430179E-2</v>
      </c>
      <c r="H295" s="18">
        <v>2.6178146473327411E-2</v>
      </c>
      <c r="I295" s="18">
        <v>9.3071932267952795E-2</v>
      </c>
    </row>
    <row r="296" spans="1:9" x14ac:dyDescent="0.35">
      <c r="A296" s="14" t="s">
        <v>202</v>
      </c>
      <c r="B296" s="18">
        <v>0</v>
      </c>
      <c r="C296" s="18">
        <v>0</v>
      </c>
      <c r="D296" s="18">
        <v>0</v>
      </c>
      <c r="E296" s="18">
        <v>0</v>
      </c>
      <c r="F296" s="18">
        <v>0</v>
      </c>
      <c r="G296" s="18">
        <v>0</v>
      </c>
      <c r="H296" s="18">
        <v>0</v>
      </c>
      <c r="I296" s="18">
        <v>0</v>
      </c>
    </row>
    <row r="297" spans="1:9" x14ac:dyDescent="0.35">
      <c r="A297" s="14" t="s">
        <v>211</v>
      </c>
      <c r="B297" s="18">
        <v>0</v>
      </c>
      <c r="C297" s="18">
        <v>0</v>
      </c>
      <c r="D297" s="18">
        <v>0</v>
      </c>
      <c r="E297" s="18">
        <v>0</v>
      </c>
      <c r="F297" s="18">
        <v>0</v>
      </c>
      <c r="G297" s="18">
        <v>0</v>
      </c>
      <c r="H297" s="18">
        <v>0</v>
      </c>
      <c r="I297" s="18">
        <v>0</v>
      </c>
    </row>
    <row r="298" spans="1:9" x14ac:dyDescent="0.35">
      <c r="A298" s="14" t="s">
        <v>212</v>
      </c>
      <c r="B298" s="18">
        <v>0</v>
      </c>
      <c r="C298" s="18">
        <v>0</v>
      </c>
      <c r="D298" s="18">
        <v>0</v>
      </c>
      <c r="E298" s="18">
        <v>0</v>
      </c>
      <c r="F298" s="18">
        <v>0</v>
      </c>
      <c r="G298" s="18">
        <v>0</v>
      </c>
      <c r="H298" s="18">
        <v>0</v>
      </c>
      <c r="I298" s="18">
        <v>0</v>
      </c>
    </row>
    <row r="299" spans="1:9" x14ac:dyDescent="0.35">
      <c r="A299" s="14" t="s">
        <v>203</v>
      </c>
      <c r="B299" s="18">
        <v>0</v>
      </c>
      <c r="C299" s="18">
        <v>0</v>
      </c>
      <c r="D299" s="18">
        <v>0</v>
      </c>
      <c r="E299" s="18">
        <v>0</v>
      </c>
      <c r="F299" s="18">
        <v>0</v>
      </c>
      <c r="G299" s="18">
        <v>0</v>
      </c>
      <c r="H299" s="18">
        <v>0</v>
      </c>
      <c r="I299" s="18">
        <v>0</v>
      </c>
    </row>
    <row r="300" spans="1:9" x14ac:dyDescent="0.35">
      <c r="A300" s="14" t="s">
        <v>204</v>
      </c>
      <c r="B300" s="18">
        <v>0</v>
      </c>
      <c r="C300" s="18">
        <v>0</v>
      </c>
      <c r="D300" s="18">
        <v>0</v>
      </c>
      <c r="E300" s="18">
        <v>0</v>
      </c>
      <c r="F300" s="18">
        <v>0</v>
      </c>
      <c r="G300" s="18">
        <v>0</v>
      </c>
      <c r="H300" s="18">
        <v>0</v>
      </c>
      <c r="I300" s="18">
        <v>0</v>
      </c>
    </row>
    <row r="301" spans="1:9" x14ac:dyDescent="0.35">
      <c r="A301" s="14" t="s">
        <v>213</v>
      </c>
      <c r="B301" s="1">
        <v>-9.3756326866678972</v>
      </c>
      <c r="C301" s="1">
        <v>33.800856324052099</v>
      </c>
      <c r="D301" s="1">
        <v>6.3354239691942418</v>
      </c>
      <c r="E301" s="1">
        <v>-11.2406821933368</v>
      </c>
      <c r="F301" s="1">
        <v>-9.3756326866678954</v>
      </c>
      <c r="G301" s="1">
        <v>-12.224372598294559</v>
      </c>
      <c r="H301" s="1">
        <v>-2.7399916000674618</v>
      </c>
      <c r="I301" s="1">
        <v>-16.50625447107474</v>
      </c>
    </row>
    <row r="303" spans="1:9" x14ac:dyDescent="0.35">
      <c r="C303" s="187"/>
      <c r="D303" s="187"/>
      <c r="E303" s="187"/>
      <c r="F303" s="187"/>
      <c r="G303" s="170"/>
      <c r="H303" s="170"/>
      <c r="I303" s="170"/>
    </row>
    <row r="304" spans="1:9" ht="29" x14ac:dyDescent="0.35">
      <c r="A304" s="12" t="s">
        <v>492</v>
      </c>
      <c r="B304" s="13" t="s">
        <v>208</v>
      </c>
      <c r="C304" s="13" t="s">
        <v>458</v>
      </c>
      <c r="D304" s="13" t="s">
        <v>466</v>
      </c>
      <c r="E304" s="13" t="s">
        <v>467</v>
      </c>
      <c r="F304" s="13" t="s">
        <v>468</v>
      </c>
      <c r="G304" s="13" t="s">
        <v>634</v>
      </c>
      <c r="H304" s="13" t="s">
        <v>641</v>
      </c>
      <c r="I304" s="13" t="s">
        <v>647</v>
      </c>
    </row>
    <row r="305" spans="1:9" x14ac:dyDescent="0.35">
      <c r="A305" s="14" t="s">
        <v>209</v>
      </c>
      <c r="B305" s="15">
        <v>65</v>
      </c>
      <c r="C305" s="15">
        <v>13</v>
      </c>
      <c r="D305" s="15">
        <v>35</v>
      </c>
      <c r="E305" s="15">
        <v>55</v>
      </c>
      <c r="F305" s="15">
        <v>65</v>
      </c>
      <c r="G305" s="15">
        <v>76</v>
      </c>
      <c r="H305" s="15">
        <v>88</v>
      </c>
      <c r="I305" s="15">
        <v>96</v>
      </c>
    </row>
    <row r="306" spans="1:9" x14ac:dyDescent="0.35">
      <c r="A306" s="16" t="s">
        <v>336</v>
      </c>
      <c r="B306" s="17">
        <v>0.51024475414260118</v>
      </c>
      <c r="C306" s="155">
        <v>0.2628874459974524</v>
      </c>
      <c r="D306" s="148">
        <v>0.3577097642637958</v>
      </c>
      <c r="E306" s="155">
        <v>0.44288532754233989</v>
      </c>
      <c r="F306" s="17">
        <v>0.51024475414260129</v>
      </c>
      <c r="G306" s="17">
        <v>0.51093832715737153</v>
      </c>
      <c r="H306" s="152">
        <v>0.50035686936298707</v>
      </c>
      <c r="I306" s="149">
        <v>0.54909540539670898</v>
      </c>
    </row>
    <row r="307" spans="1:9" x14ac:dyDescent="0.35">
      <c r="A307" s="16" t="s">
        <v>194</v>
      </c>
      <c r="B307" s="17">
        <v>0.38977715491412529</v>
      </c>
      <c r="C307" s="151">
        <v>0.7371125540025476</v>
      </c>
      <c r="D307" s="153">
        <v>0.49818685649472261</v>
      </c>
      <c r="E307" s="17">
        <v>0.43384992937617878</v>
      </c>
      <c r="F307" s="17">
        <v>0.3897771549141254</v>
      </c>
      <c r="G307" s="152">
        <v>0.39301337475061948</v>
      </c>
      <c r="H307" s="17">
        <v>0.40532224928876842</v>
      </c>
      <c r="I307" s="148">
        <v>0.35435006009225112</v>
      </c>
    </row>
    <row r="308" spans="1:9" x14ac:dyDescent="0.35">
      <c r="A308" s="16" t="s">
        <v>195</v>
      </c>
      <c r="B308" s="17">
        <v>9.9978090943273437E-2</v>
      </c>
      <c r="C308" s="17">
        <v>0</v>
      </c>
      <c r="D308" s="17">
        <v>0.1441033792414817</v>
      </c>
      <c r="E308" s="17">
        <v>0.12326474308148121</v>
      </c>
      <c r="F308" s="17">
        <v>9.9978090943273451E-2</v>
      </c>
      <c r="G308" s="152">
        <v>9.6048298092009154E-2</v>
      </c>
      <c r="H308" s="17">
        <v>9.4320881348244706E-2</v>
      </c>
      <c r="I308" s="17">
        <v>9.6554534511039805E-2</v>
      </c>
    </row>
    <row r="309" spans="1:9" x14ac:dyDescent="0.35">
      <c r="A309" s="14" t="s">
        <v>210</v>
      </c>
      <c r="B309" s="18">
        <v>0.35867768826695517</v>
      </c>
      <c r="C309" s="21">
        <v>9.8929465356561483E-2</v>
      </c>
      <c r="D309" s="18">
        <v>0.26937054064507038</v>
      </c>
      <c r="E309" s="24">
        <v>0.28041918283691147</v>
      </c>
      <c r="F309" s="18">
        <v>0.35867768826695517</v>
      </c>
      <c r="G309" s="18">
        <v>0.35286449450482182</v>
      </c>
      <c r="H309" s="18">
        <v>0.32578476087377128</v>
      </c>
      <c r="I309" s="20">
        <v>0.35643233550373321</v>
      </c>
    </row>
    <row r="310" spans="1:9" x14ac:dyDescent="0.35">
      <c r="A310" s="14" t="s">
        <v>197</v>
      </c>
      <c r="B310" s="18">
        <v>0.15156706587564611</v>
      </c>
      <c r="C310" s="18">
        <v>0.1639579806408909</v>
      </c>
      <c r="D310" s="18">
        <v>8.8339223618725454E-2</v>
      </c>
      <c r="E310" s="18">
        <v>0.1624661447054285</v>
      </c>
      <c r="F310" s="18">
        <v>0.15156706587564611</v>
      </c>
      <c r="G310" s="18">
        <v>0.15807383265254979</v>
      </c>
      <c r="H310" s="18">
        <v>0.17457210848921581</v>
      </c>
      <c r="I310" s="18">
        <v>0.1926630698929758</v>
      </c>
    </row>
    <row r="311" spans="1:9" x14ac:dyDescent="0.35">
      <c r="A311" s="14" t="s">
        <v>198</v>
      </c>
      <c r="B311" s="18">
        <v>0.31882853671585132</v>
      </c>
      <c r="C311" s="20">
        <v>0.52327010531674656</v>
      </c>
      <c r="D311" s="18">
        <v>0.38561011307691678</v>
      </c>
      <c r="E311" s="18">
        <v>0.36192816282482998</v>
      </c>
      <c r="F311" s="18">
        <v>0.31882853671585137</v>
      </c>
      <c r="G311" s="18">
        <v>0.31080618473883098</v>
      </c>
      <c r="H311" s="18">
        <v>0.32495611320364193</v>
      </c>
      <c r="I311" s="18">
        <v>0.30876338541266662</v>
      </c>
    </row>
    <row r="312" spans="1:9" x14ac:dyDescent="0.35">
      <c r="A312" s="14" t="s">
        <v>199</v>
      </c>
      <c r="B312" s="18">
        <v>7.0948618198273944E-2</v>
      </c>
      <c r="C312" s="19">
        <v>0.2138424486858011</v>
      </c>
      <c r="D312" s="18">
        <v>0.1125767434178058</v>
      </c>
      <c r="E312" s="18">
        <v>7.1921766551348867E-2</v>
      </c>
      <c r="F312" s="18">
        <v>7.0948618198273958E-2</v>
      </c>
      <c r="G312" s="18">
        <v>8.2207190011788486E-2</v>
      </c>
      <c r="H312" s="18">
        <v>8.036613608512648E-2</v>
      </c>
      <c r="I312" s="21">
        <v>4.5586674679584542E-2</v>
      </c>
    </row>
    <row r="313" spans="1:9" x14ac:dyDescent="0.35">
      <c r="A313" s="14" t="s">
        <v>200</v>
      </c>
      <c r="B313" s="18">
        <v>3.0786222148205641E-2</v>
      </c>
      <c r="C313" s="18">
        <v>0</v>
      </c>
      <c r="D313" s="18">
        <v>5.9412628864751897E-2</v>
      </c>
      <c r="E313" s="18">
        <v>3.7956873628454638E-2</v>
      </c>
      <c r="F313" s="18">
        <v>3.0786222148205641E-2</v>
      </c>
      <c r="G313" s="18">
        <v>2.646886739024177E-2</v>
      </c>
      <c r="H313" s="18">
        <v>3.3767747944486171E-2</v>
      </c>
      <c r="I313" s="18">
        <v>3.1901098246882371E-2</v>
      </c>
    </row>
    <row r="314" spans="1:9" x14ac:dyDescent="0.35">
      <c r="A314" s="14" t="s">
        <v>201</v>
      </c>
      <c r="B314" s="18">
        <v>4.9818285631042063E-2</v>
      </c>
      <c r="C314" s="18">
        <v>0</v>
      </c>
      <c r="D314" s="18">
        <v>4.7302742820506942E-2</v>
      </c>
      <c r="E314" s="18">
        <v>6.1421838736193703E-2</v>
      </c>
      <c r="F314" s="18">
        <v>4.9818285631042077E-2</v>
      </c>
      <c r="G314" s="18">
        <v>5.2922732742082659E-2</v>
      </c>
      <c r="H314" s="18">
        <v>4.6057250878619067E-2</v>
      </c>
      <c r="I314" s="18">
        <v>5.0958872641792781E-2</v>
      </c>
    </row>
    <row r="315" spans="1:9" x14ac:dyDescent="0.35">
      <c r="A315" s="14" t="s">
        <v>202</v>
      </c>
      <c r="B315" s="18">
        <v>1.937358316402573E-2</v>
      </c>
      <c r="C315" s="18">
        <v>0</v>
      </c>
      <c r="D315" s="18">
        <v>3.7388007556222812E-2</v>
      </c>
      <c r="E315" s="18">
        <v>2.3886030716832891E-2</v>
      </c>
      <c r="F315" s="18">
        <v>1.937358316402573E-2</v>
      </c>
      <c r="G315" s="18">
        <v>1.6656697959684729E-2</v>
      </c>
      <c r="H315" s="18">
        <v>1.449588252513946E-2</v>
      </c>
      <c r="I315" s="18">
        <v>1.369456362236466E-2</v>
      </c>
    </row>
    <row r="316" spans="1:9" x14ac:dyDescent="0.35">
      <c r="A316" s="14" t="s">
        <v>211</v>
      </c>
      <c r="B316" s="18">
        <v>0</v>
      </c>
      <c r="C316" s="18">
        <v>0</v>
      </c>
      <c r="D316" s="18">
        <v>0</v>
      </c>
      <c r="E316" s="18">
        <v>0</v>
      </c>
      <c r="F316" s="18">
        <v>0</v>
      </c>
      <c r="G316" s="18">
        <v>0</v>
      </c>
      <c r="H316" s="18">
        <v>0</v>
      </c>
      <c r="I316" s="18">
        <v>0</v>
      </c>
    </row>
    <row r="317" spans="1:9" x14ac:dyDescent="0.35">
      <c r="A317" s="14" t="s">
        <v>212</v>
      </c>
      <c r="B317" s="18">
        <v>0</v>
      </c>
      <c r="C317" s="18">
        <v>0</v>
      </c>
      <c r="D317" s="18">
        <v>0</v>
      </c>
      <c r="E317" s="18">
        <v>0</v>
      </c>
      <c r="F317" s="18">
        <v>0</v>
      </c>
      <c r="G317" s="18">
        <v>0</v>
      </c>
      <c r="H317" s="18">
        <v>0</v>
      </c>
      <c r="I317" s="18">
        <v>0</v>
      </c>
    </row>
    <row r="318" spans="1:9" x14ac:dyDescent="0.35">
      <c r="A318" s="14" t="s">
        <v>203</v>
      </c>
      <c r="B318" s="18">
        <v>0</v>
      </c>
      <c r="C318" s="18">
        <v>0</v>
      </c>
      <c r="D318" s="18">
        <v>0</v>
      </c>
      <c r="E318" s="18">
        <v>0</v>
      </c>
      <c r="F318" s="18">
        <v>0</v>
      </c>
      <c r="G318" s="18">
        <v>0</v>
      </c>
      <c r="H318" s="18">
        <v>0</v>
      </c>
      <c r="I318" s="18">
        <v>0</v>
      </c>
    </row>
    <row r="319" spans="1:9" x14ac:dyDescent="0.35">
      <c r="A319" s="14" t="s">
        <v>204</v>
      </c>
      <c r="B319" s="18">
        <v>0</v>
      </c>
      <c r="C319" s="18">
        <v>0</v>
      </c>
      <c r="D319" s="18">
        <v>0</v>
      </c>
      <c r="E319" s="18">
        <v>0</v>
      </c>
      <c r="F319" s="18">
        <v>0</v>
      </c>
      <c r="G319" s="18">
        <v>0</v>
      </c>
      <c r="H319" s="18">
        <v>0</v>
      </c>
      <c r="I319" s="18">
        <v>0</v>
      </c>
    </row>
    <row r="320" spans="1:9" x14ac:dyDescent="0.35">
      <c r="A320" s="14" t="s">
        <v>213</v>
      </c>
      <c r="B320" s="1">
        <v>41.026666319932779</v>
      </c>
      <c r="C320" s="1">
        <v>26.28874459974524</v>
      </c>
      <c r="D320" s="1">
        <v>21.360638502231421</v>
      </c>
      <c r="E320" s="1">
        <v>31.96205844608588</v>
      </c>
      <c r="F320" s="1">
        <v>41.026666319932779</v>
      </c>
      <c r="G320" s="1">
        <v>41.489002906536228</v>
      </c>
      <c r="H320" s="1">
        <v>40.603598801474227</v>
      </c>
      <c r="I320" s="1">
        <v>45.254087088566934</v>
      </c>
    </row>
    <row r="322" spans="1:9" x14ac:dyDescent="0.35">
      <c r="C322" s="187"/>
      <c r="D322" s="187"/>
      <c r="E322" s="187"/>
      <c r="F322" s="187"/>
      <c r="G322" s="170"/>
      <c r="H322" s="170"/>
      <c r="I322" s="170"/>
    </row>
    <row r="323" spans="1:9" ht="29" x14ac:dyDescent="0.35">
      <c r="A323" s="12" t="s">
        <v>505</v>
      </c>
      <c r="B323" s="13" t="s">
        <v>208</v>
      </c>
      <c r="C323" s="13" t="s">
        <v>458</v>
      </c>
      <c r="D323" s="13" t="s">
        <v>466</v>
      </c>
      <c r="E323" s="13" t="s">
        <v>467</v>
      </c>
      <c r="F323" s="13" t="s">
        <v>468</v>
      </c>
      <c r="G323" s="13" t="s">
        <v>634</v>
      </c>
      <c r="H323" s="13" t="s">
        <v>641</v>
      </c>
      <c r="I323" s="13" t="s">
        <v>647</v>
      </c>
    </row>
    <row r="324" spans="1:9" x14ac:dyDescent="0.35">
      <c r="A324" s="14" t="s">
        <v>209</v>
      </c>
      <c r="B324" s="15">
        <v>0</v>
      </c>
      <c r="C324" s="15">
        <v>0</v>
      </c>
      <c r="D324" s="15">
        <v>0</v>
      </c>
      <c r="E324" s="15">
        <v>0</v>
      </c>
      <c r="F324" s="15">
        <v>0</v>
      </c>
      <c r="G324" s="15">
        <v>0</v>
      </c>
      <c r="H324" s="15">
        <v>0</v>
      </c>
      <c r="I324" s="15">
        <v>0</v>
      </c>
    </row>
    <row r="325" spans="1:9" x14ac:dyDescent="0.35">
      <c r="A325" s="16" t="s">
        <v>336</v>
      </c>
      <c r="B325" s="17" t="s">
        <v>214</v>
      </c>
      <c r="C325" s="168" t="s">
        <v>214</v>
      </c>
      <c r="D325" s="168" t="s">
        <v>214</v>
      </c>
      <c r="E325" s="168" t="s">
        <v>214</v>
      </c>
      <c r="F325" s="168" t="s">
        <v>214</v>
      </c>
      <c r="G325" s="168" t="s">
        <v>214</v>
      </c>
      <c r="H325" s="168" t="s">
        <v>214</v>
      </c>
      <c r="I325" s="168" t="s">
        <v>214</v>
      </c>
    </row>
    <row r="326" spans="1:9" x14ac:dyDescent="0.35">
      <c r="A326" s="16" t="s">
        <v>194</v>
      </c>
      <c r="B326" s="17" t="s">
        <v>214</v>
      </c>
      <c r="C326" s="168" t="s">
        <v>214</v>
      </c>
      <c r="D326" s="168" t="s">
        <v>214</v>
      </c>
      <c r="E326" s="168" t="s">
        <v>214</v>
      </c>
      <c r="F326" s="168" t="s">
        <v>214</v>
      </c>
      <c r="G326" s="168" t="s">
        <v>214</v>
      </c>
      <c r="H326" s="168" t="s">
        <v>214</v>
      </c>
      <c r="I326" s="168" t="s">
        <v>214</v>
      </c>
    </row>
    <row r="327" spans="1:9" x14ac:dyDescent="0.35">
      <c r="A327" s="16" t="s">
        <v>195</v>
      </c>
      <c r="B327" s="17" t="s">
        <v>214</v>
      </c>
      <c r="C327" s="168" t="s">
        <v>214</v>
      </c>
      <c r="D327" s="168" t="s">
        <v>214</v>
      </c>
      <c r="E327" s="168" t="s">
        <v>214</v>
      </c>
      <c r="F327" s="168" t="s">
        <v>214</v>
      </c>
      <c r="G327" s="168" t="s">
        <v>214</v>
      </c>
      <c r="H327" s="168" t="s">
        <v>214</v>
      </c>
      <c r="I327" s="168" t="s">
        <v>214</v>
      </c>
    </row>
    <row r="328" spans="1:9" x14ac:dyDescent="0.35">
      <c r="A328" s="14" t="s">
        <v>210</v>
      </c>
      <c r="B328" s="18" t="s">
        <v>214</v>
      </c>
      <c r="C328" s="18" t="s">
        <v>214</v>
      </c>
      <c r="D328" s="18" t="s">
        <v>214</v>
      </c>
      <c r="E328" s="18" t="s">
        <v>214</v>
      </c>
      <c r="F328" s="18" t="s">
        <v>214</v>
      </c>
      <c r="G328" s="18" t="s">
        <v>214</v>
      </c>
      <c r="H328" s="18" t="s">
        <v>214</v>
      </c>
      <c r="I328" s="18" t="s">
        <v>214</v>
      </c>
    </row>
    <row r="329" spans="1:9" x14ac:dyDescent="0.35">
      <c r="A329" s="14" t="s">
        <v>197</v>
      </c>
      <c r="B329" s="18" t="s">
        <v>214</v>
      </c>
      <c r="C329" s="18" t="s">
        <v>214</v>
      </c>
      <c r="D329" s="18" t="s">
        <v>214</v>
      </c>
      <c r="E329" s="18" t="s">
        <v>214</v>
      </c>
      <c r="F329" s="18" t="s">
        <v>214</v>
      </c>
      <c r="G329" s="18" t="s">
        <v>214</v>
      </c>
      <c r="H329" s="18" t="s">
        <v>214</v>
      </c>
      <c r="I329" s="18" t="s">
        <v>214</v>
      </c>
    </row>
    <row r="330" spans="1:9" x14ac:dyDescent="0.35">
      <c r="A330" s="14" t="s">
        <v>198</v>
      </c>
      <c r="B330" s="18" t="s">
        <v>214</v>
      </c>
      <c r="C330" s="18" t="s">
        <v>214</v>
      </c>
      <c r="D330" s="18" t="s">
        <v>214</v>
      </c>
      <c r="E330" s="18" t="s">
        <v>214</v>
      </c>
      <c r="F330" s="18" t="s">
        <v>214</v>
      </c>
      <c r="G330" s="18" t="s">
        <v>214</v>
      </c>
      <c r="H330" s="18" t="s">
        <v>214</v>
      </c>
      <c r="I330" s="18" t="s">
        <v>214</v>
      </c>
    </row>
    <row r="331" spans="1:9" x14ac:dyDescent="0.35">
      <c r="A331" s="14" t="s">
        <v>199</v>
      </c>
      <c r="B331" s="18" t="s">
        <v>214</v>
      </c>
      <c r="C331" s="18" t="s">
        <v>214</v>
      </c>
      <c r="D331" s="18" t="s">
        <v>214</v>
      </c>
      <c r="E331" s="18" t="s">
        <v>214</v>
      </c>
      <c r="F331" s="18" t="s">
        <v>214</v>
      </c>
      <c r="G331" s="18" t="s">
        <v>214</v>
      </c>
      <c r="H331" s="18" t="s">
        <v>214</v>
      </c>
      <c r="I331" s="18" t="s">
        <v>214</v>
      </c>
    </row>
    <row r="332" spans="1:9" x14ac:dyDescent="0.35">
      <c r="A332" s="14" t="s">
        <v>200</v>
      </c>
      <c r="B332" s="18" t="s">
        <v>214</v>
      </c>
      <c r="C332" s="18" t="s">
        <v>214</v>
      </c>
      <c r="D332" s="18" t="s">
        <v>214</v>
      </c>
      <c r="E332" s="18" t="s">
        <v>214</v>
      </c>
      <c r="F332" s="18" t="s">
        <v>214</v>
      </c>
      <c r="G332" s="18" t="s">
        <v>214</v>
      </c>
      <c r="H332" s="18" t="s">
        <v>214</v>
      </c>
      <c r="I332" s="18" t="s">
        <v>214</v>
      </c>
    </row>
    <row r="333" spans="1:9" x14ac:dyDescent="0.35">
      <c r="A333" s="14" t="s">
        <v>201</v>
      </c>
      <c r="B333" s="18" t="s">
        <v>214</v>
      </c>
      <c r="C333" s="18" t="s">
        <v>214</v>
      </c>
      <c r="D333" s="18" t="s">
        <v>214</v>
      </c>
      <c r="E333" s="18" t="s">
        <v>214</v>
      </c>
      <c r="F333" s="18" t="s">
        <v>214</v>
      </c>
      <c r="G333" s="18" t="s">
        <v>214</v>
      </c>
      <c r="H333" s="18" t="s">
        <v>214</v>
      </c>
      <c r="I333" s="18" t="s">
        <v>214</v>
      </c>
    </row>
    <row r="334" spans="1:9" x14ac:dyDescent="0.35">
      <c r="A334" s="14" t="s">
        <v>202</v>
      </c>
      <c r="B334" s="18" t="s">
        <v>214</v>
      </c>
      <c r="C334" s="18" t="s">
        <v>214</v>
      </c>
      <c r="D334" s="18" t="s">
        <v>214</v>
      </c>
      <c r="E334" s="18" t="s">
        <v>214</v>
      </c>
      <c r="F334" s="18" t="s">
        <v>214</v>
      </c>
      <c r="G334" s="18" t="s">
        <v>214</v>
      </c>
      <c r="H334" s="18" t="s">
        <v>214</v>
      </c>
      <c r="I334" s="18" t="s">
        <v>214</v>
      </c>
    </row>
    <row r="335" spans="1:9" x14ac:dyDescent="0.35">
      <c r="A335" s="14" t="s">
        <v>211</v>
      </c>
      <c r="B335" s="18" t="s">
        <v>214</v>
      </c>
      <c r="C335" s="18" t="s">
        <v>214</v>
      </c>
      <c r="D335" s="18" t="s">
        <v>214</v>
      </c>
      <c r="E335" s="18" t="s">
        <v>214</v>
      </c>
      <c r="F335" s="18" t="s">
        <v>214</v>
      </c>
      <c r="G335" s="18" t="s">
        <v>214</v>
      </c>
      <c r="H335" s="18" t="s">
        <v>214</v>
      </c>
      <c r="I335" s="18" t="s">
        <v>214</v>
      </c>
    </row>
    <row r="336" spans="1:9" x14ac:dyDescent="0.35">
      <c r="A336" s="14" t="s">
        <v>212</v>
      </c>
      <c r="B336" s="18" t="s">
        <v>214</v>
      </c>
      <c r="C336" s="18" t="s">
        <v>214</v>
      </c>
      <c r="D336" s="18" t="s">
        <v>214</v>
      </c>
      <c r="E336" s="18" t="s">
        <v>214</v>
      </c>
      <c r="F336" s="18" t="s">
        <v>214</v>
      </c>
      <c r="G336" s="18" t="s">
        <v>214</v>
      </c>
      <c r="H336" s="18" t="s">
        <v>214</v>
      </c>
      <c r="I336" s="18" t="s">
        <v>214</v>
      </c>
    </row>
    <row r="337" spans="1:9" x14ac:dyDescent="0.35">
      <c r="A337" s="14" t="s">
        <v>203</v>
      </c>
      <c r="B337" s="18" t="s">
        <v>214</v>
      </c>
      <c r="C337" s="18" t="s">
        <v>214</v>
      </c>
      <c r="D337" s="18" t="s">
        <v>214</v>
      </c>
      <c r="E337" s="18" t="s">
        <v>214</v>
      </c>
      <c r="F337" s="18" t="s">
        <v>214</v>
      </c>
      <c r="G337" s="18" t="s">
        <v>214</v>
      </c>
      <c r="H337" s="18" t="s">
        <v>214</v>
      </c>
      <c r="I337" s="18" t="s">
        <v>214</v>
      </c>
    </row>
    <row r="338" spans="1:9" x14ac:dyDescent="0.35">
      <c r="A338" s="14" t="s">
        <v>204</v>
      </c>
      <c r="B338" s="18" t="s">
        <v>214</v>
      </c>
      <c r="C338" s="18" t="s">
        <v>214</v>
      </c>
      <c r="D338" s="18" t="s">
        <v>214</v>
      </c>
      <c r="E338" s="18" t="s">
        <v>214</v>
      </c>
      <c r="F338" s="18" t="s">
        <v>214</v>
      </c>
      <c r="G338" s="18" t="s">
        <v>214</v>
      </c>
      <c r="H338" s="18" t="s">
        <v>214</v>
      </c>
      <c r="I338" s="18" t="s">
        <v>214</v>
      </c>
    </row>
    <row r="340" spans="1:9" x14ac:dyDescent="0.35">
      <c r="C340" s="187"/>
      <c r="D340" s="187"/>
      <c r="E340" s="187"/>
      <c r="F340" s="187"/>
      <c r="G340" s="170"/>
      <c r="H340" s="170"/>
      <c r="I340" s="170"/>
    </row>
    <row r="341" spans="1:9" ht="29" x14ac:dyDescent="0.35">
      <c r="A341" s="12" t="s">
        <v>567</v>
      </c>
      <c r="B341" s="13" t="s">
        <v>208</v>
      </c>
      <c r="C341" s="13" t="s">
        <v>458</v>
      </c>
      <c r="D341" s="13" t="s">
        <v>466</v>
      </c>
      <c r="E341" s="13" t="s">
        <v>467</v>
      </c>
      <c r="F341" s="13" t="s">
        <v>468</v>
      </c>
      <c r="G341" s="13" t="s">
        <v>634</v>
      </c>
      <c r="H341" s="13" t="s">
        <v>641</v>
      </c>
      <c r="I341" s="13" t="s">
        <v>647</v>
      </c>
    </row>
    <row r="342" spans="1:9" x14ac:dyDescent="0.35">
      <c r="A342" s="14" t="s">
        <v>209</v>
      </c>
      <c r="B342" s="15">
        <v>0</v>
      </c>
      <c r="C342" s="15">
        <v>0</v>
      </c>
      <c r="D342" s="15">
        <v>0</v>
      </c>
      <c r="E342" s="15">
        <v>0</v>
      </c>
      <c r="F342" s="15">
        <v>0</v>
      </c>
      <c r="G342" s="15">
        <v>0</v>
      </c>
      <c r="H342" s="15">
        <v>0</v>
      </c>
      <c r="I342" s="15">
        <v>0</v>
      </c>
    </row>
    <row r="343" spans="1:9" x14ac:dyDescent="0.35">
      <c r="A343" s="16" t="s">
        <v>336</v>
      </c>
      <c r="B343" s="17" t="s">
        <v>214</v>
      </c>
      <c r="C343" s="168" t="s">
        <v>214</v>
      </c>
      <c r="D343" s="168" t="s">
        <v>214</v>
      </c>
      <c r="E343" s="168" t="s">
        <v>214</v>
      </c>
      <c r="F343" s="168" t="s">
        <v>214</v>
      </c>
      <c r="G343" s="168" t="s">
        <v>214</v>
      </c>
      <c r="H343" s="168" t="s">
        <v>214</v>
      </c>
      <c r="I343" s="168" t="s">
        <v>214</v>
      </c>
    </row>
    <row r="344" spans="1:9" x14ac:dyDescent="0.35">
      <c r="A344" s="16" t="s">
        <v>194</v>
      </c>
      <c r="B344" s="17" t="s">
        <v>214</v>
      </c>
      <c r="C344" s="168" t="s">
        <v>214</v>
      </c>
      <c r="D344" s="168" t="s">
        <v>214</v>
      </c>
      <c r="E344" s="168" t="s">
        <v>214</v>
      </c>
      <c r="F344" s="168" t="s">
        <v>214</v>
      </c>
      <c r="G344" s="168" t="s">
        <v>214</v>
      </c>
      <c r="H344" s="168" t="s">
        <v>214</v>
      </c>
      <c r="I344" s="168" t="s">
        <v>214</v>
      </c>
    </row>
    <row r="345" spans="1:9" x14ac:dyDescent="0.35">
      <c r="A345" s="16" t="s">
        <v>195</v>
      </c>
      <c r="B345" s="17" t="s">
        <v>214</v>
      </c>
      <c r="C345" s="168" t="s">
        <v>214</v>
      </c>
      <c r="D345" s="168" t="s">
        <v>214</v>
      </c>
      <c r="E345" s="168" t="s">
        <v>214</v>
      </c>
      <c r="F345" s="168" t="s">
        <v>214</v>
      </c>
      <c r="G345" s="168" t="s">
        <v>214</v>
      </c>
      <c r="H345" s="168" t="s">
        <v>214</v>
      </c>
      <c r="I345" s="168" t="s">
        <v>214</v>
      </c>
    </row>
    <row r="346" spans="1:9" x14ac:dyDescent="0.35">
      <c r="A346" s="14" t="s">
        <v>210</v>
      </c>
      <c r="B346" s="18" t="s">
        <v>214</v>
      </c>
      <c r="C346" s="18" t="s">
        <v>214</v>
      </c>
      <c r="D346" s="18" t="s">
        <v>214</v>
      </c>
      <c r="E346" s="18" t="s">
        <v>214</v>
      </c>
      <c r="F346" s="18" t="s">
        <v>214</v>
      </c>
      <c r="G346" s="18" t="s">
        <v>214</v>
      </c>
      <c r="H346" s="18" t="s">
        <v>214</v>
      </c>
      <c r="I346" s="18" t="s">
        <v>214</v>
      </c>
    </row>
    <row r="347" spans="1:9" x14ac:dyDescent="0.35">
      <c r="A347" s="14" t="s">
        <v>197</v>
      </c>
      <c r="B347" s="18" t="s">
        <v>214</v>
      </c>
      <c r="C347" s="18" t="s">
        <v>214</v>
      </c>
      <c r="D347" s="18" t="s">
        <v>214</v>
      </c>
      <c r="E347" s="18" t="s">
        <v>214</v>
      </c>
      <c r="F347" s="18" t="s">
        <v>214</v>
      </c>
      <c r="G347" s="18" t="s">
        <v>214</v>
      </c>
      <c r="H347" s="18" t="s">
        <v>214</v>
      </c>
      <c r="I347" s="18" t="s">
        <v>214</v>
      </c>
    </row>
    <row r="348" spans="1:9" x14ac:dyDescent="0.35">
      <c r="A348" s="14" t="s">
        <v>198</v>
      </c>
      <c r="B348" s="18" t="s">
        <v>214</v>
      </c>
      <c r="C348" s="18" t="s">
        <v>214</v>
      </c>
      <c r="D348" s="18" t="s">
        <v>214</v>
      </c>
      <c r="E348" s="18" t="s">
        <v>214</v>
      </c>
      <c r="F348" s="18" t="s">
        <v>214</v>
      </c>
      <c r="G348" s="18" t="s">
        <v>214</v>
      </c>
      <c r="H348" s="18" t="s">
        <v>214</v>
      </c>
      <c r="I348" s="18" t="s">
        <v>214</v>
      </c>
    </row>
    <row r="349" spans="1:9" x14ac:dyDescent="0.35">
      <c r="A349" s="14" t="s">
        <v>199</v>
      </c>
      <c r="B349" s="18" t="s">
        <v>214</v>
      </c>
      <c r="C349" s="18" t="s">
        <v>214</v>
      </c>
      <c r="D349" s="18" t="s">
        <v>214</v>
      </c>
      <c r="E349" s="18" t="s">
        <v>214</v>
      </c>
      <c r="F349" s="18" t="s">
        <v>214</v>
      </c>
      <c r="G349" s="18" t="s">
        <v>214</v>
      </c>
      <c r="H349" s="18" t="s">
        <v>214</v>
      </c>
      <c r="I349" s="18" t="s">
        <v>214</v>
      </c>
    </row>
    <row r="350" spans="1:9" x14ac:dyDescent="0.35">
      <c r="A350" s="14" t="s">
        <v>200</v>
      </c>
      <c r="B350" s="18" t="s">
        <v>214</v>
      </c>
      <c r="C350" s="18" t="s">
        <v>214</v>
      </c>
      <c r="D350" s="18" t="s">
        <v>214</v>
      </c>
      <c r="E350" s="18" t="s">
        <v>214</v>
      </c>
      <c r="F350" s="18" t="s">
        <v>214</v>
      </c>
      <c r="G350" s="18" t="s">
        <v>214</v>
      </c>
      <c r="H350" s="18" t="s">
        <v>214</v>
      </c>
      <c r="I350" s="18" t="s">
        <v>214</v>
      </c>
    </row>
    <row r="351" spans="1:9" x14ac:dyDescent="0.35">
      <c r="A351" s="14" t="s">
        <v>201</v>
      </c>
      <c r="B351" s="18" t="s">
        <v>214</v>
      </c>
      <c r="C351" s="18" t="s">
        <v>214</v>
      </c>
      <c r="D351" s="18" t="s">
        <v>214</v>
      </c>
      <c r="E351" s="18" t="s">
        <v>214</v>
      </c>
      <c r="F351" s="18" t="s">
        <v>214</v>
      </c>
      <c r="G351" s="18" t="s">
        <v>214</v>
      </c>
      <c r="H351" s="18" t="s">
        <v>214</v>
      </c>
      <c r="I351" s="18" t="s">
        <v>214</v>
      </c>
    </row>
    <row r="352" spans="1:9" x14ac:dyDescent="0.35">
      <c r="A352" s="14" t="s">
        <v>202</v>
      </c>
      <c r="B352" s="18" t="s">
        <v>214</v>
      </c>
      <c r="C352" s="18" t="s">
        <v>214</v>
      </c>
      <c r="D352" s="18" t="s">
        <v>214</v>
      </c>
      <c r="E352" s="18" t="s">
        <v>214</v>
      </c>
      <c r="F352" s="18" t="s">
        <v>214</v>
      </c>
      <c r="G352" s="18" t="s">
        <v>214</v>
      </c>
      <c r="H352" s="18" t="s">
        <v>214</v>
      </c>
      <c r="I352" s="18" t="s">
        <v>214</v>
      </c>
    </row>
    <row r="353" spans="1:9" x14ac:dyDescent="0.35">
      <c r="A353" s="14" t="s">
        <v>211</v>
      </c>
      <c r="B353" s="18" t="s">
        <v>214</v>
      </c>
      <c r="C353" s="18" t="s">
        <v>214</v>
      </c>
      <c r="D353" s="18" t="s">
        <v>214</v>
      </c>
      <c r="E353" s="18" t="s">
        <v>214</v>
      </c>
      <c r="F353" s="18" t="s">
        <v>214</v>
      </c>
      <c r="G353" s="18" t="s">
        <v>214</v>
      </c>
      <c r="H353" s="18" t="s">
        <v>214</v>
      </c>
      <c r="I353" s="18" t="s">
        <v>214</v>
      </c>
    </row>
    <row r="354" spans="1:9" x14ac:dyDescent="0.35">
      <c r="A354" s="14" t="s">
        <v>212</v>
      </c>
      <c r="B354" s="18" t="s">
        <v>214</v>
      </c>
      <c r="C354" s="18" t="s">
        <v>214</v>
      </c>
      <c r="D354" s="18" t="s">
        <v>214</v>
      </c>
      <c r="E354" s="18" t="s">
        <v>214</v>
      </c>
      <c r="F354" s="18" t="s">
        <v>214</v>
      </c>
      <c r="G354" s="18" t="s">
        <v>214</v>
      </c>
      <c r="H354" s="18" t="s">
        <v>214</v>
      </c>
      <c r="I354" s="18" t="s">
        <v>214</v>
      </c>
    </row>
    <row r="355" spans="1:9" x14ac:dyDescent="0.35">
      <c r="A355" s="14" t="s">
        <v>203</v>
      </c>
      <c r="B355" s="18" t="s">
        <v>214</v>
      </c>
      <c r="C355" s="18" t="s">
        <v>214</v>
      </c>
      <c r="D355" s="18" t="s">
        <v>214</v>
      </c>
      <c r="E355" s="18" t="s">
        <v>214</v>
      </c>
      <c r="F355" s="18" t="s">
        <v>214</v>
      </c>
      <c r="G355" s="18" t="s">
        <v>214</v>
      </c>
      <c r="H355" s="18" t="s">
        <v>214</v>
      </c>
      <c r="I355" s="18" t="s">
        <v>214</v>
      </c>
    </row>
    <row r="356" spans="1:9" x14ac:dyDescent="0.35">
      <c r="A356" s="14" t="s">
        <v>204</v>
      </c>
      <c r="B356" s="18" t="s">
        <v>214</v>
      </c>
      <c r="C356" s="18" t="s">
        <v>214</v>
      </c>
      <c r="D356" s="18" t="s">
        <v>214</v>
      </c>
      <c r="E356" s="18" t="s">
        <v>214</v>
      </c>
      <c r="F356" s="18" t="s">
        <v>214</v>
      </c>
      <c r="G356" s="18" t="s">
        <v>214</v>
      </c>
      <c r="H356" s="18" t="s">
        <v>214</v>
      </c>
      <c r="I356" s="18" t="s">
        <v>214</v>
      </c>
    </row>
    <row r="358" spans="1:9" x14ac:dyDescent="0.35">
      <c r="C358" s="187"/>
      <c r="D358" s="187"/>
      <c r="E358" s="187"/>
      <c r="F358" s="187"/>
      <c r="G358" s="170"/>
      <c r="H358" s="170"/>
      <c r="I358" s="170"/>
    </row>
    <row r="359" spans="1:9" ht="29" x14ac:dyDescent="0.35">
      <c r="A359" s="12" t="s">
        <v>568</v>
      </c>
      <c r="B359" s="13" t="s">
        <v>208</v>
      </c>
      <c r="C359" s="13" t="s">
        <v>458</v>
      </c>
      <c r="D359" s="13" t="s">
        <v>466</v>
      </c>
      <c r="E359" s="13" t="s">
        <v>467</v>
      </c>
      <c r="F359" s="13" t="s">
        <v>468</v>
      </c>
      <c r="G359" s="13" t="s">
        <v>634</v>
      </c>
      <c r="H359" s="13" t="s">
        <v>641</v>
      </c>
      <c r="I359" s="13" t="s">
        <v>647</v>
      </c>
    </row>
    <row r="360" spans="1:9" x14ac:dyDescent="0.35">
      <c r="A360" s="14" t="s">
        <v>209</v>
      </c>
      <c r="B360" s="15">
        <v>0</v>
      </c>
      <c r="C360" s="15">
        <v>0</v>
      </c>
      <c r="D360" s="15">
        <v>0</v>
      </c>
      <c r="E360" s="15">
        <v>0</v>
      </c>
      <c r="F360" s="15">
        <v>0</v>
      </c>
      <c r="G360" s="15">
        <v>0</v>
      </c>
      <c r="H360" s="15">
        <v>0</v>
      </c>
      <c r="I360" s="15">
        <v>0</v>
      </c>
    </row>
    <row r="361" spans="1:9" x14ac:dyDescent="0.35">
      <c r="A361" s="16" t="s">
        <v>336</v>
      </c>
      <c r="B361" s="17" t="s">
        <v>214</v>
      </c>
      <c r="C361" s="168" t="s">
        <v>214</v>
      </c>
      <c r="D361" s="168" t="s">
        <v>214</v>
      </c>
      <c r="E361" s="168" t="s">
        <v>214</v>
      </c>
      <c r="F361" s="168" t="s">
        <v>214</v>
      </c>
      <c r="G361" s="168" t="s">
        <v>214</v>
      </c>
      <c r="H361" s="168" t="s">
        <v>214</v>
      </c>
      <c r="I361" s="168" t="s">
        <v>214</v>
      </c>
    </row>
    <row r="362" spans="1:9" x14ac:dyDescent="0.35">
      <c r="A362" s="16" t="s">
        <v>194</v>
      </c>
      <c r="B362" s="17" t="s">
        <v>214</v>
      </c>
      <c r="C362" s="168" t="s">
        <v>214</v>
      </c>
      <c r="D362" s="168" t="s">
        <v>214</v>
      </c>
      <c r="E362" s="168" t="s">
        <v>214</v>
      </c>
      <c r="F362" s="168" t="s">
        <v>214</v>
      </c>
      <c r="G362" s="168" t="s">
        <v>214</v>
      </c>
      <c r="H362" s="168" t="s">
        <v>214</v>
      </c>
      <c r="I362" s="168" t="s">
        <v>214</v>
      </c>
    </row>
    <row r="363" spans="1:9" x14ac:dyDescent="0.35">
      <c r="A363" s="16" t="s">
        <v>195</v>
      </c>
      <c r="B363" s="17" t="s">
        <v>214</v>
      </c>
      <c r="C363" s="168" t="s">
        <v>214</v>
      </c>
      <c r="D363" s="168" t="s">
        <v>214</v>
      </c>
      <c r="E363" s="168" t="s">
        <v>214</v>
      </c>
      <c r="F363" s="168" t="s">
        <v>214</v>
      </c>
      <c r="G363" s="168" t="s">
        <v>214</v>
      </c>
      <c r="H363" s="168" t="s">
        <v>214</v>
      </c>
      <c r="I363" s="168" t="s">
        <v>214</v>
      </c>
    </row>
    <row r="364" spans="1:9" x14ac:dyDescent="0.35">
      <c r="A364" s="14" t="s">
        <v>210</v>
      </c>
      <c r="B364" s="18" t="s">
        <v>214</v>
      </c>
      <c r="C364" s="18" t="s">
        <v>214</v>
      </c>
      <c r="D364" s="18" t="s">
        <v>214</v>
      </c>
      <c r="E364" s="18" t="s">
        <v>214</v>
      </c>
      <c r="F364" s="18" t="s">
        <v>214</v>
      </c>
      <c r="G364" s="18" t="s">
        <v>214</v>
      </c>
      <c r="H364" s="18" t="s">
        <v>214</v>
      </c>
      <c r="I364" s="18" t="s">
        <v>214</v>
      </c>
    </row>
    <row r="365" spans="1:9" x14ac:dyDescent="0.35">
      <c r="A365" s="14" t="s">
        <v>197</v>
      </c>
      <c r="B365" s="18" t="s">
        <v>214</v>
      </c>
      <c r="C365" s="18" t="s">
        <v>214</v>
      </c>
      <c r="D365" s="18" t="s">
        <v>214</v>
      </c>
      <c r="E365" s="18" t="s">
        <v>214</v>
      </c>
      <c r="F365" s="18" t="s">
        <v>214</v>
      </c>
      <c r="G365" s="18" t="s">
        <v>214</v>
      </c>
      <c r="H365" s="18" t="s">
        <v>214</v>
      </c>
      <c r="I365" s="18" t="s">
        <v>214</v>
      </c>
    </row>
    <row r="366" spans="1:9" x14ac:dyDescent="0.35">
      <c r="A366" s="14" t="s">
        <v>198</v>
      </c>
      <c r="B366" s="18" t="s">
        <v>214</v>
      </c>
      <c r="C366" s="18" t="s">
        <v>214</v>
      </c>
      <c r="D366" s="18" t="s">
        <v>214</v>
      </c>
      <c r="E366" s="18" t="s">
        <v>214</v>
      </c>
      <c r="F366" s="18" t="s">
        <v>214</v>
      </c>
      <c r="G366" s="18" t="s">
        <v>214</v>
      </c>
      <c r="H366" s="18" t="s">
        <v>214</v>
      </c>
      <c r="I366" s="18" t="s">
        <v>214</v>
      </c>
    </row>
    <row r="367" spans="1:9" x14ac:dyDescent="0.35">
      <c r="A367" s="14" t="s">
        <v>199</v>
      </c>
      <c r="B367" s="18" t="s">
        <v>214</v>
      </c>
      <c r="C367" s="18" t="s">
        <v>214</v>
      </c>
      <c r="D367" s="18" t="s">
        <v>214</v>
      </c>
      <c r="E367" s="18" t="s">
        <v>214</v>
      </c>
      <c r="F367" s="18" t="s">
        <v>214</v>
      </c>
      <c r="G367" s="18" t="s">
        <v>214</v>
      </c>
      <c r="H367" s="18" t="s">
        <v>214</v>
      </c>
      <c r="I367" s="18" t="s">
        <v>214</v>
      </c>
    </row>
    <row r="368" spans="1:9" x14ac:dyDescent="0.35">
      <c r="A368" s="14" t="s">
        <v>200</v>
      </c>
      <c r="B368" s="18" t="s">
        <v>214</v>
      </c>
      <c r="C368" s="18" t="s">
        <v>214</v>
      </c>
      <c r="D368" s="18" t="s">
        <v>214</v>
      </c>
      <c r="E368" s="18" t="s">
        <v>214</v>
      </c>
      <c r="F368" s="18" t="s">
        <v>214</v>
      </c>
      <c r="G368" s="18" t="s">
        <v>214</v>
      </c>
      <c r="H368" s="18" t="s">
        <v>214</v>
      </c>
      <c r="I368" s="18" t="s">
        <v>214</v>
      </c>
    </row>
    <row r="369" spans="1:9" x14ac:dyDescent="0.35">
      <c r="A369" s="14" t="s">
        <v>201</v>
      </c>
      <c r="B369" s="18" t="s">
        <v>214</v>
      </c>
      <c r="C369" s="18" t="s">
        <v>214</v>
      </c>
      <c r="D369" s="18" t="s">
        <v>214</v>
      </c>
      <c r="E369" s="18" t="s">
        <v>214</v>
      </c>
      <c r="F369" s="18" t="s">
        <v>214</v>
      </c>
      <c r="G369" s="18" t="s">
        <v>214</v>
      </c>
      <c r="H369" s="18" t="s">
        <v>214</v>
      </c>
      <c r="I369" s="18" t="s">
        <v>214</v>
      </c>
    </row>
    <row r="370" spans="1:9" x14ac:dyDescent="0.35">
      <c r="A370" s="14" t="s">
        <v>202</v>
      </c>
      <c r="B370" s="18" t="s">
        <v>214</v>
      </c>
      <c r="C370" s="18" t="s">
        <v>214</v>
      </c>
      <c r="D370" s="18" t="s">
        <v>214</v>
      </c>
      <c r="E370" s="18" t="s">
        <v>214</v>
      </c>
      <c r="F370" s="18" t="s">
        <v>214</v>
      </c>
      <c r="G370" s="18" t="s">
        <v>214</v>
      </c>
      <c r="H370" s="18" t="s">
        <v>214</v>
      </c>
      <c r="I370" s="18" t="s">
        <v>214</v>
      </c>
    </row>
    <row r="371" spans="1:9" x14ac:dyDescent="0.35">
      <c r="A371" s="14" t="s">
        <v>211</v>
      </c>
      <c r="B371" s="18" t="s">
        <v>214</v>
      </c>
      <c r="C371" s="18" t="s">
        <v>214</v>
      </c>
      <c r="D371" s="18" t="s">
        <v>214</v>
      </c>
      <c r="E371" s="18" t="s">
        <v>214</v>
      </c>
      <c r="F371" s="18" t="s">
        <v>214</v>
      </c>
      <c r="G371" s="18" t="s">
        <v>214</v>
      </c>
      <c r="H371" s="18" t="s">
        <v>214</v>
      </c>
      <c r="I371" s="18" t="s">
        <v>214</v>
      </c>
    </row>
    <row r="372" spans="1:9" x14ac:dyDescent="0.35">
      <c r="A372" s="14" t="s">
        <v>212</v>
      </c>
      <c r="B372" s="18" t="s">
        <v>214</v>
      </c>
      <c r="C372" s="18" t="s">
        <v>214</v>
      </c>
      <c r="D372" s="18" t="s">
        <v>214</v>
      </c>
      <c r="E372" s="18" t="s">
        <v>214</v>
      </c>
      <c r="F372" s="18" t="s">
        <v>214</v>
      </c>
      <c r="G372" s="18" t="s">
        <v>214</v>
      </c>
      <c r="H372" s="18" t="s">
        <v>214</v>
      </c>
      <c r="I372" s="18" t="s">
        <v>214</v>
      </c>
    </row>
    <row r="373" spans="1:9" x14ac:dyDescent="0.35">
      <c r="A373" s="14" t="s">
        <v>203</v>
      </c>
      <c r="B373" s="18" t="s">
        <v>214</v>
      </c>
      <c r="C373" s="18" t="s">
        <v>214</v>
      </c>
      <c r="D373" s="18" t="s">
        <v>214</v>
      </c>
      <c r="E373" s="18" t="s">
        <v>214</v>
      </c>
      <c r="F373" s="18" t="s">
        <v>214</v>
      </c>
      <c r="G373" s="18" t="s">
        <v>214</v>
      </c>
      <c r="H373" s="18" t="s">
        <v>214</v>
      </c>
      <c r="I373" s="18" t="s">
        <v>214</v>
      </c>
    </row>
    <row r="374" spans="1:9" x14ac:dyDescent="0.35">
      <c r="A374" s="14" t="s">
        <v>204</v>
      </c>
      <c r="B374" s="18" t="s">
        <v>214</v>
      </c>
      <c r="C374" s="18" t="s">
        <v>214</v>
      </c>
      <c r="D374" s="18" t="s">
        <v>214</v>
      </c>
      <c r="E374" s="18" t="s">
        <v>214</v>
      </c>
      <c r="F374" s="18" t="s">
        <v>214</v>
      </c>
      <c r="G374" s="18" t="s">
        <v>214</v>
      </c>
      <c r="H374" s="18" t="s">
        <v>214</v>
      </c>
      <c r="I374" s="18" t="s">
        <v>214</v>
      </c>
    </row>
    <row r="376" spans="1:9" x14ac:dyDescent="0.35">
      <c r="C376" s="187"/>
      <c r="D376" s="187"/>
      <c r="E376" s="187"/>
      <c r="F376" s="187"/>
      <c r="G376" s="170"/>
      <c r="H376" s="170"/>
      <c r="I376" s="170"/>
    </row>
    <row r="377" spans="1:9" ht="29" x14ac:dyDescent="0.35">
      <c r="A377" s="12" t="s">
        <v>514</v>
      </c>
      <c r="B377" s="13" t="s">
        <v>208</v>
      </c>
      <c r="C377" s="13" t="s">
        <v>458</v>
      </c>
      <c r="D377" s="13" t="s">
        <v>466</v>
      </c>
      <c r="E377" s="13" t="s">
        <v>467</v>
      </c>
      <c r="F377" s="13" t="s">
        <v>468</v>
      </c>
      <c r="G377" s="13" t="s">
        <v>634</v>
      </c>
      <c r="H377" s="13" t="s">
        <v>641</v>
      </c>
      <c r="I377" s="13" t="s">
        <v>647</v>
      </c>
    </row>
    <row r="378" spans="1:9" x14ac:dyDescent="0.35">
      <c r="A378" s="14" t="s">
        <v>209</v>
      </c>
      <c r="B378" s="15">
        <v>101</v>
      </c>
      <c r="C378" s="15">
        <v>0</v>
      </c>
      <c r="D378" s="15">
        <v>0</v>
      </c>
      <c r="E378" s="15">
        <v>47</v>
      </c>
      <c r="F378" s="15">
        <v>101</v>
      </c>
      <c r="G378" s="15">
        <v>150</v>
      </c>
      <c r="H378" s="15">
        <v>191</v>
      </c>
      <c r="I378" s="15">
        <v>202</v>
      </c>
    </row>
    <row r="379" spans="1:9" x14ac:dyDescent="0.35">
      <c r="A379" s="16" t="s">
        <v>336</v>
      </c>
      <c r="B379" s="17">
        <v>0.2568301460879267</v>
      </c>
      <c r="C379" s="168" t="s">
        <v>214</v>
      </c>
      <c r="D379" s="168" t="s">
        <v>214</v>
      </c>
      <c r="E379" s="17">
        <v>0.24159600861706321</v>
      </c>
      <c r="F379" s="17">
        <v>0.25683014608792681</v>
      </c>
      <c r="G379" s="17">
        <v>0.25046631150393261</v>
      </c>
      <c r="H379" s="17">
        <v>0.25597068742207929</v>
      </c>
      <c r="I379" s="17">
        <v>0.28404732539020427</v>
      </c>
    </row>
    <row r="380" spans="1:9" x14ac:dyDescent="0.35">
      <c r="A380" s="16" t="s">
        <v>194</v>
      </c>
      <c r="B380" s="17">
        <v>0.42177622242404478</v>
      </c>
      <c r="C380" s="168" t="s">
        <v>214</v>
      </c>
      <c r="D380" s="168" t="s">
        <v>214</v>
      </c>
      <c r="E380" s="17">
        <v>0.43401425729148979</v>
      </c>
      <c r="F380" s="17">
        <v>0.42177622242404489</v>
      </c>
      <c r="G380" s="17">
        <v>0.45508568298070939</v>
      </c>
      <c r="H380" s="17">
        <v>0.44781737314742232</v>
      </c>
      <c r="I380" s="152">
        <v>0.43555429747828461</v>
      </c>
    </row>
    <row r="381" spans="1:9" x14ac:dyDescent="0.35">
      <c r="A381" s="16" t="s">
        <v>195</v>
      </c>
      <c r="B381" s="17">
        <v>0.32139363148802852</v>
      </c>
      <c r="C381" s="168" t="s">
        <v>214</v>
      </c>
      <c r="D381" s="168" t="s">
        <v>214</v>
      </c>
      <c r="E381" s="17">
        <v>0.32438973409144689</v>
      </c>
      <c r="F381" s="17">
        <v>0.32139363148802852</v>
      </c>
      <c r="G381" s="17">
        <v>0.29444800551535799</v>
      </c>
      <c r="H381" s="17">
        <v>0.29621193943049817</v>
      </c>
      <c r="I381" s="17">
        <v>0.28039837713151111</v>
      </c>
    </row>
    <row r="382" spans="1:9" x14ac:dyDescent="0.35">
      <c r="A382" s="14" t="s">
        <v>210</v>
      </c>
      <c r="B382" s="18">
        <v>0.1146643643214677</v>
      </c>
      <c r="C382" s="18" t="s">
        <v>214</v>
      </c>
      <c r="D382" s="18" t="s">
        <v>214</v>
      </c>
      <c r="E382" s="18">
        <v>6.4343158086057284E-2</v>
      </c>
      <c r="F382" s="18">
        <v>0.1146643643214677</v>
      </c>
      <c r="G382" s="18">
        <v>0.10302277407053489</v>
      </c>
      <c r="H382" s="18">
        <v>0.12871413491465941</v>
      </c>
      <c r="I382" s="18">
        <v>0.15010559787823841</v>
      </c>
    </row>
    <row r="383" spans="1:9" x14ac:dyDescent="0.35">
      <c r="A383" s="14" t="s">
        <v>197</v>
      </c>
      <c r="B383" s="18">
        <v>0.14216578176645911</v>
      </c>
      <c r="C383" s="18" t="s">
        <v>214</v>
      </c>
      <c r="D383" s="18" t="s">
        <v>214</v>
      </c>
      <c r="E383" s="18">
        <v>0.1772528505310059</v>
      </c>
      <c r="F383" s="18">
        <v>0.14216578176645911</v>
      </c>
      <c r="G383" s="18">
        <v>0.14744353743339769</v>
      </c>
      <c r="H383" s="25">
        <v>0.12725655250741999</v>
      </c>
      <c r="I383" s="18">
        <v>0.1339417275119659</v>
      </c>
    </row>
    <row r="384" spans="1:9" x14ac:dyDescent="0.35">
      <c r="A384" s="14" t="s">
        <v>198</v>
      </c>
      <c r="B384" s="18">
        <v>0.23648487062863111</v>
      </c>
      <c r="C384" s="18" t="s">
        <v>214</v>
      </c>
      <c r="D384" s="18" t="s">
        <v>214</v>
      </c>
      <c r="E384" s="18">
        <v>0.23692956556757941</v>
      </c>
      <c r="F384" s="18">
        <v>0.23648487062863111</v>
      </c>
      <c r="G384" s="18">
        <v>0.24093816178215671</v>
      </c>
      <c r="H384" s="25">
        <v>0.24898998327574329</v>
      </c>
      <c r="I384" s="25">
        <v>0.2443471977896334</v>
      </c>
    </row>
    <row r="385" spans="1:9" x14ac:dyDescent="0.35">
      <c r="A385" s="14" t="s">
        <v>199</v>
      </c>
      <c r="B385" s="18">
        <v>0.1852913517954137</v>
      </c>
      <c r="C385" s="18" t="s">
        <v>214</v>
      </c>
      <c r="D385" s="18" t="s">
        <v>214</v>
      </c>
      <c r="E385" s="18">
        <v>0.1970846917239103</v>
      </c>
      <c r="F385" s="18">
        <v>0.18529135179541381</v>
      </c>
      <c r="G385" s="18">
        <v>0.21414752119855271</v>
      </c>
      <c r="H385" s="18">
        <v>0.198827389871679</v>
      </c>
      <c r="I385" s="25">
        <v>0.19120709968865121</v>
      </c>
    </row>
    <row r="386" spans="1:9" x14ac:dyDescent="0.35">
      <c r="A386" s="14" t="s">
        <v>200</v>
      </c>
      <c r="B386" s="18">
        <v>0.14821746445338321</v>
      </c>
      <c r="C386" s="18" t="s">
        <v>214</v>
      </c>
      <c r="D386" s="18" t="s">
        <v>214</v>
      </c>
      <c r="E386" s="18">
        <v>0.12351197522323749</v>
      </c>
      <c r="F386" s="18">
        <v>0.1482174644533833</v>
      </c>
      <c r="G386" s="18">
        <v>0.1555038161833939</v>
      </c>
      <c r="H386" s="18">
        <v>0.1440371751855411</v>
      </c>
      <c r="I386" s="18">
        <v>0.1363476105868085</v>
      </c>
    </row>
    <row r="387" spans="1:9" x14ac:dyDescent="0.35">
      <c r="A387" s="14" t="s">
        <v>201</v>
      </c>
      <c r="B387" s="18">
        <v>0.1039738484194833</v>
      </c>
      <c r="C387" s="18" t="s">
        <v>214</v>
      </c>
      <c r="D387" s="18" t="s">
        <v>214</v>
      </c>
      <c r="E387" s="18">
        <v>0.13693253623237731</v>
      </c>
      <c r="F387" s="18">
        <v>0.1039738484194833</v>
      </c>
      <c r="G387" s="18">
        <v>8.0352363944487609E-2</v>
      </c>
      <c r="H387" s="18">
        <v>0.10147286212052591</v>
      </c>
      <c r="I387" s="18">
        <v>9.6055634746488955E-2</v>
      </c>
    </row>
    <row r="388" spans="1:9" x14ac:dyDescent="0.35">
      <c r="A388" s="14" t="s">
        <v>202</v>
      </c>
      <c r="B388" s="18">
        <v>4.2202460095148921E-2</v>
      </c>
      <c r="C388" s="18" t="s">
        <v>214</v>
      </c>
      <c r="D388" s="18" t="s">
        <v>214</v>
      </c>
      <c r="E388" s="18">
        <v>4.6884156100814707E-2</v>
      </c>
      <c r="F388" s="18">
        <v>4.2202460095148928E-2</v>
      </c>
      <c r="G388" s="18">
        <v>4.0085991672617463E-2</v>
      </c>
      <c r="H388" s="18">
        <v>3.1507347155193363E-2</v>
      </c>
      <c r="I388" s="18">
        <v>2.9825296802758559E-2</v>
      </c>
    </row>
    <row r="389" spans="1:9" x14ac:dyDescent="0.35">
      <c r="A389" s="14" t="s">
        <v>211</v>
      </c>
      <c r="B389" s="18">
        <v>1.906614937754306E-2</v>
      </c>
      <c r="C389" s="18" t="s">
        <v>214</v>
      </c>
      <c r="D389" s="18" t="s">
        <v>214</v>
      </c>
      <c r="E389" s="18">
        <v>1.7061066535017381E-2</v>
      </c>
      <c r="F389" s="18">
        <v>1.906614937754306E-2</v>
      </c>
      <c r="G389" s="18">
        <v>1.3068031067716311E-2</v>
      </c>
      <c r="H389" s="18">
        <v>1.0271393429606651E-2</v>
      </c>
      <c r="I389" s="18">
        <v>9.7230451077639259E-3</v>
      </c>
    </row>
    <row r="390" spans="1:9" x14ac:dyDescent="0.35">
      <c r="A390" s="14" t="s">
        <v>212</v>
      </c>
      <c r="B390" s="18">
        <v>0</v>
      </c>
      <c r="C390" s="18" t="s">
        <v>214</v>
      </c>
      <c r="D390" s="18" t="s">
        <v>214</v>
      </c>
      <c r="E390" s="18">
        <v>0</v>
      </c>
      <c r="F390" s="18">
        <v>0</v>
      </c>
      <c r="G390" s="18">
        <v>0</v>
      </c>
      <c r="H390" s="18">
        <v>4.6490815277354233E-3</v>
      </c>
      <c r="I390" s="18">
        <v>4.4008857915565844E-3</v>
      </c>
    </row>
    <row r="391" spans="1:9" x14ac:dyDescent="0.35">
      <c r="A391" s="14" t="s">
        <v>203</v>
      </c>
      <c r="B391" s="18">
        <v>0</v>
      </c>
      <c r="C391" s="18" t="s">
        <v>214</v>
      </c>
      <c r="D391" s="18" t="s">
        <v>214</v>
      </c>
      <c r="E391" s="18">
        <v>0</v>
      </c>
      <c r="F391" s="18">
        <v>0</v>
      </c>
      <c r="G391" s="18">
        <v>0</v>
      </c>
      <c r="H391" s="18">
        <v>0</v>
      </c>
      <c r="I391" s="18">
        <v>0</v>
      </c>
    </row>
    <row r="392" spans="1:9" x14ac:dyDescent="0.35">
      <c r="A392" s="14" t="s">
        <v>204</v>
      </c>
      <c r="B392" s="18">
        <v>7.9337091424699236E-3</v>
      </c>
      <c r="C392" s="18" t="s">
        <v>214</v>
      </c>
      <c r="D392" s="18" t="s">
        <v>214</v>
      </c>
      <c r="E392" s="18">
        <v>0</v>
      </c>
      <c r="F392" s="18">
        <v>7.9337091424699253E-3</v>
      </c>
      <c r="G392" s="25">
        <v>5.4378026471427043E-3</v>
      </c>
      <c r="H392" s="18">
        <v>4.2740800118957712E-3</v>
      </c>
      <c r="I392" s="18">
        <v>4.0459040961345234E-3</v>
      </c>
    </row>
    <row r="393" spans="1:9" x14ac:dyDescent="0.35">
      <c r="A393" s="14" t="s">
        <v>213</v>
      </c>
      <c r="B393" s="1">
        <v>-6.4563485400101683</v>
      </c>
      <c r="C393" s="1" t="s">
        <v>214</v>
      </c>
      <c r="D393" s="1" t="s">
        <v>214</v>
      </c>
      <c r="E393" s="1">
        <v>-8.2793725474383795</v>
      </c>
      <c r="F393" s="1">
        <v>-6.4563485400101701</v>
      </c>
      <c r="G393" s="1">
        <v>-4.3981694011425372</v>
      </c>
      <c r="H393" s="1">
        <v>-4.0241252008418833</v>
      </c>
      <c r="I393" s="1">
        <v>0.36489482586932143</v>
      </c>
    </row>
    <row r="395" spans="1:9" x14ac:dyDescent="0.35">
      <c r="C395" s="187"/>
      <c r="D395" s="187"/>
      <c r="E395" s="187"/>
      <c r="F395" s="187"/>
      <c r="G395" s="170"/>
      <c r="H395" s="170"/>
      <c r="I395" s="170"/>
    </row>
    <row r="396" spans="1:9" ht="29" x14ac:dyDescent="0.35">
      <c r="A396" s="12" t="s">
        <v>515</v>
      </c>
      <c r="B396" s="13" t="s">
        <v>208</v>
      </c>
      <c r="C396" s="13" t="s">
        <v>458</v>
      </c>
      <c r="D396" s="13" t="s">
        <v>466</v>
      </c>
      <c r="E396" s="13" t="s">
        <v>467</v>
      </c>
      <c r="F396" s="13" t="s">
        <v>468</v>
      </c>
      <c r="G396" s="13" t="s">
        <v>634</v>
      </c>
      <c r="H396" s="13" t="s">
        <v>641</v>
      </c>
      <c r="I396" s="13" t="s">
        <v>647</v>
      </c>
    </row>
    <row r="397" spans="1:9" x14ac:dyDescent="0.35">
      <c r="A397" s="14" t="s">
        <v>209</v>
      </c>
      <c r="B397" s="15">
        <v>137</v>
      </c>
      <c r="C397" s="15">
        <v>0</v>
      </c>
      <c r="D397" s="15">
        <v>0</v>
      </c>
      <c r="E397" s="15">
        <v>73</v>
      </c>
      <c r="F397" s="15">
        <v>137</v>
      </c>
      <c r="G397" s="15">
        <v>223</v>
      </c>
      <c r="H397" s="15">
        <v>296</v>
      </c>
      <c r="I397" s="15">
        <v>300</v>
      </c>
    </row>
    <row r="398" spans="1:9" x14ac:dyDescent="0.35">
      <c r="A398" s="16" t="s">
        <v>336</v>
      </c>
      <c r="B398" s="17">
        <v>0.22058316143565679</v>
      </c>
      <c r="C398" s="168" t="s">
        <v>214</v>
      </c>
      <c r="D398" s="168" t="s">
        <v>214</v>
      </c>
      <c r="E398" s="17">
        <v>0.18007095410650689</v>
      </c>
      <c r="F398" s="17">
        <v>0.2205831614356567</v>
      </c>
      <c r="G398" s="17">
        <v>0.2245536773694892</v>
      </c>
      <c r="H398" s="17">
        <v>0.23264533826152431</v>
      </c>
      <c r="I398" s="17">
        <v>0.24195071835952761</v>
      </c>
    </row>
    <row r="399" spans="1:9" x14ac:dyDescent="0.35">
      <c r="A399" s="16" t="s">
        <v>194</v>
      </c>
      <c r="B399" s="17">
        <v>0.48918497331932242</v>
      </c>
      <c r="C399" s="168" t="s">
        <v>214</v>
      </c>
      <c r="D399" s="168" t="s">
        <v>214</v>
      </c>
      <c r="E399" s="17">
        <v>0.45285616118457223</v>
      </c>
      <c r="F399" s="17">
        <v>0.48918497331932242</v>
      </c>
      <c r="G399" s="17">
        <v>0.46992399073856872</v>
      </c>
      <c r="H399" s="17">
        <v>0.48287460484949979</v>
      </c>
      <c r="I399" s="17">
        <v>0.47701899210373511</v>
      </c>
    </row>
    <row r="400" spans="1:9" x14ac:dyDescent="0.35">
      <c r="A400" s="16" t="s">
        <v>195</v>
      </c>
      <c r="B400" s="17">
        <v>0.29023186524502093</v>
      </c>
      <c r="C400" s="168" t="s">
        <v>214</v>
      </c>
      <c r="D400" s="168" t="s">
        <v>214</v>
      </c>
      <c r="E400" s="149">
        <v>0.36707288470892091</v>
      </c>
      <c r="F400" s="17">
        <v>0.29023186524502093</v>
      </c>
      <c r="G400" s="17">
        <v>0.30552233189194222</v>
      </c>
      <c r="H400" s="17">
        <v>0.28448005688897599</v>
      </c>
      <c r="I400" s="17">
        <v>0.28103028953673731</v>
      </c>
    </row>
    <row r="401" spans="1:9" x14ac:dyDescent="0.35">
      <c r="A401" s="14" t="s">
        <v>210</v>
      </c>
      <c r="B401" s="18">
        <v>0.1134987555363655</v>
      </c>
      <c r="C401" s="18" t="s">
        <v>214</v>
      </c>
      <c r="D401" s="18" t="s">
        <v>214</v>
      </c>
      <c r="E401" s="18">
        <v>8.1151346303387273E-2</v>
      </c>
      <c r="F401" s="18">
        <v>0.1134987555363654</v>
      </c>
      <c r="G401" s="18">
        <v>9.4315831233787756E-2</v>
      </c>
      <c r="H401" s="18">
        <v>0.1156589268861901</v>
      </c>
      <c r="I401" s="18">
        <v>0.12202323152977031</v>
      </c>
    </row>
    <row r="402" spans="1:9" x14ac:dyDescent="0.35">
      <c r="A402" s="14" t="s">
        <v>197</v>
      </c>
      <c r="B402" s="18">
        <v>0.1070844058992912</v>
      </c>
      <c r="C402" s="18" t="s">
        <v>214</v>
      </c>
      <c r="D402" s="18" t="s">
        <v>214</v>
      </c>
      <c r="E402" s="18">
        <v>9.8919607803119661E-2</v>
      </c>
      <c r="F402" s="18">
        <v>0.1070844058992912</v>
      </c>
      <c r="G402" s="18">
        <v>0.1302378461357015</v>
      </c>
      <c r="H402" s="18">
        <v>0.11698641137533421</v>
      </c>
      <c r="I402" s="18">
        <v>0.1199274868297573</v>
      </c>
    </row>
    <row r="403" spans="1:9" x14ac:dyDescent="0.35">
      <c r="A403" s="14" t="s">
        <v>198</v>
      </c>
      <c r="B403" s="18">
        <v>0.23731672054421499</v>
      </c>
      <c r="C403" s="18" t="s">
        <v>214</v>
      </c>
      <c r="D403" s="18" t="s">
        <v>214</v>
      </c>
      <c r="E403" s="18">
        <v>0.2143277100857246</v>
      </c>
      <c r="F403" s="18">
        <v>0.23731672054421499</v>
      </c>
      <c r="G403" s="18">
        <v>0.208019268580966</v>
      </c>
      <c r="H403" s="18">
        <v>0.21798888971940389</v>
      </c>
      <c r="I403" s="18">
        <v>0.2153454321669532</v>
      </c>
    </row>
    <row r="404" spans="1:9" x14ac:dyDescent="0.35">
      <c r="A404" s="14" t="s">
        <v>199</v>
      </c>
      <c r="B404" s="18">
        <v>0.25186825277510738</v>
      </c>
      <c r="C404" s="18" t="s">
        <v>214</v>
      </c>
      <c r="D404" s="18" t="s">
        <v>214</v>
      </c>
      <c r="E404" s="18">
        <v>0.2385284510988476</v>
      </c>
      <c r="F404" s="18">
        <v>0.25186825277510733</v>
      </c>
      <c r="G404" s="18">
        <v>0.26190472215760269</v>
      </c>
      <c r="H404" s="18">
        <v>0.2648857151300959</v>
      </c>
      <c r="I404" s="18">
        <v>0.26167355993678182</v>
      </c>
    </row>
    <row r="405" spans="1:9" x14ac:dyDescent="0.35">
      <c r="A405" s="14" t="s">
        <v>200</v>
      </c>
      <c r="B405" s="18">
        <v>0.1382606354132335</v>
      </c>
      <c r="C405" s="18" t="s">
        <v>214</v>
      </c>
      <c r="D405" s="18" t="s">
        <v>214</v>
      </c>
      <c r="E405" s="18">
        <v>0.18164876140494929</v>
      </c>
      <c r="F405" s="18">
        <v>0.1382606354132335</v>
      </c>
      <c r="G405" s="18">
        <v>0.14544898227004391</v>
      </c>
      <c r="H405" s="18">
        <v>0.14002617691218411</v>
      </c>
      <c r="I405" s="18">
        <v>0.13832813966186469</v>
      </c>
    </row>
    <row r="406" spans="1:9" x14ac:dyDescent="0.35">
      <c r="A406" s="14" t="s">
        <v>201</v>
      </c>
      <c r="B406" s="18">
        <v>8.2885432214062457E-2</v>
      </c>
      <c r="C406" s="18" t="s">
        <v>214</v>
      </c>
      <c r="D406" s="18" t="s">
        <v>214</v>
      </c>
      <c r="E406" s="20">
        <v>0.12310334718493381</v>
      </c>
      <c r="F406" s="18">
        <v>8.2885432214062429E-2</v>
      </c>
      <c r="G406" s="18">
        <v>9.1128150602820174E-2</v>
      </c>
      <c r="H406" s="18">
        <v>8.2072476323897067E-2</v>
      </c>
      <c r="I406" s="18">
        <v>8.1077218686381694E-2</v>
      </c>
    </row>
    <row r="407" spans="1:9" x14ac:dyDescent="0.35">
      <c r="A407" s="14" t="s">
        <v>202</v>
      </c>
      <c r="B407" s="18">
        <v>4.8727654063110477E-2</v>
      </c>
      <c r="C407" s="18" t="s">
        <v>214</v>
      </c>
      <c r="D407" s="18" t="s">
        <v>214</v>
      </c>
      <c r="E407" s="18">
        <v>5.4256968215017069E-2</v>
      </c>
      <c r="F407" s="25">
        <v>4.8727654063110457E-2</v>
      </c>
      <c r="G407" s="18">
        <v>3.9425946226512708E-2</v>
      </c>
      <c r="H407" s="18">
        <v>3.3686442058383247E-2</v>
      </c>
      <c r="I407" s="18">
        <v>3.3277941057304493E-2</v>
      </c>
    </row>
    <row r="408" spans="1:9" x14ac:dyDescent="0.35">
      <c r="A408" s="14" t="s">
        <v>211</v>
      </c>
      <c r="B408" s="18">
        <v>9.9520418249019957E-3</v>
      </c>
      <c r="C408" s="18" t="s">
        <v>214</v>
      </c>
      <c r="D408" s="18" t="s">
        <v>214</v>
      </c>
      <c r="E408" s="18">
        <v>8.0638079040206406E-3</v>
      </c>
      <c r="F408" s="18">
        <v>9.9520418249019922E-3</v>
      </c>
      <c r="G408" s="18">
        <v>1.281274587090532E-2</v>
      </c>
      <c r="H408" s="18">
        <v>1.212244467648598E-2</v>
      </c>
      <c r="I408" s="25">
        <v>1.197544100131945E-2</v>
      </c>
    </row>
    <row r="409" spans="1:9" x14ac:dyDescent="0.35">
      <c r="A409" s="14" t="s">
        <v>212</v>
      </c>
      <c r="B409" s="18">
        <v>3.210047026424208E-3</v>
      </c>
      <c r="C409" s="18" t="s">
        <v>214</v>
      </c>
      <c r="D409" s="18" t="s">
        <v>214</v>
      </c>
      <c r="E409" s="18">
        <v>0</v>
      </c>
      <c r="F409" s="25">
        <v>3.2100470264242072E-3</v>
      </c>
      <c r="G409" s="18">
        <v>2.1025319189175449E-3</v>
      </c>
      <c r="H409" s="18">
        <v>5.031704525031145E-3</v>
      </c>
      <c r="I409" s="18">
        <v>4.9706872073801631E-3</v>
      </c>
    </row>
    <row r="410" spans="1:9" x14ac:dyDescent="0.35">
      <c r="A410" s="14" t="s">
        <v>203</v>
      </c>
      <c r="B410" s="18">
        <v>0</v>
      </c>
      <c r="C410" s="18" t="s">
        <v>214</v>
      </c>
      <c r="D410" s="18" t="s">
        <v>214</v>
      </c>
      <c r="E410" s="18">
        <v>0</v>
      </c>
      <c r="F410" s="18">
        <v>0</v>
      </c>
      <c r="G410" s="18">
        <v>3.7705150907544841E-3</v>
      </c>
      <c r="H410" s="18">
        <v>3.2235146292436852E-3</v>
      </c>
      <c r="I410" s="18">
        <v>3.1844244531201312E-3</v>
      </c>
    </row>
    <row r="411" spans="1:9" x14ac:dyDescent="0.35">
      <c r="A411" s="14" t="s">
        <v>204</v>
      </c>
      <c r="B411" s="18">
        <v>7.1960547032883194E-3</v>
      </c>
      <c r="C411" s="18" t="s">
        <v>214</v>
      </c>
      <c r="D411" s="18" t="s">
        <v>214</v>
      </c>
      <c r="E411" s="18">
        <v>0</v>
      </c>
      <c r="F411" s="18">
        <v>7.1960547032883159E-3</v>
      </c>
      <c r="G411" s="18">
        <v>1.0833459911987959E-2</v>
      </c>
      <c r="H411" s="18">
        <v>8.3172977637508277E-3</v>
      </c>
      <c r="I411" s="18">
        <v>8.2164374693667001E-3</v>
      </c>
    </row>
    <row r="412" spans="1:9" x14ac:dyDescent="0.35">
      <c r="A412" s="14" t="s">
        <v>213</v>
      </c>
      <c r="B412" s="1">
        <v>-6.9648703809364214</v>
      </c>
      <c r="C412" s="1" t="s">
        <v>214</v>
      </c>
      <c r="D412" s="1" t="s">
        <v>214</v>
      </c>
      <c r="E412" s="1">
        <v>-18.7001930602414</v>
      </c>
      <c r="F412" s="1">
        <v>-6.964870380936425</v>
      </c>
      <c r="G412" s="1">
        <v>-8.096865452245293</v>
      </c>
      <c r="H412" s="1">
        <v>-5.1834718627451748</v>
      </c>
      <c r="I412" s="1">
        <v>-3.907957117720966</v>
      </c>
    </row>
    <row r="414" spans="1:9" x14ac:dyDescent="0.35">
      <c r="C414" s="187"/>
      <c r="D414" s="187"/>
      <c r="E414" s="187"/>
      <c r="F414" s="187"/>
      <c r="G414" s="170"/>
      <c r="H414" s="170"/>
      <c r="I414" s="170"/>
    </row>
    <row r="415" spans="1:9" ht="29" x14ac:dyDescent="0.35">
      <c r="A415" s="12" t="s">
        <v>516</v>
      </c>
      <c r="B415" s="13" t="s">
        <v>208</v>
      </c>
      <c r="C415" s="13" t="s">
        <v>458</v>
      </c>
      <c r="D415" s="13" t="s">
        <v>466</v>
      </c>
      <c r="E415" s="13" t="s">
        <v>467</v>
      </c>
      <c r="F415" s="13" t="s">
        <v>468</v>
      </c>
      <c r="G415" s="13" t="s">
        <v>634</v>
      </c>
      <c r="H415" s="13" t="s">
        <v>641</v>
      </c>
      <c r="I415" s="13" t="s">
        <v>647</v>
      </c>
    </row>
    <row r="416" spans="1:9" x14ac:dyDescent="0.35">
      <c r="A416" s="14" t="s">
        <v>209</v>
      </c>
      <c r="B416" s="15">
        <v>146</v>
      </c>
      <c r="C416" s="15">
        <v>0</v>
      </c>
      <c r="D416" s="15">
        <v>0</v>
      </c>
      <c r="E416" s="15">
        <v>67</v>
      </c>
      <c r="F416" s="15">
        <v>146</v>
      </c>
      <c r="G416" s="15">
        <v>214</v>
      </c>
      <c r="H416" s="15">
        <v>277</v>
      </c>
      <c r="I416" s="15">
        <v>300</v>
      </c>
    </row>
    <row r="417" spans="1:9" x14ac:dyDescent="0.35">
      <c r="A417" s="16" t="s">
        <v>336</v>
      </c>
      <c r="B417" s="17">
        <v>0.28207041064872029</v>
      </c>
      <c r="C417" s="168" t="s">
        <v>214</v>
      </c>
      <c r="D417" s="168" t="s">
        <v>214</v>
      </c>
      <c r="E417" s="17">
        <v>0.31027236581877859</v>
      </c>
      <c r="F417" s="17">
        <v>0.28207041064872029</v>
      </c>
      <c r="G417" s="17">
        <v>0.26949699253247722</v>
      </c>
      <c r="H417" s="17">
        <v>0.27120006992184348</v>
      </c>
      <c r="I417" s="17">
        <v>0.2962420753541169</v>
      </c>
    </row>
    <row r="418" spans="1:9" x14ac:dyDescent="0.35">
      <c r="A418" s="16" t="s">
        <v>194</v>
      </c>
      <c r="B418" s="17">
        <v>0.47358232234120451</v>
      </c>
      <c r="C418" s="168" t="s">
        <v>214</v>
      </c>
      <c r="D418" s="168" t="s">
        <v>214</v>
      </c>
      <c r="E418" s="17">
        <v>0.43726412447061441</v>
      </c>
      <c r="F418" s="17">
        <v>0.47358232234120451</v>
      </c>
      <c r="G418" s="17">
        <v>0.49888384616049769</v>
      </c>
      <c r="H418" s="17">
        <v>0.50308132575454578</v>
      </c>
      <c r="I418" s="17">
        <v>0.49225772917820471</v>
      </c>
    </row>
    <row r="419" spans="1:9" x14ac:dyDescent="0.35">
      <c r="A419" s="16" t="s">
        <v>195</v>
      </c>
      <c r="B419" s="17">
        <v>0.2443472670100752</v>
      </c>
      <c r="C419" s="168" t="s">
        <v>214</v>
      </c>
      <c r="D419" s="168" t="s">
        <v>214</v>
      </c>
      <c r="E419" s="17">
        <v>0.25246350971060699</v>
      </c>
      <c r="F419" s="17">
        <v>0.2443472670100752</v>
      </c>
      <c r="G419" s="17">
        <v>0.23161916130702501</v>
      </c>
      <c r="H419" s="17">
        <v>0.22571860432361071</v>
      </c>
      <c r="I419" s="17">
        <v>0.21150019546767851</v>
      </c>
    </row>
    <row r="420" spans="1:9" x14ac:dyDescent="0.35">
      <c r="A420" s="14" t="s">
        <v>210</v>
      </c>
      <c r="B420" s="18">
        <v>0.1012363577839223</v>
      </c>
      <c r="C420" s="18" t="s">
        <v>214</v>
      </c>
      <c r="D420" s="18" t="s">
        <v>214</v>
      </c>
      <c r="E420" s="18">
        <v>0.14450327043568331</v>
      </c>
      <c r="F420" s="18">
        <v>0.1012363577839223</v>
      </c>
      <c r="G420" s="18">
        <v>9.2250839150382916E-2</v>
      </c>
      <c r="H420" s="18">
        <v>8.8874636534521781E-2</v>
      </c>
      <c r="I420" s="18">
        <v>9.7570231421136674E-2</v>
      </c>
    </row>
    <row r="421" spans="1:9" x14ac:dyDescent="0.35">
      <c r="A421" s="14" t="s">
        <v>197</v>
      </c>
      <c r="B421" s="18">
        <v>0.18083405286479801</v>
      </c>
      <c r="C421" s="18" t="s">
        <v>214</v>
      </c>
      <c r="D421" s="18" t="s">
        <v>214</v>
      </c>
      <c r="E421" s="18">
        <v>0.16576909538309531</v>
      </c>
      <c r="F421" s="18">
        <v>0.18083405286479801</v>
      </c>
      <c r="G421" s="25">
        <v>0.17724615338209421</v>
      </c>
      <c r="H421" s="18">
        <v>0.18232543338732179</v>
      </c>
      <c r="I421" s="18">
        <v>0.19867184393298021</v>
      </c>
    </row>
    <row r="422" spans="1:9" x14ac:dyDescent="0.35">
      <c r="A422" s="14" t="s">
        <v>198</v>
      </c>
      <c r="B422" s="18">
        <v>0.29961071368719672</v>
      </c>
      <c r="C422" s="18" t="s">
        <v>214</v>
      </c>
      <c r="D422" s="18" t="s">
        <v>214</v>
      </c>
      <c r="E422" s="18">
        <v>0.25597989460825049</v>
      </c>
      <c r="F422" s="18">
        <v>0.29961071368719672</v>
      </c>
      <c r="G422" s="18">
        <v>0.3210989645397575</v>
      </c>
      <c r="H422" s="18">
        <v>0.30480760394819201</v>
      </c>
      <c r="I422" s="18">
        <v>0.30431897694684579</v>
      </c>
    </row>
    <row r="423" spans="1:9" x14ac:dyDescent="0.35">
      <c r="A423" s="14" t="s">
        <v>199</v>
      </c>
      <c r="B423" s="18">
        <v>0.17397160865400771</v>
      </c>
      <c r="C423" s="18" t="s">
        <v>214</v>
      </c>
      <c r="D423" s="18" t="s">
        <v>214</v>
      </c>
      <c r="E423" s="18">
        <v>0.18128422986236389</v>
      </c>
      <c r="F423" s="25">
        <v>0.17397160865400771</v>
      </c>
      <c r="G423" s="18">
        <v>0.17778488162074019</v>
      </c>
      <c r="H423" s="25">
        <v>0.19827372180635389</v>
      </c>
      <c r="I423" s="18">
        <v>0.18793875223135881</v>
      </c>
    </row>
    <row r="424" spans="1:9" x14ac:dyDescent="0.35">
      <c r="A424" s="14" t="s">
        <v>200</v>
      </c>
      <c r="B424" s="18">
        <v>0.1158914004265013</v>
      </c>
      <c r="C424" s="18" t="s">
        <v>214</v>
      </c>
      <c r="D424" s="18" t="s">
        <v>214</v>
      </c>
      <c r="E424" s="18">
        <v>0.14284721173059201</v>
      </c>
      <c r="F424" s="18">
        <v>0.1158914004265013</v>
      </c>
      <c r="G424" s="18">
        <v>0.1098354643460166</v>
      </c>
      <c r="H424" s="18">
        <v>0.1107890450866145</v>
      </c>
      <c r="I424" s="18">
        <v>0.104822880832855</v>
      </c>
    </row>
    <row r="425" spans="1:9" x14ac:dyDescent="0.35">
      <c r="A425" s="14" t="s">
        <v>201</v>
      </c>
      <c r="B425" s="18">
        <v>9.5404533840962757E-2</v>
      </c>
      <c r="C425" s="18" t="s">
        <v>214</v>
      </c>
      <c r="D425" s="18" t="s">
        <v>214</v>
      </c>
      <c r="E425" s="18">
        <v>8.6898165181328049E-2</v>
      </c>
      <c r="F425" s="25">
        <v>9.5404533840962771E-2</v>
      </c>
      <c r="G425" s="18">
        <v>9.2249386362297306E-2</v>
      </c>
      <c r="H425" s="18">
        <v>8.2469117448164236E-2</v>
      </c>
      <c r="I425" s="18">
        <v>7.6547617932933451E-2</v>
      </c>
    </row>
    <row r="426" spans="1:9" x14ac:dyDescent="0.35">
      <c r="A426" s="14" t="s">
        <v>202</v>
      </c>
      <c r="B426" s="18">
        <v>3.9844040429163688E-3</v>
      </c>
      <c r="C426" s="18" t="s">
        <v>214</v>
      </c>
      <c r="D426" s="18" t="s">
        <v>214</v>
      </c>
      <c r="E426" s="18">
        <v>0</v>
      </c>
      <c r="F426" s="18">
        <v>3.9844040429163688E-3</v>
      </c>
      <c r="G426" s="18">
        <v>2.7937333869283969E-3</v>
      </c>
      <c r="H426" s="18">
        <v>2.1652492669403021E-3</v>
      </c>
      <c r="I426" s="18">
        <v>2.009778675265791E-3</v>
      </c>
    </row>
    <row r="427" spans="1:9" x14ac:dyDescent="0.35">
      <c r="A427" s="14" t="s">
        <v>211</v>
      </c>
      <c r="B427" s="18">
        <v>1.6192008046719799E-2</v>
      </c>
      <c r="C427" s="18" t="s">
        <v>214</v>
      </c>
      <c r="D427" s="18" t="s">
        <v>214</v>
      </c>
      <c r="E427" s="18">
        <v>2.2718132798687021E-2</v>
      </c>
      <c r="F427" s="18">
        <v>1.6192008046719799E-2</v>
      </c>
      <c r="G427" s="18">
        <v>1.1353304783925461E-2</v>
      </c>
      <c r="H427" s="18">
        <v>8.7992415367066229E-3</v>
      </c>
      <c r="I427" s="18">
        <v>8.1674328535743315E-3</v>
      </c>
    </row>
    <row r="428" spans="1:9" x14ac:dyDescent="0.35">
      <c r="A428" s="14" t="s">
        <v>212</v>
      </c>
      <c r="B428" s="18">
        <v>7.7848738689869131E-3</v>
      </c>
      <c r="C428" s="18" t="s">
        <v>214</v>
      </c>
      <c r="D428" s="18" t="s">
        <v>214</v>
      </c>
      <c r="E428" s="18">
        <v>0</v>
      </c>
      <c r="F428" s="18">
        <v>7.7848738689869131E-3</v>
      </c>
      <c r="G428" s="18">
        <v>5.4584981358708267E-3</v>
      </c>
      <c r="H428" s="18">
        <v>4.2305429510880637E-3</v>
      </c>
      <c r="I428" s="18">
        <v>3.9267788414530007E-3</v>
      </c>
    </row>
    <row r="429" spans="1:9" x14ac:dyDescent="0.35">
      <c r="A429" s="14" t="s">
        <v>203</v>
      </c>
      <c r="B429" s="18">
        <v>0</v>
      </c>
      <c r="C429" s="18" t="s">
        <v>214</v>
      </c>
      <c r="D429" s="18" t="s">
        <v>214</v>
      </c>
      <c r="E429" s="18">
        <v>0</v>
      </c>
      <c r="F429" s="18">
        <v>0</v>
      </c>
      <c r="G429" s="18">
        <v>0</v>
      </c>
      <c r="H429" s="18">
        <v>5.1238655914071949E-3</v>
      </c>
      <c r="I429" s="18">
        <v>4.7559585668813633E-3</v>
      </c>
    </row>
    <row r="430" spans="1:9" x14ac:dyDescent="0.35">
      <c r="A430" s="14" t="s">
        <v>204</v>
      </c>
      <c r="B430" s="18">
        <v>5.0900467839880663E-3</v>
      </c>
      <c r="C430" s="18" t="s">
        <v>214</v>
      </c>
      <c r="D430" s="18" t="s">
        <v>214</v>
      </c>
      <c r="E430" s="18">
        <v>0</v>
      </c>
      <c r="F430" s="18">
        <v>5.0900467839880663E-3</v>
      </c>
      <c r="G430" s="18">
        <v>9.9287742919864242E-3</v>
      </c>
      <c r="H430" s="18">
        <v>1.2141542442689741E-2</v>
      </c>
      <c r="I430" s="18">
        <v>1.126974776471551E-2</v>
      </c>
    </row>
    <row r="431" spans="1:9" x14ac:dyDescent="0.35">
      <c r="A431" s="14" t="s">
        <v>213</v>
      </c>
      <c r="B431" s="1">
        <v>3.7723143638645111</v>
      </c>
      <c r="C431" s="1" t="s">
        <v>214</v>
      </c>
      <c r="D431" s="1" t="s">
        <v>214</v>
      </c>
      <c r="E431" s="1">
        <v>5.7808856108171476</v>
      </c>
      <c r="F431" s="1">
        <v>3.772314363864508</v>
      </c>
      <c r="G431" s="1">
        <v>3.7877831225452181</v>
      </c>
      <c r="H431" s="1">
        <v>4.54814655982329</v>
      </c>
      <c r="I431" s="1">
        <v>8.4741879886438412</v>
      </c>
    </row>
    <row r="434" spans="1:2" x14ac:dyDescent="0.35">
      <c r="A434" s="1" t="s">
        <v>215</v>
      </c>
    </row>
    <row r="436" spans="1:2" x14ac:dyDescent="0.35">
      <c r="B436" s="3" t="s">
        <v>216</v>
      </c>
    </row>
    <row r="437" spans="1:2" x14ac:dyDescent="0.35">
      <c r="B437" s="1" t="s">
        <v>217</v>
      </c>
    </row>
  </sheetData>
  <mergeCells count="23">
    <mergeCell ref="C414:F414"/>
    <mergeCell ref="C322:F322"/>
    <mergeCell ref="C340:F340"/>
    <mergeCell ref="C358:F358"/>
    <mergeCell ref="C376:F376"/>
    <mergeCell ref="C395:F395"/>
    <mergeCell ref="C229:F229"/>
    <mergeCell ref="C248:F248"/>
    <mergeCell ref="C266:F266"/>
    <mergeCell ref="C284:F284"/>
    <mergeCell ref="C303:F303"/>
    <mergeCell ref="C211:F211"/>
    <mergeCell ref="C4:F4"/>
    <mergeCell ref="C23:F23"/>
    <mergeCell ref="C42:F42"/>
    <mergeCell ref="C61:F61"/>
    <mergeCell ref="C80:F80"/>
    <mergeCell ref="C99:F99"/>
    <mergeCell ref="C118:F118"/>
    <mergeCell ref="C137:F137"/>
    <mergeCell ref="C155:F155"/>
    <mergeCell ref="C174:F174"/>
    <mergeCell ref="C192:F19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758A-708D-47BB-A68B-B6B7E43DAF68}">
  <sheetPr codeName="Sheet22">
    <tabColor theme="5" tint="0.59999389629810485"/>
  </sheetPr>
  <dimension ref="A1:C70"/>
  <sheetViews>
    <sheetView zoomScale="90" zoomScaleNormal="90" workbookViewId="0">
      <selection activeCell="C6" sqref="C6"/>
    </sheetView>
  </sheetViews>
  <sheetFormatPr defaultColWidth="9.453125" defaultRowHeight="14.5" x14ac:dyDescent="0.35"/>
  <cols>
    <col min="1" max="1" width="1.54296875" style="31" customWidth="1"/>
    <col min="2" max="2" width="76.81640625" style="8" customWidth="1"/>
    <col min="3" max="3" width="18.1796875" style="31" customWidth="1"/>
    <col min="4" max="16384" width="9.453125" style="31"/>
  </cols>
  <sheetData>
    <row r="1" spans="1:3" ht="6.75" customHeight="1" thickBot="1" x14ac:dyDescent="0.4">
      <c r="B1" s="30"/>
    </row>
    <row r="2" spans="1:3" s="2" customFormat="1" ht="41.25" customHeight="1" thickBot="1" x14ac:dyDescent="0.4">
      <c r="A2" s="31"/>
      <c r="B2" s="55" t="s">
        <v>556</v>
      </c>
      <c r="C2" s="54" t="s">
        <v>469</v>
      </c>
    </row>
    <row r="3" spans="1:3" s="2" customFormat="1" ht="15" thickBot="1" x14ac:dyDescent="0.4">
      <c r="B3" s="29"/>
      <c r="C3" s="53"/>
    </row>
    <row r="4" spans="1:3" s="2" customFormat="1" x14ac:dyDescent="0.35">
      <c r="A4" s="31"/>
      <c r="B4" s="96" t="s">
        <v>139</v>
      </c>
      <c r="C4" s="98"/>
    </row>
    <row r="5" spans="1:3" s="2" customFormat="1" x14ac:dyDescent="0.35">
      <c r="A5" s="31"/>
      <c r="B5" s="163" t="s">
        <v>31</v>
      </c>
      <c r="C5" s="164"/>
    </row>
    <row r="6" spans="1:3" s="2" customFormat="1" x14ac:dyDescent="0.35">
      <c r="A6" s="48"/>
      <c r="B6" s="49" t="s">
        <v>140</v>
      </c>
      <c r="C6" s="51" t="e">
        <f>'Poland (Month)'!#REF!</f>
        <v>#REF!</v>
      </c>
    </row>
    <row r="7" spans="1:3" s="2" customFormat="1" x14ac:dyDescent="0.35">
      <c r="A7" s="48"/>
      <c r="B7" s="49" t="s">
        <v>141</v>
      </c>
      <c r="C7" s="51" t="e">
        <f t="shared" ref="C7" si="0">C57</f>
        <v>#REF!</v>
      </c>
    </row>
    <row r="8" spans="1:3" s="2" customFormat="1" x14ac:dyDescent="0.35">
      <c r="A8" s="31"/>
      <c r="B8" s="28" t="s">
        <v>142</v>
      </c>
      <c r="C8" s="43" t="e">
        <f>'Poland (Month)'!#REF!</f>
        <v>#REF!</v>
      </c>
    </row>
    <row r="9" spans="1:3" s="2" customFormat="1" x14ac:dyDescent="0.35">
      <c r="A9" s="31"/>
      <c r="B9" s="28" t="s">
        <v>143</v>
      </c>
      <c r="C9" s="43" t="e">
        <f>'Poland (Month)'!#REF!</f>
        <v>#REF!</v>
      </c>
    </row>
    <row r="10" spans="1:3" s="2" customFormat="1" x14ac:dyDescent="0.35">
      <c r="A10" s="31"/>
      <c r="B10" s="28" t="s">
        <v>144</v>
      </c>
      <c r="C10" s="43" t="e">
        <f>'Poland (Month)'!#REF!</f>
        <v>#REF!</v>
      </c>
    </row>
    <row r="11" spans="1:3" s="2" customFormat="1" x14ac:dyDescent="0.35">
      <c r="A11" s="31"/>
      <c r="B11" s="29"/>
      <c r="C11" s="53"/>
    </row>
    <row r="12" spans="1:3" s="2" customFormat="1" x14ac:dyDescent="0.35">
      <c r="A12" s="31"/>
      <c r="B12" s="90" t="s">
        <v>145</v>
      </c>
      <c r="C12" s="92"/>
    </row>
    <row r="13" spans="1:3" s="2" customFormat="1" x14ac:dyDescent="0.35">
      <c r="A13" s="31"/>
      <c r="B13" s="86" t="s">
        <v>439</v>
      </c>
      <c r="C13" s="88"/>
    </row>
    <row r="14" spans="1:3" s="2" customFormat="1" x14ac:dyDescent="0.35">
      <c r="A14" s="31"/>
      <c r="B14" s="28" t="s">
        <v>440</v>
      </c>
      <c r="C14" s="51" t="e">
        <f>'Poland (Month)'!#REF!</f>
        <v>#REF!</v>
      </c>
    </row>
    <row r="15" spans="1:3" s="2" customFormat="1" x14ac:dyDescent="0.35">
      <c r="A15" s="31"/>
      <c r="B15" s="28" t="s">
        <v>441</v>
      </c>
      <c r="C15" s="51" t="e">
        <f t="shared" ref="C15" si="1">C58</f>
        <v>#REF!</v>
      </c>
    </row>
    <row r="16" spans="1:3" s="2" customFormat="1" x14ac:dyDescent="0.35">
      <c r="A16" s="31"/>
      <c r="B16" s="28" t="s">
        <v>442</v>
      </c>
      <c r="C16" s="43" t="e">
        <f>'Poland (Month)'!#REF!</f>
        <v>#REF!</v>
      </c>
    </row>
    <row r="17" spans="1:3" s="2" customFormat="1" x14ac:dyDescent="0.35">
      <c r="A17" s="31"/>
      <c r="B17" s="28" t="s">
        <v>443</v>
      </c>
      <c r="C17" s="43" t="e">
        <f>'Poland (Month)'!#REF!</f>
        <v>#REF!</v>
      </c>
    </row>
    <row r="18" spans="1:3" s="2" customFormat="1" x14ac:dyDescent="0.35">
      <c r="A18" s="31"/>
      <c r="B18" s="28" t="s">
        <v>444</v>
      </c>
      <c r="C18" s="43" t="e">
        <f>'Poland (Month)'!#REF!</f>
        <v>#REF!</v>
      </c>
    </row>
    <row r="19" spans="1:3" s="2" customFormat="1" x14ac:dyDescent="0.35">
      <c r="A19" s="31"/>
      <c r="B19" s="27"/>
      <c r="C19" s="33"/>
    </row>
    <row r="20" spans="1:3" s="2" customFormat="1" x14ac:dyDescent="0.35">
      <c r="A20" s="31"/>
      <c r="B20" s="86" t="s">
        <v>58</v>
      </c>
      <c r="C20" s="88"/>
    </row>
    <row r="21" spans="1:3" s="2" customFormat="1" x14ac:dyDescent="0.35">
      <c r="A21" s="31"/>
      <c r="B21" s="28" t="s">
        <v>349</v>
      </c>
      <c r="C21" s="51" t="e">
        <f>'Poland (Month)'!#REF!</f>
        <v>#REF!</v>
      </c>
    </row>
    <row r="22" spans="1:3" s="2" customFormat="1" x14ac:dyDescent="0.35">
      <c r="A22" s="31"/>
      <c r="B22" s="28" t="s">
        <v>350</v>
      </c>
      <c r="C22" s="51" t="e">
        <f t="shared" ref="C22" si="2">C59</f>
        <v>#REF!</v>
      </c>
    </row>
    <row r="23" spans="1:3" x14ac:dyDescent="0.35">
      <c r="B23" s="28" t="s">
        <v>351</v>
      </c>
      <c r="C23" s="43" t="e">
        <f>'Poland (Month)'!#REF!</f>
        <v>#REF!</v>
      </c>
    </row>
    <row r="24" spans="1:3" x14ac:dyDescent="0.35">
      <c r="B24" s="28" t="s">
        <v>352</v>
      </c>
      <c r="C24" s="43" t="e">
        <f>'Poland (Month)'!#REF!</f>
        <v>#REF!</v>
      </c>
    </row>
    <row r="25" spans="1:3" x14ac:dyDescent="0.35">
      <c r="B25" s="28" t="s">
        <v>353</v>
      </c>
      <c r="C25" s="43" t="e">
        <f>'Poland (Month)'!#REF!</f>
        <v>#REF!</v>
      </c>
    </row>
    <row r="26" spans="1:3" x14ac:dyDescent="0.35">
      <c r="B26" s="27"/>
      <c r="C26" s="33"/>
    </row>
    <row r="27" spans="1:3" x14ac:dyDescent="0.35">
      <c r="B27" s="86" t="s">
        <v>59</v>
      </c>
      <c r="C27" s="88"/>
    </row>
    <row r="28" spans="1:3" x14ac:dyDescent="0.35">
      <c r="B28" s="28" t="s">
        <v>354</v>
      </c>
      <c r="C28" s="51" t="e">
        <f>'Poland (Month)'!#REF!</f>
        <v>#REF!</v>
      </c>
    </row>
    <row r="29" spans="1:3" x14ac:dyDescent="0.35">
      <c r="B29" s="28" t="s">
        <v>355</v>
      </c>
      <c r="C29" s="51" t="e">
        <f t="shared" ref="C29" si="3">C60</f>
        <v>#REF!</v>
      </c>
    </row>
    <row r="30" spans="1:3" x14ac:dyDescent="0.35">
      <c r="B30" s="28" t="s">
        <v>356</v>
      </c>
      <c r="C30" s="43" t="e">
        <f>'Poland (Month)'!#REF!</f>
        <v>#REF!</v>
      </c>
    </row>
    <row r="31" spans="1:3" x14ac:dyDescent="0.35">
      <c r="B31" s="28" t="s">
        <v>357</v>
      </c>
      <c r="C31" s="43" t="e">
        <f>'Poland (Month)'!#REF!</f>
        <v>#REF!</v>
      </c>
    </row>
    <row r="32" spans="1:3" x14ac:dyDescent="0.35">
      <c r="B32" s="28" t="s">
        <v>358</v>
      </c>
      <c r="C32" s="43" t="e">
        <f>'Poland (Month)'!#REF!</f>
        <v>#REF!</v>
      </c>
    </row>
    <row r="33" spans="2:3" x14ac:dyDescent="0.35">
      <c r="B33" s="27"/>
      <c r="C33" s="33"/>
    </row>
    <row r="34" spans="2:3" x14ac:dyDescent="0.35">
      <c r="B34" s="86" t="s">
        <v>359</v>
      </c>
      <c r="C34" s="88"/>
    </row>
    <row r="35" spans="2:3" x14ac:dyDescent="0.35">
      <c r="B35" s="28" t="s">
        <v>360</v>
      </c>
      <c r="C35" s="51" t="e">
        <f>'Poland (Month)'!#REF!</f>
        <v>#REF!</v>
      </c>
    </row>
    <row r="36" spans="2:3" x14ac:dyDescent="0.35">
      <c r="B36" s="28" t="s">
        <v>361</v>
      </c>
      <c r="C36" s="51" t="e">
        <f t="shared" ref="C36" si="4">C61</f>
        <v>#REF!</v>
      </c>
    </row>
    <row r="37" spans="2:3" x14ac:dyDescent="0.35">
      <c r="B37" s="28" t="s">
        <v>362</v>
      </c>
      <c r="C37" s="43" t="e">
        <f>'Poland (Month)'!#REF!</f>
        <v>#REF!</v>
      </c>
    </row>
    <row r="38" spans="2:3" x14ac:dyDescent="0.35">
      <c r="B38" s="28" t="s">
        <v>363</v>
      </c>
      <c r="C38" s="43" t="e">
        <f>'Poland (Month)'!#REF!</f>
        <v>#REF!</v>
      </c>
    </row>
    <row r="39" spans="2:3" x14ac:dyDescent="0.35">
      <c r="B39" s="28" t="s">
        <v>364</v>
      </c>
      <c r="C39" s="43" t="e">
        <f>'Poland (Month)'!#REF!</f>
        <v>#REF!</v>
      </c>
    </row>
    <row r="40" spans="2:3" x14ac:dyDescent="0.35">
      <c r="B40" s="27"/>
      <c r="C40" s="33"/>
    </row>
    <row r="41" spans="2:3" x14ac:dyDescent="0.35">
      <c r="B41" s="86" t="s">
        <v>365</v>
      </c>
      <c r="C41" s="88"/>
    </row>
    <row r="42" spans="2:3" x14ac:dyDescent="0.35">
      <c r="B42" s="28" t="s">
        <v>366</v>
      </c>
      <c r="C42" s="51" t="e">
        <f>'Poland (Month)'!#REF!</f>
        <v>#REF!</v>
      </c>
    </row>
    <row r="43" spans="2:3" x14ac:dyDescent="0.35">
      <c r="B43" s="28" t="s">
        <v>367</v>
      </c>
      <c r="C43" s="51" t="e">
        <f t="shared" ref="C43" si="5">C62</f>
        <v>#REF!</v>
      </c>
    </row>
    <row r="44" spans="2:3" x14ac:dyDescent="0.35">
      <c r="B44" s="28" t="s">
        <v>368</v>
      </c>
      <c r="C44" s="43" t="e">
        <f>'Poland (Month)'!#REF!</f>
        <v>#REF!</v>
      </c>
    </row>
    <row r="45" spans="2:3" x14ac:dyDescent="0.35">
      <c r="B45" s="28" t="s">
        <v>369</v>
      </c>
      <c r="C45" s="43" t="e">
        <f>'Poland (Month)'!#REF!</f>
        <v>#REF!</v>
      </c>
    </row>
    <row r="46" spans="2:3" x14ac:dyDescent="0.35">
      <c r="B46" s="28" t="s">
        <v>370</v>
      </c>
      <c r="C46" s="43" t="e">
        <f>'Poland (Month)'!#REF!</f>
        <v>#REF!</v>
      </c>
    </row>
    <row r="47" spans="2:3" x14ac:dyDescent="0.35">
      <c r="B47" s="27"/>
      <c r="C47" s="33"/>
    </row>
    <row r="48" spans="2:3" x14ac:dyDescent="0.35">
      <c r="B48" s="93" t="s">
        <v>167</v>
      </c>
      <c r="C48" s="95"/>
    </row>
    <row r="49" spans="2:3" x14ac:dyDescent="0.35">
      <c r="B49" s="28" t="s">
        <v>25</v>
      </c>
      <c r="C49" s="51" t="e">
        <f t="shared" ref="C49" si="6">C6</f>
        <v>#REF!</v>
      </c>
    </row>
    <row r="50" spans="2:3" x14ac:dyDescent="0.35">
      <c r="B50" s="28" t="s">
        <v>439</v>
      </c>
      <c r="C50" s="51" t="e">
        <f t="shared" ref="C50" si="7">C14</f>
        <v>#REF!</v>
      </c>
    </row>
    <row r="51" spans="2:3" x14ac:dyDescent="0.35">
      <c r="B51" s="28" t="s">
        <v>58</v>
      </c>
      <c r="C51" s="51" t="e">
        <f t="shared" ref="C51" si="8">C21</f>
        <v>#REF!</v>
      </c>
    </row>
    <row r="52" spans="2:3" x14ac:dyDescent="0.35">
      <c r="B52" s="28" t="s">
        <v>59</v>
      </c>
      <c r="C52" s="51" t="e">
        <f t="shared" ref="C52" si="9">C28</f>
        <v>#REF!</v>
      </c>
    </row>
    <row r="53" spans="2:3" x14ac:dyDescent="0.35">
      <c r="B53" s="28" t="s">
        <v>359</v>
      </c>
      <c r="C53" s="51" t="e">
        <f t="shared" ref="C53" si="10">C35</f>
        <v>#REF!</v>
      </c>
    </row>
    <row r="54" spans="2:3" x14ac:dyDescent="0.35">
      <c r="B54" s="28" t="s">
        <v>61</v>
      </c>
      <c r="C54" s="51" t="e">
        <f t="shared" ref="C54" si="11">C42</f>
        <v>#REF!</v>
      </c>
    </row>
    <row r="55" spans="2:3" x14ac:dyDescent="0.35">
      <c r="B55" s="58"/>
      <c r="C55" s="33"/>
    </row>
    <row r="56" spans="2:3" x14ac:dyDescent="0.35">
      <c r="B56" s="93" t="s">
        <v>168</v>
      </c>
      <c r="C56" s="95"/>
    </row>
    <row r="57" spans="2:3" x14ac:dyDescent="0.35">
      <c r="B57" s="28" t="s">
        <v>25</v>
      </c>
      <c r="C57" s="51" t="e">
        <f t="shared" ref="C57" si="12">RANK(C49,C$49:C$54,0)</f>
        <v>#REF!</v>
      </c>
    </row>
    <row r="58" spans="2:3" x14ac:dyDescent="0.35">
      <c r="B58" s="28" t="s">
        <v>439</v>
      </c>
      <c r="C58" s="51" t="e">
        <f t="shared" ref="C58" si="13">RANK(C50,C$49:C$54,0)</f>
        <v>#REF!</v>
      </c>
    </row>
    <row r="59" spans="2:3" x14ac:dyDescent="0.35">
      <c r="B59" s="28" t="s">
        <v>58</v>
      </c>
      <c r="C59" s="51" t="e">
        <f t="shared" ref="C59" si="14">RANK(C51,C$49:C$54,0)</f>
        <v>#REF!</v>
      </c>
    </row>
    <row r="60" spans="2:3" x14ac:dyDescent="0.35">
      <c r="B60" s="28" t="s">
        <v>59</v>
      </c>
      <c r="C60" s="51" t="e">
        <f t="shared" ref="C60" si="15">RANK(C52,C$49:C$54,0)</f>
        <v>#REF!</v>
      </c>
    </row>
    <row r="61" spans="2:3" x14ac:dyDescent="0.35">
      <c r="B61" s="28" t="s">
        <v>359</v>
      </c>
      <c r="C61" s="51" t="e">
        <f t="shared" ref="C61" si="16">RANK(C53,C$49:C$54,0)</f>
        <v>#REF!</v>
      </c>
    </row>
    <row r="62" spans="2:3" x14ac:dyDescent="0.35">
      <c r="B62" s="28" t="s">
        <v>61</v>
      </c>
      <c r="C62" s="51" t="e">
        <f t="shared" ref="C62" si="17">RANK(C54,C$49:C$54,0)</f>
        <v>#REF!</v>
      </c>
    </row>
    <row r="63" spans="2:3" x14ac:dyDescent="0.35">
      <c r="B63" s="58"/>
      <c r="C63" s="33"/>
    </row>
    <row r="64" spans="2:3" x14ac:dyDescent="0.35">
      <c r="B64" s="93" t="s">
        <v>169</v>
      </c>
      <c r="C64" s="95"/>
    </row>
    <row r="65" spans="2:3" x14ac:dyDescent="0.35">
      <c r="B65" s="28" t="s">
        <v>25</v>
      </c>
      <c r="C65" s="51" t="e">
        <f>'Poland (Month)'!#REF!</f>
        <v>#REF!</v>
      </c>
    </row>
    <row r="66" spans="2:3" x14ac:dyDescent="0.35">
      <c r="B66" s="28" t="s">
        <v>439</v>
      </c>
      <c r="C66" s="51" t="e">
        <f>'Poland (Month)'!#REF!</f>
        <v>#REF!</v>
      </c>
    </row>
    <row r="67" spans="2:3" x14ac:dyDescent="0.35">
      <c r="B67" s="28" t="s">
        <v>58</v>
      </c>
      <c r="C67" s="51" t="e">
        <f>'Poland (Month)'!#REF!</f>
        <v>#REF!</v>
      </c>
    </row>
    <row r="68" spans="2:3" x14ac:dyDescent="0.35">
      <c r="B68" s="28" t="s">
        <v>59</v>
      </c>
      <c r="C68" s="51" t="e">
        <f>'Poland (Month)'!#REF!</f>
        <v>#REF!</v>
      </c>
    </row>
    <row r="69" spans="2:3" x14ac:dyDescent="0.35">
      <c r="B69" s="28" t="s">
        <v>359</v>
      </c>
      <c r="C69" s="51" t="e">
        <f>'Poland (Month)'!#REF!</f>
        <v>#REF!</v>
      </c>
    </row>
    <row r="70" spans="2:3" x14ac:dyDescent="0.35">
      <c r="B70" s="28" t="s">
        <v>61</v>
      </c>
      <c r="C70" s="51" t="e">
        <f>'Poland (Month)'!#REF!</f>
        <v>#REF!</v>
      </c>
    </row>
  </sheetData>
  <phoneticPr fontId="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39D0-D766-4EE4-9518-24A667B42AD0}">
  <sheetPr codeName="Sheet23">
    <tabColor theme="8" tint="0.59999389629810485"/>
  </sheetPr>
  <dimension ref="B1:G291"/>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31" customWidth="1"/>
    <col min="6" max="16384" width="9.453125" style="31"/>
  </cols>
  <sheetData>
    <row r="1" spans="2:7" ht="6.75" customHeight="1" thickBot="1" x14ac:dyDescent="0.4">
      <c r="B1" s="30"/>
    </row>
    <row r="2" spans="2:7" ht="41.25" customHeight="1" x14ac:dyDescent="0.35">
      <c r="B2" s="79" t="s">
        <v>556</v>
      </c>
      <c r="C2" s="75" t="s">
        <v>635</v>
      </c>
      <c r="D2" s="75" t="s">
        <v>642</v>
      </c>
      <c r="E2" s="38" t="s">
        <v>648</v>
      </c>
    </row>
    <row r="3" spans="2:7" s="2" customFormat="1" x14ac:dyDescent="0.35">
      <c r="B3" s="29"/>
      <c r="C3" s="53"/>
      <c r="D3" s="53"/>
      <c r="E3" s="53"/>
    </row>
    <row r="4" spans="2:7" ht="15" thickBot="1" x14ac:dyDescent="0.4">
      <c r="B4" s="135" t="s">
        <v>193</v>
      </c>
      <c r="C4" s="136"/>
      <c r="D4" s="136"/>
      <c r="E4" s="136"/>
    </row>
    <row r="5" spans="2:7" x14ac:dyDescent="0.35">
      <c r="B5" s="101" t="s">
        <v>31</v>
      </c>
      <c r="C5" s="47" t="s">
        <v>22</v>
      </c>
      <c r="D5" s="47" t="s">
        <v>22</v>
      </c>
      <c r="E5" s="47" t="s">
        <v>22</v>
      </c>
    </row>
    <row r="6" spans="2:7" x14ac:dyDescent="0.35">
      <c r="B6" s="163"/>
      <c r="C6" s="40">
        <f>'Poland Crunch Output'!G21</f>
        <v>37.738384778185782</v>
      </c>
      <c r="D6" s="40">
        <f>'Poland Crunch Output'!H21</f>
        <v>35.603055997164468</v>
      </c>
      <c r="E6" s="40">
        <f>'Poland Crunch Output'!I21</f>
        <v>33.415363407560527</v>
      </c>
    </row>
    <row r="7" spans="2:7" x14ac:dyDescent="0.35">
      <c r="B7" s="41" t="s">
        <v>336</v>
      </c>
      <c r="C7" s="42">
        <f>'Poland Crunch Output'!G7</f>
        <v>0.49538711802984692</v>
      </c>
      <c r="D7" s="42">
        <f>'Poland Crunch Output'!H7</f>
        <v>0.47932465245247502</v>
      </c>
      <c r="E7" s="42">
        <f>'Poland Crunch Output'!I7</f>
        <v>0.44955854314452998</v>
      </c>
      <c r="G7" s="178"/>
    </row>
    <row r="8" spans="2:7" x14ac:dyDescent="0.35">
      <c r="B8" s="41" t="s">
        <v>194</v>
      </c>
      <c r="C8" s="42">
        <f>'Poland Crunch Output'!G8</f>
        <v>0.3866096117221639</v>
      </c>
      <c r="D8" s="42">
        <f>'Poland Crunch Output'!H8</f>
        <v>0.39738125506669458</v>
      </c>
      <c r="E8" s="42">
        <f>'Poland Crunch Output'!I8</f>
        <v>0.43503654778654538</v>
      </c>
    </row>
    <row r="9" spans="2:7" x14ac:dyDescent="0.35">
      <c r="B9" s="41" t="s">
        <v>195</v>
      </c>
      <c r="C9" s="42">
        <f>'Poland Crunch Output'!G9</f>
        <v>0.11800327024798921</v>
      </c>
      <c r="D9" s="42">
        <f>'Poland Crunch Output'!H9</f>
        <v>0.1232940924808303</v>
      </c>
      <c r="E9" s="42">
        <f>'Poland Crunch Output'!I9</f>
        <v>0.1154049090689247</v>
      </c>
    </row>
    <row r="10" spans="2:7" x14ac:dyDescent="0.35">
      <c r="B10" s="28" t="s">
        <v>196</v>
      </c>
      <c r="C10" s="43">
        <f>'Poland Crunch Output'!G10</f>
        <v>0.36285318973744068</v>
      </c>
      <c r="D10" s="43">
        <f>'Poland Crunch Output'!H10</f>
        <v>0.32371576535979429</v>
      </c>
      <c r="E10" s="43">
        <f>'Poland Crunch Output'!I10</f>
        <v>0.30167372815358129</v>
      </c>
    </row>
    <row r="11" spans="2:7" x14ac:dyDescent="0.35">
      <c r="B11" s="28" t="s">
        <v>197</v>
      </c>
      <c r="C11" s="43">
        <f>'Poland Crunch Output'!G11</f>
        <v>0.13253392829240621</v>
      </c>
      <c r="D11" s="43">
        <f>'Poland Crunch Output'!H11</f>
        <v>0.15560888709268059</v>
      </c>
      <c r="E11" s="43">
        <f>'Poland Crunch Output'!I11</f>
        <v>0.1478848149909486</v>
      </c>
    </row>
    <row r="12" spans="2:7" x14ac:dyDescent="0.35">
      <c r="B12" s="28" t="s">
        <v>198</v>
      </c>
      <c r="C12" s="43">
        <f>'Poland Crunch Output'!G12</f>
        <v>0.27830203619161642</v>
      </c>
      <c r="D12" s="43">
        <f>'Poland Crunch Output'!H12</f>
        <v>0.27776395266662041</v>
      </c>
      <c r="E12" s="43">
        <f>'Poland Crunch Output'!I12</f>
        <v>0.32027813538410449</v>
      </c>
    </row>
    <row r="13" spans="2:7" x14ac:dyDescent="0.35">
      <c r="B13" s="28" t="s">
        <v>199</v>
      </c>
      <c r="C13" s="43">
        <f>'Poland Crunch Output'!G13</f>
        <v>0.1083075755305475</v>
      </c>
      <c r="D13" s="43">
        <f>'Poland Crunch Output'!H13</f>
        <v>0.1196173024000743</v>
      </c>
      <c r="E13" s="43">
        <f>'Poland Crunch Output'!I13</f>
        <v>0.1147584124024409</v>
      </c>
    </row>
    <row r="14" spans="2:7" s="34" customFormat="1" x14ac:dyDescent="0.35">
      <c r="B14" s="28" t="s">
        <v>200</v>
      </c>
      <c r="C14" s="43">
        <f>'Poland Crunch Output'!G14</f>
        <v>5.7307143262728219E-2</v>
      </c>
      <c r="D14" s="43">
        <f>'Poland Crunch Output'!H14</f>
        <v>6.1088910261087037E-2</v>
      </c>
      <c r="E14" s="43">
        <f>'Poland Crunch Output'!I14</f>
        <v>6.9251070416623817E-2</v>
      </c>
    </row>
    <row r="15" spans="2:7" s="35" customFormat="1" x14ac:dyDescent="0.3">
      <c r="B15" s="44" t="s">
        <v>201</v>
      </c>
      <c r="C15" s="43">
        <f>'Poland Crunch Output'!G15</f>
        <v>4.9555588133691202E-2</v>
      </c>
      <c r="D15" s="43">
        <f>'Poland Crunch Output'!H15</f>
        <v>4.6580274572696867E-2</v>
      </c>
      <c r="E15" s="43">
        <f>'Poland Crunch Output'!I15</f>
        <v>3.4572075812379699E-2</v>
      </c>
    </row>
    <row r="16" spans="2:7" s="36" customFormat="1" x14ac:dyDescent="0.3">
      <c r="B16" s="44" t="s">
        <v>202</v>
      </c>
      <c r="C16" s="43">
        <f>'Poland Crunch Output'!G16</f>
        <v>0</v>
      </c>
      <c r="D16" s="43">
        <f>'Poland Crunch Output'!H16</f>
        <v>0</v>
      </c>
      <c r="E16" s="43">
        <f>'Poland Crunch Output'!I16</f>
        <v>0</v>
      </c>
    </row>
    <row r="17" spans="2:5" s="36" customFormat="1" x14ac:dyDescent="0.3">
      <c r="B17" s="44">
        <v>3</v>
      </c>
      <c r="C17" s="43">
        <f>'Poland Crunch Output'!G17</f>
        <v>0</v>
      </c>
      <c r="D17" s="43">
        <f>'Poland Crunch Output'!H17</f>
        <v>6.3905527399012669E-3</v>
      </c>
      <c r="E17" s="43">
        <f>'Poland Crunch Output'!I17</f>
        <v>6.158794102764804E-3</v>
      </c>
    </row>
    <row r="18" spans="2:5" s="36" customFormat="1" x14ac:dyDescent="0.3">
      <c r="B18" s="44">
        <v>2</v>
      </c>
      <c r="C18" s="43">
        <f>'Poland Crunch Output'!G18</f>
        <v>0</v>
      </c>
      <c r="D18" s="43">
        <f>'Poland Crunch Output'!H18</f>
        <v>0</v>
      </c>
      <c r="E18" s="43">
        <f>'Poland Crunch Output'!I18</f>
        <v>0</v>
      </c>
    </row>
    <row r="19" spans="2:5" s="36" customFormat="1" x14ac:dyDescent="0.3">
      <c r="B19" s="44" t="s">
        <v>203</v>
      </c>
      <c r="C19" s="43">
        <f>'Poland Crunch Output'!G19</f>
        <v>0</v>
      </c>
      <c r="D19" s="43">
        <f>'Poland Crunch Output'!H19</f>
        <v>0</v>
      </c>
      <c r="E19" s="43">
        <f>'Poland Crunch Output'!I19</f>
        <v>0</v>
      </c>
    </row>
    <row r="20" spans="2:5" s="36" customFormat="1" x14ac:dyDescent="0.3">
      <c r="B20" s="44" t="s">
        <v>204</v>
      </c>
      <c r="C20" s="43">
        <f>'Poland Crunch Output'!G20</f>
        <v>1.114053885156978E-2</v>
      </c>
      <c r="D20" s="43">
        <f>'Poland Crunch Output'!H20</f>
        <v>9.2343549071451612E-3</v>
      </c>
      <c r="E20" s="43">
        <f>'Poland Crunch Output'!I20</f>
        <v>5.4229687371563466E-3</v>
      </c>
    </row>
    <row r="21" spans="2:5" s="36" customFormat="1" x14ac:dyDescent="0.3">
      <c r="B21" s="56" t="s">
        <v>24</v>
      </c>
      <c r="C21" s="60">
        <f>'Poland Crunch Output'!G6</f>
        <v>133</v>
      </c>
      <c r="D21" s="60">
        <f>'Poland Crunch Output'!H6</f>
        <v>160</v>
      </c>
      <c r="E21" s="60">
        <f>'Poland Crunch Output'!I6</f>
        <v>163</v>
      </c>
    </row>
    <row r="22" spans="2:5" x14ac:dyDescent="0.35">
      <c r="B22" s="44"/>
      <c r="C22" s="109"/>
      <c r="D22" s="109"/>
      <c r="E22" s="109"/>
    </row>
    <row r="23" spans="2:5" x14ac:dyDescent="0.35">
      <c r="B23" s="99" t="s">
        <v>439</v>
      </c>
      <c r="C23" s="39" t="s">
        <v>22</v>
      </c>
      <c r="D23" s="39" t="s">
        <v>22</v>
      </c>
      <c r="E23" s="39" t="s">
        <v>22</v>
      </c>
    </row>
    <row r="24" spans="2:5" x14ac:dyDescent="0.35">
      <c r="B24" s="100"/>
      <c r="C24" s="40" t="s">
        <v>43</v>
      </c>
      <c r="D24" s="40" t="s">
        <v>43</v>
      </c>
      <c r="E24" s="40" t="s">
        <v>43</v>
      </c>
    </row>
    <row r="25" spans="2:5" x14ac:dyDescent="0.35">
      <c r="B25" s="41" t="s">
        <v>336</v>
      </c>
      <c r="C25" s="42" t="s">
        <v>43</v>
      </c>
      <c r="D25" s="42" t="s">
        <v>43</v>
      </c>
      <c r="E25" s="42" t="s">
        <v>43</v>
      </c>
    </row>
    <row r="26" spans="2:5" x14ac:dyDescent="0.35">
      <c r="B26" s="41" t="s">
        <v>194</v>
      </c>
      <c r="C26" s="42" t="s">
        <v>43</v>
      </c>
      <c r="D26" s="42" t="s">
        <v>43</v>
      </c>
      <c r="E26" s="42" t="s">
        <v>43</v>
      </c>
    </row>
    <row r="27" spans="2:5" x14ac:dyDescent="0.35">
      <c r="B27" s="41" t="s">
        <v>195</v>
      </c>
      <c r="C27" s="42" t="s">
        <v>43</v>
      </c>
      <c r="D27" s="42" t="s">
        <v>43</v>
      </c>
      <c r="E27" s="42" t="s">
        <v>43</v>
      </c>
    </row>
    <row r="28" spans="2:5" x14ac:dyDescent="0.35">
      <c r="B28" s="28" t="s">
        <v>196</v>
      </c>
      <c r="C28" s="43" t="s">
        <v>43</v>
      </c>
      <c r="D28" s="43" t="s">
        <v>43</v>
      </c>
      <c r="E28" s="43" t="s">
        <v>43</v>
      </c>
    </row>
    <row r="29" spans="2:5" x14ac:dyDescent="0.35">
      <c r="B29" s="28" t="s">
        <v>197</v>
      </c>
      <c r="C29" s="43" t="s">
        <v>43</v>
      </c>
      <c r="D29" s="43" t="s">
        <v>43</v>
      </c>
      <c r="E29" s="43" t="s">
        <v>43</v>
      </c>
    </row>
    <row r="30" spans="2:5" x14ac:dyDescent="0.35">
      <c r="B30" s="28" t="s">
        <v>198</v>
      </c>
      <c r="C30" s="43" t="s">
        <v>43</v>
      </c>
      <c r="D30" s="43" t="s">
        <v>43</v>
      </c>
      <c r="E30" s="43" t="s">
        <v>43</v>
      </c>
    </row>
    <row r="31" spans="2:5" x14ac:dyDescent="0.35">
      <c r="B31" s="28" t="s">
        <v>199</v>
      </c>
      <c r="C31" s="43" t="s">
        <v>43</v>
      </c>
      <c r="D31" s="43" t="s">
        <v>43</v>
      </c>
      <c r="E31" s="43" t="s">
        <v>43</v>
      </c>
    </row>
    <row r="32" spans="2:5" x14ac:dyDescent="0.35">
      <c r="B32" s="28" t="s">
        <v>200</v>
      </c>
      <c r="C32" s="43" t="s">
        <v>43</v>
      </c>
      <c r="D32" s="43" t="s">
        <v>43</v>
      </c>
      <c r="E32" s="43" t="s">
        <v>43</v>
      </c>
    </row>
    <row r="33" spans="2:7" x14ac:dyDescent="0.35">
      <c r="B33" s="44" t="s">
        <v>201</v>
      </c>
      <c r="C33" s="43" t="s">
        <v>43</v>
      </c>
      <c r="D33" s="43" t="s">
        <v>43</v>
      </c>
      <c r="E33" s="43" t="s">
        <v>43</v>
      </c>
    </row>
    <row r="34" spans="2:7" x14ac:dyDescent="0.35">
      <c r="B34" s="44" t="s">
        <v>202</v>
      </c>
      <c r="C34" s="43" t="s">
        <v>43</v>
      </c>
      <c r="D34" s="43" t="s">
        <v>43</v>
      </c>
      <c r="E34" s="43" t="s">
        <v>43</v>
      </c>
    </row>
    <row r="35" spans="2:7" x14ac:dyDescent="0.35">
      <c r="B35" s="44">
        <v>3</v>
      </c>
      <c r="C35" s="43" t="s">
        <v>43</v>
      </c>
      <c r="D35" s="43" t="s">
        <v>43</v>
      </c>
      <c r="E35" s="43" t="s">
        <v>43</v>
      </c>
    </row>
    <row r="36" spans="2:7" x14ac:dyDescent="0.35">
      <c r="B36" s="44">
        <v>2</v>
      </c>
      <c r="C36" s="43" t="s">
        <v>43</v>
      </c>
      <c r="D36" s="43" t="s">
        <v>43</v>
      </c>
      <c r="E36" s="43" t="s">
        <v>43</v>
      </c>
    </row>
    <row r="37" spans="2:7" x14ac:dyDescent="0.35">
      <c r="B37" s="44" t="s">
        <v>203</v>
      </c>
      <c r="C37" s="43" t="s">
        <v>43</v>
      </c>
      <c r="D37" s="43" t="s">
        <v>43</v>
      </c>
      <c r="E37" s="43" t="s">
        <v>43</v>
      </c>
    </row>
    <row r="38" spans="2:7" x14ac:dyDescent="0.35">
      <c r="B38" s="44" t="s">
        <v>204</v>
      </c>
      <c r="C38" s="43" t="s">
        <v>43</v>
      </c>
      <c r="D38" s="43" t="s">
        <v>43</v>
      </c>
      <c r="E38" s="43" t="s">
        <v>43</v>
      </c>
    </row>
    <row r="39" spans="2:7" s="36" customFormat="1" x14ac:dyDescent="0.3">
      <c r="B39" s="56" t="s">
        <v>24</v>
      </c>
      <c r="C39" s="60">
        <f>'Poland Crunch Output'!G101</f>
        <v>15</v>
      </c>
      <c r="D39" s="60">
        <f>'Poland Crunch Output'!H101</f>
        <v>18</v>
      </c>
      <c r="E39" s="60">
        <f>'Poland Crunch Output'!I101</f>
        <v>20</v>
      </c>
    </row>
    <row r="40" spans="2:7" x14ac:dyDescent="0.35">
      <c r="B40" s="45"/>
      <c r="C40" s="33"/>
      <c r="D40" s="33"/>
      <c r="E40" s="33"/>
    </row>
    <row r="41" spans="2:7" x14ac:dyDescent="0.35">
      <c r="B41" s="99" t="s">
        <v>58</v>
      </c>
      <c r="C41" s="39" t="s">
        <v>22</v>
      </c>
      <c r="D41" s="39" t="s">
        <v>22</v>
      </c>
      <c r="E41" s="39" t="s">
        <v>22</v>
      </c>
    </row>
    <row r="42" spans="2:7" x14ac:dyDescent="0.35">
      <c r="B42" s="100"/>
      <c r="C42" s="40">
        <f>'Poland Crunch Output'!G59</f>
        <v>31.873024596227658</v>
      </c>
      <c r="D42" s="40">
        <f>'Poland Crunch Output'!H59</f>
        <v>36.27967349489785</v>
      </c>
      <c r="E42" s="40">
        <f>'Poland Crunch Output'!I59</f>
        <v>34.732035334889261</v>
      </c>
    </row>
    <row r="43" spans="2:7" x14ac:dyDescent="0.35">
      <c r="B43" s="41" t="s">
        <v>336</v>
      </c>
      <c r="C43" s="42">
        <f>'Poland Crunch Output'!G45</f>
        <v>0.46603370019516238</v>
      </c>
      <c r="D43" s="42">
        <f>'Poland Crunch Output'!H45</f>
        <v>0.48554570042193912</v>
      </c>
      <c r="E43" s="42">
        <f>'Poland Crunch Output'!I45</f>
        <v>0.48275638013729849</v>
      </c>
      <c r="G43" s="178"/>
    </row>
    <row r="44" spans="2:7" x14ac:dyDescent="0.35">
      <c r="B44" s="41" t="s">
        <v>194</v>
      </c>
      <c r="C44" s="42">
        <f>'Poland Crunch Output'!G46</f>
        <v>0.3866628455719518</v>
      </c>
      <c r="D44" s="42">
        <f>'Poland Crunch Output'!H46</f>
        <v>0.3917053341051005</v>
      </c>
      <c r="E44" s="42">
        <f>'Poland Crunch Output'!I46</f>
        <v>0.38180759307429601</v>
      </c>
    </row>
    <row r="45" spans="2:7" x14ac:dyDescent="0.35">
      <c r="B45" s="41" t="s">
        <v>195</v>
      </c>
      <c r="C45" s="42">
        <f>'Poland Crunch Output'!G47</f>
        <v>0.14730345423288579</v>
      </c>
      <c r="D45" s="42">
        <f>'Poland Crunch Output'!H47</f>
        <v>0.12274896547296051</v>
      </c>
      <c r="E45" s="42">
        <f>'Poland Crunch Output'!I47</f>
        <v>0.1354360267884058</v>
      </c>
    </row>
    <row r="46" spans="2:7" x14ac:dyDescent="0.35">
      <c r="B46" s="28" t="s">
        <v>196</v>
      </c>
      <c r="C46" s="43">
        <f>'Poland Crunch Output'!G48</f>
        <v>0.32793781224598523</v>
      </c>
      <c r="D46" s="43">
        <f>'Poland Crunch Output'!H48</f>
        <v>0.34623135252587678</v>
      </c>
      <c r="E46" s="43">
        <f>'Poland Crunch Output'!I48</f>
        <v>0.32546495225602878</v>
      </c>
    </row>
    <row r="47" spans="2:7" x14ac:dyDescent="0.35">
      <c r="B47" s="28" t="s">
        <v>197</v>
      </c>
      <c r="C47" s="43">
        <f>'Poland Crunch Output'!G49</f>
        <v>0.13809588794917721</v>
      </c>
      <c r="D47" s="43">
        <f>'Poland Crunch Output'!H49</f>
        <v>0.1393143478960622</v>
      </c>
      <c r="E47" s="43">
        <f>'Poland Crunch Output'!I49</f>
        <v>0.15729142788126971</v>
      </c>
    </row>
    <row r="48" spans="2:7" x14ac:dyDescent="0.35">
      <c r="B48" s="28" t="s">
        <v>198</v>
      </c>
      <c r="C48" s="43">
        <f>'Poland Crunch Output'!G50</f>
        <v>0.2492343662117642</v>
      </c>
      <c r="D48" s="43">
        <f>'Poland Crunch Output'!H50</f>
        <v>0.2381243943967768</v>
      </c>
      <c r="E48" s="43">
        <f>'Poland Crunch Output'!I50</f>
        <v>0.22564302770824729</v>
      </c>
    </row>
    <row r="49" spans="2:7" x14ac:dyDescent="0.35">
      <c r="B49" s="28" t="s">
        <v>199</v>
      </c>
      <c r="C49" s="43">
        <f>'Poland Crunch Output'!G51</f>
        <v>0.13742847936018759</v>
      </c>
      <c r="D49" s="43">
        <f>'Poland Crunch Output'!H51</f>
        <v>0.1535809397083237</v>
      </c>
      <c r="E49" s="43">
        <f>'Poland Crunch Output'!I51</f>
        <v>0.1561645653660487</v>
      </c>
    </row>
    <row r="50" spans="2:7" x14ac:dyDescent="0.35">
      <c r="B50" s="28" t="s">
        <v>200</v>
      </c>
      <c r="C50" s="43">
        <f>'Poland Crunch Output'!G52</f>
        <v>5.1732607067982883E-2</v>
      </c>
      <c r="D50" s="43">
        <f>'Poland Crunch Output'!H52</f>
        <v>4.1303286903074173E-2</v>
      </c>
      <c r="E50" s="43">
        <f>'Poland Crunch Output'!I52</f>
        <v>4.1484597155203737E-2</v>
      </c>
    </row>
    <row r="51" spans="2:7" x14ac:dyDescent="0.35">
      <c r="B51" s="44" t="s">
        <v>201</v>
      </c>
      <c r="C51" s="43">
        <f>'Poland Crunch Output'!G53</f>
        <v>3.6365689962403212E-2</v>
      </c>
      <c r="D51" s="43">
        <f>'Poland Crunch Output'!H53</f>
        <v>3.4176311478779788E-2</v>
      </c>
      <c r="E51" s="43">
        <f>'Poland Crunch Output'!I53</f>
        <v>3.8094097677281523E-2</v>
      </c>
    </row>
    <row r="52" spans="2:7" x14ac:dyDescent="0.35">
      <c r="B52" s="44" t="s">
        <v>202</v>
      </c>
      <c r="C52" s="43">
        <f>'Poland Crunch Output'!G54</f>
        <v>2.956102569484265E-2</v>
      </c>
      <c r="D52" s="43">
        <f>'Poland Crunch Output'!H54</f>
        <v>2.360150772642745E-2</v>
      </c>
      <c r="E52" s="43">
        <f>'Poland Crunch Output'!I54</f>
        <v>2.8671628621295488E-2</v>
      </c>
    </row>
    <row r="53" spans="2:7" x14ac:dyDescent="0.35">
      <c r="B53" s="44">
        <v>3</v>
      </c>
      <c r="C53" s="43">
        <f>'Poland Crunch Output'!G55</f>
        <v>0</v>
      </c>
      <c r="D53" s="43">
        <f>'Poland Crunch Output'!H55</f>
        <v>0</v>
      </c>
      <c r="E53" s="43">
        <f>'Poland Crunch Output'!I55</f>
        <v>0</v>
      </c>
    </row>
    <row r="54" spans="2:7" x14ac:dyDescent="0.35">
      <c r="B54" s="44">
        <v>2</v>
      </c>
      <c r="C54" s="43">
        <f>'Poland Crunch Output'!G56</f>
        <v>4.8702543510022013E-3</v>
      </c>
      <c r="D54" s="43">
        <f>'Poland Crunch Output'!H56</f>
        <v>3.888408571523257E-3</v>
      </c>
      <c r="E54" s="43">
        <f>'Poland Crunch Output'!I56</f>
        <v>7.516351548212394E-3</v>
      </c>
    </row>
    <row r="55" spans="2:7" x14ac:dyDescent="0.35">
      <c r="B55" s="44" t="s">
        <v>203</v>
      </c>
      <c r="C55" s="43">
        <f>'Poland Crunch Output'!G57</f>
        <v>3.8907262407712299E-3</v>
      </c>
      <c r="D55" s="43">
        <f>'Poland Crunch Output'!H57</f>
        <v>3.1063538315924131E-3</v>
      </c>
      <c r="E55" s="43">
        <f>'Poland Crunch Output'!I57</f>
        <v>3.089062832209887E-3</v>
      </c>
    </row>
    <row r="56" spans="2:7" x14ac:dyDescent="0.35">
      <c r="B56" s="44" t="s">
        <v>204</v>
      </c>
      <c r="C56" s="43">
        <f>'Poland Crunch Output'!G58</f>
        <v>2.0883150915883639E-2</v>
      </c>
      <c r="D56" s="43">
        <f>'Poland Crunch Output'!H58</f>
        <v>1.667309696156339E-2</v>
      </c>
      <c r="E56" s="43">
        <f>'Poland Crunch Output'!I58</f>
        <v>1.658028895420275E-2</v>
      </c>
    </row>
    <row r="57" spans="2:7" s="36" customFormat="1" x14ac:dyDescent="0.3">
      <c r="B57" s="56" t="s">
        <v>24</v>
      </c>
      <c r="C57" s="60">
        <f>'Poland Crunch Output'!G44</f>
        <v>154</v>
      </c>
      <c r="D57" s="60">
        <f>'Poland Crunch Output'!H44</f>
        <v>184</v>
      </c>
      <c r="E57" s="60">
        <f>'Poland Crunch Output'!I44</f>
        <v>185</v>
      </c>
    </row>
    <row r="58" spans="2:7" x14ac:dyDescent="0.35">
      <c r="B58" s="27"/>
      <c r="C58" s="33"/>
      <c r="D58" s="33"/>
      <c r="E58" s="33"/>
    </row>
    <row r="59" spans="2:7" x14ac:dyDescent="0.35">
      <c r="B59" s="99" t="s">
        <v>372</v>
      </c>
      <c r="C59" s="39" t="s">
        <v>22</v>
      </c>
      <c r="D59" s="39" t="s">
        <v>22</v>
      </c>
      <c r="E59" s="39" t="s">
        <v>22</v>
      </c>
    </row>
    <row r="60" spans="2:7" x14ac:dyDescent="0.35">
      <c r="B60" s="100"/>
      <c r="C60" s="40" t="s">
        <v>43</v>
      </c>
      <c r="D60" s="40">
        <f>'Poland Crunch Output'!H78</f>
        <v>27.676799773755761</v>
      </c>
      <c r="E60" s="40">
        <f>'Poland Crunch Output'!I78</f>
        <v>34.717384982381709</v>
      </c>
    </row>
    <row r="61" spans="2:7" x14ac:dyDescent="0.35">
      <c r="B61" s="41" t="s">
        <v>336</v>
      </c>
      <c r="C61" s="42" t="s">
        <v>43</v>
      </c>
      <c r="D61" s="42">
        <f>'Poland Crunch Output'!H64</f>
        <v>0.45377189481051861</v>
      </c>
      <c r="E61" s="42">
        <f>'Poland Crunch Output'!I64</f>
        <v>0.50400571945092842</v>
      </c>
      <c r="G61" s="178"/>
    </row>
    <row r="62" spans="2:7" x14ac:dyDescent="0.35">
      <c r="B62" s="41" t="s">
        <v>194</v>
      </c>
      <c r="C62" s="42" t="s">
        <v>43</v>
      </c>
      <c r="D62" s="42">
        <f>'Poland Crunch Output'!H65</f>
        <v>0.36922420811652013</v>
      </c>
      <c r="E62" s="42">
        <f>'Poland Crunch Output'!I65</f>
        <v>0.33916241092195998</v>
      </c>
    </row>
    <row r="63" spans="2:7" x14ac:dyDescent="0.35">
      <c r="B63" s="41" t="s">
        <v>195</v>
      </c>
      <c r="C63" s="42" t="s">
        <v>43</v>
      </c>
      <c r="D63" s="42">
        <f>'Poland Crunch Output'!H66</f>
        <v>0.17700389707296121</v>
      </c>
      <c r="E63" s="42">
        <f>'Poland Crunch Output'!I66</f>
        <v>0.15683186962711149</v>
      </c>
    </row>
    <row r="64" spans="2:7" x14ac:dyDescent="0.35">
      <c r="B64" s="28" t="s">
        <v>196</v>
      </c>
      <c r="C64" s="43" t="s">
        <v>43</v>
      </c>
      <c r="D64" s="43">
        <f>'Poland Crunch Output'!H67</f>
        <v>0.2312454989397926</v>
      </c>
      <c r="E64" s="43">
        <f>'Poland Crunch Output'!I67</f>
        <v>0.25563799363036249</v>
      </c>
    </row>
    <row r="65" spans="2:7" x14ac:dyDescent="0.35">
      <c r="B65" s="28" t="s">
        <v>197</v>
      </c>
      <c r="C65" s="43" t="s">
        <v>43</v>
      </c>
      <c r="D65" s="43">
        <f>'Poland Crunch Output'!H68</f>
        <v>0.22252639587072601</v>
      </c>
      <c r="E65" s="43">
        <f>'Poland Crunch Output'!I68</f>
        <v>0.2483677258205659</v>
      </c>
    </row>
    <row r="66" spans="2:7" x14ac:dyDescent="0.35">
      <c r="B66" s="28" t="s">
        <v>198</v>
      </c>
      <c r="C66" s="43" t="s">
        <v>43</v>
      </c>
      <c r="D66" s="43">
        <f>'Poland Crunch Output'!H69</f>
        <v>0.24860188101073971</v>
      </c>
      <c r="E66" s="43">
        <f>'Poland Crunch Output'!I69</f>
        <v>0.2273503859536396</v>
      </c>
    </row>
    <row r="67" spans="2:7" x14ac:dyDescent="0.35">
      <c r="B67" s="28" t="s">
        <v>199</v>
      </c>
      <c r="C67" s="43" t="s">
        <v>43</v>
      </c>
      <c r="D67" s="43">
        <f>'Poland Crunch Output'!H70</f>
        <v>0.1206223271057804</v>
      </c>
      <c r="E67" s="43">
        <f>'Poland Crunch Output'!I70</f>
        <v>0.11181202496832029</v>
      </c>
    </row>
    <row r="68" spans="2:7" x14ac:dyDescent="0.35">
      <c r="B68" s="28" t="s">
        <v>200</v>
      </c>
      <c r="C68" s="43" t="s">
        <v>43</v>
      </c>
      <c r="D68" s="43">
        <f>'Poland Crunch Output'!H71</f>
        <v>8.9284650329108081E-2</v>
      </c>
      <c r="E68" s="43">
        <f>'Poland Crunch Output'!I71</f>
        <v>8.5409012819765748E-2</v>
      </c>
    </row>
    <row r="69" spans="2:7" x14ac:dyDescent="0.35">
      <c r="B69" s="44" t="s">
        <v>201</v>
      </c>
      <c r="C69" s="43" t="s">
        <v>43</v>
      </c>
      <c r="D69" s="43">
        <f>'Poland Crunch Output'!H72</f>
        <v>5.861071163956489E-2</v>
      </c>
      <c r="E69" s="43">
        <f>'Poland Crunch Output'!I72</f>
        <v>4.2574954368566703E-2</v>
      </c>
    </row>
    <row r="70" spans="2:7" x14ac:dyDescent="0.35">
      <c r="B70" s="44" t="s">
        <v>202</v>
      </c>
      <c r="C70" s="43" t="s">
        <v>43</v>
      </c>
      <c r="D70" s="43">
        <f>'Poland Crunch Output'!H73</f>
        <v>1.7975205374472149E-2</v>
      </c>
      <c r="E70" s="43">
        <f>'Poland Crunch Output'!I73</f>
        <v>2.3235229147267032E-2</v>
      </c>
    </row>
    <row r="71" spans="2:7" x14ac:dyDescent="0.35">
      <c r="B71" s="44">
        <v>3</v>
      </c>
      <c r="C71" s="43" t="s">
        <v>43</v>
      </c>
      <c r="D71" s="43">
        <f>'Poland Crunch Output'!H74</f>
        <v>5.0845296657308177E-3</v>
      </c>
      <c r="E71" s="43">
        <f>'Poland Crunch Output'!I74</f>
        <v>0</v>
      </c>
    </row>
    <row r="72" spans="2:7" x14ac:dyDescent="0.35">
      <c r="B72" s="44">
        <v>2</v>
      </c>
      <c r="C72" s="43" t="s">
        <v>43</v>
      </c>
      <c r="D72" s="43">
        <f>'Poland Crunch Output'!H75</f>
        <v>0</v>
      </c>
      <c r="E72" s="43">
        <f>'Poland Crunch Output'!I75</f>
        <v>0</v>
      </c>
    </row>
    <row r="73" spans="2:7" x14ac:dyDescent="0.35">
      <c r="B73" s="44" t="s">
        <v>203</v>
      </c>
      <c r="C73" s="43" t="s">
        <v>43</v>
      </c>
      <c r="D73" s="43">
        <f>'Poland Crunch Output'!H76</f>
        <v>0</v>
      </c>
      <c r="E73" s="43">
        <f>'Poland Crunch Output'!I76</f>
        <v>0</v>
      </c>
    </row>
    <row r="74" spans="2:7" x14ac:dyDescent="0.35">
      <c r="B74" s="44" t="s">
        <v>204</v>
      </c>
      <c r="C74" s="43" t="s">
        <v>43</v>
      </c>
      <c r="D74" s="43">
        <f>'Poland Crunch Output'!H77</f>
        <v>6.0488000640852267E-3</v>
      </c>
      <c r="E74" s="43">
        <f>'Poland Crunch Output'!I77</f>
        <v>5.6126732915120006E-3</v>
      </c>
    </row>
    <row r="75" spans="2:7" s="36" customFormat="1" x14ac:dyDescent="0.3">
      <c r="B75" s="56" t="s">
        <v>24</v>
      </c>
      <c r="C75" s="60">
        <f>'Poland Crunch Output'!G63</f>
        <v>92</v>
      </c>
      <c r="D75" s="60">
        <f>'Poland Crunch Output'!H63</f>
        <v>114</v>
      </c>
      <c r="E75" s="60">
        <f>'Poland Crunch Output'!I63</f>
        <v>116</v>
      </c>
    </row>
    <row r="76" spans="2:7" x14ac:dyDescent="0.35">
      <c r="B76" s="27"/>
      <c r="C76" s="33"/>
      <c r="D76" s="33"/>
      <c r="E76" s="33"/>
    </row>
    <row r="77" spans="2:7" x14ac:dyDescent="0.35">
      <c r="B77" s="99" t="s">
        <v>60</v>
      </c>
      <c r="C77" s="39" t="s">
        <v>22</v>
      </c>
      <c r="D77" s="39" t="s">
        <v>22</v>
      </c>
      <c r="E77" s="39" t="s">
        <v>22</v>
      </c>
    </row>
    <row r="78" spans="2:7" x14ac:dyDescent="0.35">
      <c r="B78" s="100"/>
      <c r="C78" s="40">
        <f>'Poland Crunch Output'!G97</f>
        <v>31.170856394889672</v>
      </c>
      <c r="D78" s="40">
        <f>'Poland Crunch Output'!H97</f>
        <v>33.037205909478622</v>
      </c>
      <c r="E78" s="40">
        <f>'Poland Crunch Output'!I97</f>
        <v>30.393972506354569</v>
      </c>
    </row>
    <row r="79" spans="2:7" x14ac:dyDescent="0.35">
      <c r="B79" s="41" t="s">
        <v>336</v>
      </c>
      <c r="C79" s="42">
        <f>'Poland Crunch Output'!G83</f>
        <v>0.48808766516155211</v>
      </c>
      <c r="D79" s="42">
        <f>'Poland Crunch Output'!H83</f>
        <v>0.4912389994973238</v>
      </c>
      <c r="E79" s="42">
        <f>'Poland Crunch Output'!I83</f>
        <v>0.47442125264583501</v>
      </c>
      <c r="G79" s="178"/>
    </row>
    <row r="80" spans="2:7" x14ac:dyDescent="0.35">
      <c r="B80" s="41" t="s">
        <v>194</v>
      </c>
      <c r="C80" s="42">
        <f>'Poland Crunch Output'!G84</f>
        <v>0.33553323362579229</v>
      </c>
      <c r="D80" s="42">
        <f>'Poland Crunch Output'!H84</f>
        <v>0.3478940601001384</v>
      </c>
      <c r="E80" s="42">
        <f>'Poland Crunch Output'!I84</f>
        <v>0.35509721977187569</v>
      </c>
    </row>
    <row r="81" spans="2:5" x14ac:dyDescent="0.35">
      <c r="B81" s="41" t="s">
        <v>195</v>
      </c>
      <c r="C81" s="42">
        <f>'Poland Crunch Output'!G85</f>
        <v>0.1763791012126554</v>
      </c>
      <c r="D81" s="42">
        <f>'Poland Crunch Output'!H85</f>
        <v>0.16086694040253771</v>
      </c>
      <c r="E81" s="42">
        <f>'Poland Crunch Output'!I85</f>
        <v>0.17048152758228921</v>
      </c>
    </row>
    <row r="82" spans="2:5" x14ac:dyDescent="0.35">
      <c r="B82" s="28" t="s">
        <v>196</v>
      </c>
      <c r="C82" s="43">
        <f>'Poland Crunch Output'!G86</f>
        <v>0.33055304845752947</v>
      </c>
      <c r="D82" s="43">
        <f>'Poland Crunch Output'!H86</f>
        <v>0.33233039969131412</v>
      </c>
      <c r="E82" s="43">
        <f>'Poland Crunch Output'!I86</f>
        <v>0.31499598388742289</v>
      </c>
    </row>
    <row r="83" spans="2:5" x14ac:dyDescent="0.35">
      <c r="B83" s="28" t="s">
        <v>197</v>
      </c>
      <c r="C83" s="43">
        <f>'Poland Crunch Output'!G87</f>
        <v>0.15753461670402261</v>
      </c>
      <c r="D83" s="43">
        <f>'Poland Crunch Output'!H87</f>
        <v>0.15890859980600969</v>
      </c>
      <c r="E83" s="43">
        <f>'Poland Crunch Output'!I87</f>
        <v>0.15942526875841209</v>
      </c>
    </row>
    <row r="84" spans="2:5" x14ac:dyDescent="0.35">
      <c r="B84" s="28" t="s">
        <v>198</v>
      </c>
      <c r="C84" s="43">
        <f>'Poland Crunch Output'!G88</f>
        <v>0.20776237084165411</v>
      </c>
      <c r="D84" s="43">
        <f>'Poland Crunch Output'!H88</f>
        <v>0.20610291555999921</v>
      </c>
      <c r="E84" s="43">
        <f>'Poland Crunch Output'!I88</f>
        <v>0.20016913865645281</v>
      </c>
    </row>
    <row r="85" spans="2:5" x14ac:dyDescent="0.35">
      <c r="B85" s="28" t="s">
        <v>199</v>
      </c>
      <c r="C85" s="43">
        <f>'Poland Crunch Output'!G89</f>
        <v>0.12777086278413821</v>
      </c>
      <c r="D85" s="43">
        <f>'Poland Crunch Output'!H89</f>
        <v>0.14179114454013919</v>
      </c>
      <c r="E85" s="43">
        <f>'Poland Crunch Output'!I89</f>
        <v>0.154928081115423</v>
      </c>
    </row>
    <row r="86" spans="2:5" x14ac:dyDescent="0.35">
      <c r="B86" s="28" t="s">
        <v>200</v>
      </c>
      <c r="C86" s="43">
        <f>'Poland Crunch Output'!G90</f>
        <v>5.5455325404905893E-2</v>
      </c>
      <c r="D86" s="43">
        <f>'Poland Crunch Output'!H90</f>
        <v>4.8690053349952168E-2</v>
      </c>
      <c r="E86" s="43">
        <f>'Poland Crunch Output'!I90</f>
        <v>4.9291153767160957E-2</v>
      </c>
    </row>
    <row r="87" spans="2:5" x14ac:dyDescent="0.35">
      <c r="B87" s="44" t="s">
        <v>201</v>
      </c>
      <c r="C87" s="43">
        <f>'Poland Crunch Output'!G91</f>
        <v>8.8036812869229292E-2</v>
      </c>
      <c r="D87" s="43">
        <f>'Poland Crunch Output'!H91</f>
        <v>8.2207892136750338E-2</v>
      </c>
      <c r="E87" s="43">
        <f>'Poland Crunch Output'!I91</f>
        <v>8.1444003166501827E-2</v>
      </c>
    </row>
    <row r="88" spans="2:5" x14ac:dyDescent="0.35">
      <c r="B88" s="44" t="s">
        <v>202</v>
      </c>
      <c r="C88" s="43">
        <f>'Poland Crunch Output'!G92</f>
        <v>8.8480037313447713E-3</v>
      </c>
      <c r="D88" s="43">
        <f>'Poland Crunch Output'!H92</f>
        <v>7.0638114960770888E-3</v>
      </c>
      <c r="E88" s="43">
        <f>'Poland Crunch Output'!I92</f>
        <v>9.6183024980652995E-3</v>
      </c>
    </row>
    <row r="89" spans="2:5" x14ac:dyDescent="0.35">
      <c r="B89" s="44">
        <v>3</v>
      </c>
      <c r="C89" s="43">
        <f>'Poland Crunch Output'!G93</f>
        <v>7.7599570308965748E-3</v>
      </c>
      <c r="D89" s="43">
        <f>'Poland Crunch Output'!H93</f>
        <v>6.1951684637886533E-3</v>
      </c>
      <c r="E89" s="43">
        <f>'Poland Crunch Output'!I93</f>
        <v>1.398933339024014E-2</v>
      </c>
    </row>
    <row r="90" spans="2:5" x14ac:dyDescent="0.35">
      <c r="B90" s="44">
        <v>2</v>
      </c>
      <c r="C90" s="43">
        <f>'Poland Crunch Output'!G94</f>
        <v>7.2374017422407446E-3</v>
      </c>
      <c r="D90" s="43">
        <f>'Poland Crunch Output'!H94</f>
        <v>5.7779859933217333E-3</v>
      </c>
      <c r="E90" s="43">
        <f>'Poland Crunch Output'!I94</f>
        <v>5.5804488290872086E-3</v>
      </c>
    </row>
    <row r="91" spans="2:5" x14ac:dyDescent="0.35">
      <c r="B91" s="44" t="s">
        <v>203</v>
      </c>
      <c r="C91" s="43">
        <f>'Poland Crunch Output'!G95</f>
        <v>0</v>
      </c>
      <c r="D91" s="43">
        <f>'Poland Crunch Output'!H95</f>
        <v>0</v>
      </c>
      <c r="E91" s="43">
        <f>'Poland Crunch Output'!I95</f>
        <v>0</v>
      </c>
    </row>
    <row r="92" spans="2:5" x14ac:dyDescent="0.35">
      <c r="B92" s="44" t="s">
        <v>204</v>
      </c>
      <c r="C92" s="43">
        <f>'Poland Crunch Output'!G96</f>
        <v>9.0416004340381599E-3</v>
      </c>
      <c r="D92" s="43">
        <f>'Poland Crunch Output'!H96</f>
        <v>1.0932028962647699E-2</v>
      </c>
      <c r="E92" s="43">
        <f>'Poland Crunch Output'!I96</f>
        <v>1.0558285931233801E-2</v>
      </c>
    </row>
    <row r="93" spans="2:5" s="36" customFormat="1" x14ac:dyDescent="0.3">
      <c r="B93" s="56" t="s">
        <v>24</v>
      </c>
      <c r="C93" s="60">
        <f>'Poland Crunch Output'!G82</f>
        <v>214</v>
      </c>
      <c r="D93" s="60">
        <f>'Poland Crunch Output'!H82</f>
        <v>259</v>
      </c>
      <c r="E93" s="60">
        <f>'Poland Crunch Output'!I82</f>
        <v>274</v>
      </c>
    </row>
    <row r="94" spans="2:5" x14ac:dyDescent="0.35">
      <c r="B94" s="27"/>
      <c r="C94" s="33"/>
      <c r="D94" s="33"/>
      <c r="E94" s="33"/>
    </row>
    <row r="95" spans="2:5" x14ac:dyDescent="0.35">
      <c r="B95" s="99" t="s">
        <v>61</v>
      </c>
      <c r="C95" s="39" t="s">
        <v>22</v>
      </c>
      <c r="D95" s="39" t="s">
        <v>22</v>
      </c>
      <c r="E95" s="39" t="s">
        <v>22</v>
      </c>
    </row>
    <row r="96" spans="2:5" x14ac:dyDescent="0.35">
      <c r="B96" s="100"/>
      <c r="C96" s="40" t="s">
        <v>43</v>
      </c>
      <c r="D96" s="40" t="s">
        <v>43</v>
      </c>
      <c r="E96" s="40" t="s">
        <v>43</v>
      </c>
    </row>
    <row r="97" spans="2:5" x14ac:dyDescent="0.35">
      <c r="B97" s="41" t="s">
        <v>336</v>
      </c>
      <c r="C97" s="42" t="s">
        <v>43</v>
      </c>
      <c r="D97" s="42" t="s">
        <v>43</v>
      </c>
      <c r="E97" s="42" t="s">
        <v>43</v>
      </c>
    </row>
    <row r="98" spans="2:5" x14ac:dyDescent="0.35">
      <c r="B98" s="41" t="s">
        <v>194</v>
      </c>
      <c r="C98" s="42" t="s">
        <v>43</v>
      </c>
      <c r="D98" s="42" t="s">
        <v>43</v>
      </c>
      <c r="E98" s="42" t="s">
        <v>43</v>
      </c>
    </row>
    <row r="99" spans="2:5" x14ac:dyDescent="0.35">
      <c r="B99" s="41" t="s">
        <v>195</v>
      </c>
      <c r="C99" s="42" t="s">
        <v>43</v>
      </c>
      <c r="D99" s="42" t="s">
        <v>43</v>
      </c>
      <c r="E99" s="42" t="s">
        <v>43</v>
      </c>
    </row>
    <row r="100" spans="2:5" x14ac:dyDescent="0.35">
      <c r="B100" s="28" t="s">
        <v>196</v>
      </c>
      <c r="C100" s="43" t="s">
        <v>43</v>
      </c>
      <c r="D100" s="43" t="s">
        <v>43</v>
      </c>
      <c r="E100" s="43" t="s">
        <v>43</v>
      </c>
    </row>
    <row r="101" spans="2:5" x14ac:dyDescent="0.35">
      <c r="B101" s="28" t="s">
        <v>197</v>
      </c>
      <c r="C101" s="43" t="s">
        <v>43</v>
      </c>
      <c r="D101" s="43" t="s">
        <v>43</v>
      </c>
      <c r="E101" s="43" t="s">
        <v>43</v>
      </c>
    </row>
    <row r="102" spans="2:5" x14ac:dyDescent="0.35">
      <c r="B102" s="28" t="s">
        <v>198</v>
      </c>
      <c r="C102" s="43" t="s">
        <v>43</v>
      </c>
      <c r="D102" s="43" t="s">
        <v>43</v>
      </c>
      <c r="E102" s="43" t="s">
        <v>43</v>
      </c>
    </row>
    <row r="103" spans="2:5" x14ac:dyDescent="0.35">
      <c r="B103" s="28" t="s">
        <v>199</v>
      </c>
      <c r="C103" s="43" t="s">
        <v>43</v>
      </c>
      <c r="D103" s="43" t="s">
        <v>43</v>
      </c>
      <c r="E103" s="43" t="s">
        <v>43</v>
      </c>
    </row>
    <row r="104" spans="2:5" x14ac:dyDescent="0.35">
      <c r="B104" s="28" t="s">
        <v>200</v>
      </c>
      <c r="C104" s="43" t="s">
        <v>43</v>
      </c>
      <c r="D104" s="43" t="s">
        <v>43</v>
      </c>
      <c r="E104" s="43" t="s">
        <v>43</v>
      </c>
    </row>
    <row r="105" spans="2:5" x14ac:dyDescent="0.35">
      <c r="B105" s="44" t="s">
        <v>201</v>
      </c>
      <c r="C105" s="43" t="s">
        <v>43</v>
      </c>
      <c r="D105" s="43" t="s">
        <v>43</v>
      </c>
      <c r="E105" s="43" t="s">
        <v>43</v>
      </c>
    </row>
    <row r="106" spans="2:5" x14ac:dyDescent="0.35">
      <c r="B106" s="44" t="s">
        <v>202</v>
      </c>
      <c r="C106" s="43" t="s">
        <v>43</v>
      </c>
      <c r="D106" s="43" t="s">
        <v>43</v>
      </c>
      <c r="E106" s="43" t="s">
        <v>43</v>
      </c>
    </row>
    <row r="107" spans="2:5" x14ac:dyDescent="0.35">
      <c r="B107" s="44">
        <v>3</v>
      </c>
      <c r="C107" s="43" t="s">
        <v>43</v>
      </c>
      <c r="D107" s="43" t="s">
        <v>43</v>
      </c>
      <c r="E107" s="43" t="s">
        <v>43</v>
      </c>
    </row>
    <row r="108" spans="2:5" x14ac:dyDescent="0.35">
      <c r="B108" s="44">
        <v>2</v>
      </c>
      <c r="C108" s="43" t="s">
        <v>43</v>
      </c>
      <c r="D108" s="43" t="s">
        <v>43</v>
      </c>
      <c r="E108" s="43" t="s">
        <v>43</v>
      </c>
    </row>
    <row r="109" spans="2:5" x14ac:dyDescent="0.35">
      <c r="B109" s="44" t="s">
        <v>203</v>
      </c>
      <c r="C109" s="43" t="s">
        <v>43</v>
      </c>
      <c r="D109" s="43" t="s">
        <v>43</v>
      </c>
      <c r="E109" s="43" t="s">
        <v>43</v>
      </c>
    </row>
    <row r="110" spans="2:5" x14ac:dyDescent="0.35">
      <c r="B110" s="44" t="s">
        <v>204</v>
      </c>
      <c r="C110" s="43" t="s">
        <v>43</v>
      </c>
      <c r="D110" s="43" t="s">
        <v>43</v>
      </c>
      <c r="E110" s="43" t="s">
        <v>43</v>
      </c>
    </row>
    <row r="111" spans="2:5" s="36" customFormat="1" x14ac:dyDescent="0.3">
      <c r="B111" s="56" t="s">
        <v>24</v>
      </c>
      <c r="C111" s="60">
        <f>'Poland Crunch Output'!G25</f>
        <v>57</v>
      </c>
      <c r="D111" s="60">
        <f>'Poland Crunch Output'!H25</f>
        <v>75</v>
      </c>
      <c r="E111" s="60">
        <f>'Poland Crunch Output'!I25</f>
        <v>88</v>
      </c>
    </row>
    <row r="112" spans="2:5" x14ac:dyDescent="0.35">
      <c r="B112" s="27"/>
      <c r="C112" s="133"/>
      <c r="D112" s="133"/>
      <c r="E112" s="133"/>
    </row>
    <row r="113" spans="2:5" x14ac:dyDescent="0.35">
      <c r="B113" s="99" t="s">
        <v>649</v>
      </c>
      <c r="C113" s="39" t="s">
        <v>22</v>
      </c>
      <c r="D113" s="39" t="s">
        <v>22</v>
      </c>
      <c r="E113" s="39" t="s">
        <v>22</v>
      </c>
    </row>
    <row r="114" spans="2:5" x14ac:dyDescent="0.35">
      <c r="B114" s="100"/>
      <c r="C114" s="40" t="s">
        <v>43</v>
      </c>
      <c r="D114" s="40" t="s">
        <v>43</v>
      </c>
      <c r="E114" s="40" t="s">
        <v>43</v>
      </c>
    </row>
    <row r="115" spans="2:5" x14ac:dyDescent="0.35">
      <c r="B115" s="41" t="s">
        <v>336</v>
      </c>
      <c r="C115" s="42" t="s">
        <v>43</v>
      </c>
      <c r="D115" s="42" t="s">
        <v>43</v>
      </c>
      <c r="E115" s="42" t="s">
        <v>43</v>
      </c>
    </row>
    <row r="116" spans="2:5" x14ac:dyDescent="0.35">
      <c r="B116" s="41" t="s">
        <v>194</v>
      </c>
      <c r="C116" s="42" t="s">
        <v>43</v>
      </c>
      <c r="D116" s="42" t="s">
        <v>43</v>
      </c>
      <c r="E116" s="42" t="s">
        <v>43</v>
      </c>
    </row>
    <row r="117" spans="2:5" x14ac:dyDescent="0.35">
      <c r="B117" s="41" t="s">
        <v>195</v>
      </c>
      <c r="C117" s="42" t="s">
        <v>43</v>
      </c>
      <c r="D117" s="42" t="s">
        <v>43</v>
      </c>
      <c r="E117" s="42" t="s">
        <v>43</v>
      </c>
    </row>
    <row r="118" spans="2:5" x14ac:dyDescent="0.35">
      <c r="B118" s="28" t="s">
        <v>196</v>
      </c>
      <c r="C118" s="43" t="s">
        <v>43</v>
      </c>
      <c r="D118" s="43" t="s">
        <v>43</v>
      </c>
      <c r="E118" s="43" t="s">
        <v>43</v>
      </c>
    </row>
    <row r="119" spans="2:5" x14ac:dyDescent="0.35">
      <c r="B119" s="44">
        <v>9</v>
      </c>
      <c r="C119" s="43" t="s">
        <v>43</v>
      </c>
      <c r="D119" s="43" t="s">
        <v>43</v>
      </c>
      <c r="E119" s="43" t="s">
        <v>43</v>
      </c>
    </row>
    <row r="120" spans="2:5" x14ac:dyDescent="0.35">
      <c r="B120" s="44">
        <v>8</v>
      </c>
      <c r="C120" s="43" t="s">
        <v>43</v>
      </c>
      <c r="D120" s="43" t="s">
        <v>43</v>
      </c>
      <c r="E120" s="43" t="s">
        <v>43</v>
      </c>
    </row>
    <row r="121" spans="2:5" x14ac:dyDescent="0.35">
      <c r="B121" s="44">
        <v>7</v>
      </c>
      <c r="C121" s="43" t="s">
        <v>43</v>
      </c>
      <c r="D121" s="43" t="s">
        <v>43</v>
      </c>
      <c r="E121" s="43" t="s">
        <v>43</v>
      </c>
    </row>
    <row r="122" spans="2:5" x14ac:dyDescent="0.35">
      <c r="B122" s="44">
        <v>6</v>
      </c>
      <c r="C122" s="43" t="s">
        <v>43</v>
      </c>
      <c r="D122" s="43" t="s">
        <v>43</v>
      </c>
      <c r="E122" s="43" t="s">
        <v>43</v>
      </c>
    </row>
    <row r="123" spans="2:5" x14ac:dyDescent="0.35">
      <c r="B123" s="44">
        <v>5</v>
      </c>
      <c r="C123" s="43" t="s">
        <v>43</v>
      </c>
      <c r="D123" s="43" t="s">
        <v>43</v>
      </c>
      <c r="E123" s="43" t="s">
        <v>43</v>
      </c>
    </row>
    <row r="124" spans="2:5" x14ac:dyDescent="0.35">
      <c r="B124" s="44">
        <v>4</v>
      </c>
      <c r="C124" s="43" t="s">
        <v>43</v>
      </c>
      <c r="D124" s="43" t="s">
        <v>43</v>
      </c>
      <c r="E124" s="43" t="s">
        <v>43</v>
      </c>
    </row>
    <row r="125" spans="2:5" x14ac:dyDescent="0.35">
      <c r="B125" s="44">
        <v>3</v>
      </c>
      <c r="C125" s="43" t="s">
        <v>43</v>
      </c>
      <c r="D125" s="43" t="s">
        <v>43</v>
      </c>
      <c r="E125" s="43" t="s">
        <v>43</v>
      </c>
    </row>
    <row r="126" spans="2:5" x14ac:dyDescent="0.35">
      <c r="B126" s="44">
        <v>2</v>
      </c>
      <c r="C126" s="43" t="s">
        <v>43</v>
      </c>
      <c r="D126" s="43" t="s">
        <v>43</v>
      </c>
      <c r="E126" s="43" t="s">
        <v>43</v>
      </c>
    </row>
    <row r="127" spans="2:5" x14ac:dyDescent="0.35">
      <c r="B127" s="44">
        <v>1</v>
      </c>
      <c r="C127" s="43" t="s">
        <v>43</v>
      </c>
      <c r="D127" s="43" t="s">
        <v>43</v>
      </c>
      <c r="E127" s="43" t="s">
        <v>43</v>
      </c>
    </row>
    <row r="128" spans="2:5" x14ac:dyDescent="0.35">
      <c r="B128" s="44" t="s">
        <v>204</v>
      </c>
      <c r="C128" s="43" t="s">
        <v>43</v>
      </c>
      <c r="D128" s="43" t="s">
        <v>43</v>
      </c>
      <c r="E128" s="43" t="s">
        <v>43</v>
      </c>
    </row>
    <row r="129" spans="2:5" s="36" customFormat="1" x14ac:dyDescent="0.3">
      <c r="B129" s="56" t="s">
        <v>24</v>
      </c>
      <c r="C129" s="60">
        <f>'Poland Crunch Output'!G232</f>
        <v>4</v>
      </c>
      <c r="D129" s="60">
        <f>'Poland Crunch Output'!H232</f>
        <v>6</v>
      </c>
      <c r="E129" s="60">
        <f>'Poland Crunch Output'!I232</f>
        <v>6</v>
      </c>
    </row>
    <row r="130" spans="2:5" x14ac:dyDescent="0.35">
      <c r="B130" s="27"/>
      <c r="C130" s="33"/>
      <c r="D130" s="33"/>
      <c r="E130" s="33"/>
    </row>
    <row r="131" spans="2:5" x14ac:dyDescent="0.35">
      <c r="B131" s="99" t="s">
        <v>114</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'Poland Crunch Output'!G120</f>
        <v>53</v>
      </c>
      <c r="D147" s="60">
        <f>'Poland Crunch Output'!H120</f>
        <v>58</v>
      </c>
      <c r="E147" s="60">
        <f>'Poland Crunch Output'!I120</f>
        <v>63</v>
      </c>
    </row>
    <row r="148" spans="2:5" x14ac:dyDescent="0.35">
      <c r="B148" s="27"/>
      <c r="C148" s="33"/>
      <c r="D148" s="33"/>
      <c r="E148" s="33"/>
    </row>
    <row r="149" spans="2:5" x14ac:dyDescent="0.35">
      <c r="B149" s="99" t="s">
        <v>371</v>
      </c>
      <c r="C149" s="39" t="s">
        <v>22</v>
      </c>
      <c r="D149" s="39" t="s">
        <v>22</v>
      </c>
      <c r="E149" s="39" t="s">
        <v>22</v>
      </c>
    </row>
    <row r="150" spans="2:5" x14ac:dyDescent="0.35">
      <c r="B150" s="100"/>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ht="14.5" customHeight="1"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'Poland Crunch Output'!G176</f>
        <v>72</v>
      </c>
      <c r="D165" s="60">
        <f>'Poland Crunch Output'!H176</f>
        <v>84</v>
      </c>
      <c r="E165" s="60">
        <f>'Poland Crunch Output'!I176</f>
        <v>86</v>
      </c>
    </row>
    <row r="166" spans="2:5" x14ac:dyDescent="0.35">
      <c r="B166" s="27"/>
      <c r="C166" s="33"/>
      <c r="D166" s="33"/>
      <c r="E166" s="33"/>
    </row>
    <row r="167" spans="2:5" x14ac:dyDescent="0.35">
      <c r="B167" s="99" t="s">
        <v>116</v>
      </c>
      <c r="C167" s="39" t="s">
        <v>22</v>
      </c>
      <c r="D167" s="39" t="s">
        <v>22</v>
      </c>
      <c r="E167" s="39"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'Poland Crunch Output'!G195</f>
        <v>12</v>
      </c>
      <c r="D183" s="60">
        <f>'Poland Crunch Output'!H195</f>
        <v>15</v>
      </c>
      <c r="E183" s="60">
        <f>'Poland Crunch Output'!I195</f>
        <v>13</v>
      </c>
    </row>
    <row r="184" spans="2:5" x14ac:dyDescent="0.35">
      <c r="B184" s="27"/>
      <c r="C184" s="33"/>
      <c r="D184" s="33"/>
      <c r="E184" s="33"/>
    </row>
    <row r="185" spans="2:5" x14ac:dyDescent="0.35">
      <c r="B185" s="99" t="s">
        <v>117</v>
      </c>
      <c r="C185" s="39" t="s">
        <v>22</v>
      </c>
      <c r="D185" s="39" t="s">
        <v>22</v>
      </c>
      <c r="E185" s="39" t="s">
        <v>22</v>
      </c>
    </row>
    <row r="186" spans="2:5" x14ac:dyDescent="0.35">
      <c r="B186" s="100"/>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x14ac:dyDescent="0.3">
      <c r="B201" s="56" t="s">
        <v>24</v>
      </c>
      <c r="C201" s="60">
        <f>'Poland Crunch Output'!G157</f>
        <v>32</v>
      </c>
      <c r="D201" s="60">
        <f>'Poland Crunch Output'!H157</f>
        <v>39</v>
      </c>
      <c r="E201" s="60">
        <f>'Poland Crunch Output'!I157</f>
        <v>41</v>
      </c>
    </row>
    <row r="202" spans="2:5" x14ac:dyDescent="0.35">
      <c r="B202" s="27"/>
      <c r="C202" s="33"/>
      <c r="D202" s="33"/>
      <c r="E202" s="33"/>
    </row>
    <row r="203" spans="2:5" x14ac:dyDescent="0.35">
      <c r="B203" s="99" t="s">
        <v>118</v>
      </c>
      <c r="C203" s="39" t="s">
        <v>22</v>
      </c>
      <c r="D203" s="39" t="s">
        <v>22</v>
      </c>
      <c r="E203" s="39" t="s">
        <v>22</v>
      </c>
    </row>
    <row r="204" spans="2:5" x14ac:dyDescent="0.35">
      <c r="B204" s="100"/>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x14ac:dyDescent="0.35">
      <c r="B217" s="44">
        <v>1</v>
      </c>
      <c r="C217" s="43" t="s">
        <v>43</v>
      </c>
      <c r="D217" s="43" t="s">
        <v>43</v>
      </c>
      <c r="E217" s="43" t="s">
        <v>43</v>
      </c>
    </row>
    <row r="218" spans="2:5" x14ac:dyDescent="0.35">
      <c r="B218" s="44" t="s">
        <v>204</v>
      </c>
      <c r="C218" s="43" t="s">
        <v>43</v>
      </c>
      <c r="D218" s="43" t="s">
        <v>43</v>
      </c>
      <c r="E218" s="43" t="s">
        <v>43</v>
      </c>
    </row>
    <row r="219" spans="2:5" s="36" customFormat="1" x14ac:dyDescent="0.3">
      <c r="B219" s="56" t="s">
        <v>24</v>
      </c>
      <c r="C219" s="60">
        <f>'Poland Crunch Output'!G270</f>
        <v>20</v>
      </c>
      <c r="D219" s="60">
        <f>'Poland Crunch Output'!H270</f>
        <v>20</v>
      </c>
      <c r="E219" s="60">
        <f>'Poland Crunch Output'!I270</f>
        <v>22</v>
      </c>
    </row>
    <row r="220" spans="2:5" x14ac:dyDescent="0.35">
      <c r="B220" s="27"/>
      <c r="C220" s="33"/>
      <c r="D220" s="33"/>
      <c r="E220" s="33"/>
    </row>
    <row r="221" spans="2:5" x14ac:dyDescent="0.35">
      <c r="B221" s="99" t="s">
        <v>104</v>
      </c>
      <c r="C221" s="39" t="s">
        <v>22</v>
      </c>
      <c r="D221" s="39" t="s">
        <v>22</v>
      </c>
      <c r="E221" s="39" t="s">
        <v>22</v>
      </c>
    </row>
    <row r="222" spans="2:5" x14ac:dyDescent="0.35">
      <c r="B222" s="100"/>
      <c r="C222" s="40" t="s">
        <v>43</v>
      </c>
      <c r="D222" s="40" t="s">
        <v>43</v>
      </c>
      <c r="E222" s="40" t="s">
        <v>43</v>
      </c>
    </row>
    <row r="223" spans="2:5" x14ac:dyDescent="0.35">
      <c r="B223" s="41" t="s">
        <v>336</v>
      </c>
      <c r="C223" s="42" t="s">
        <v>43</v>
      </c>
      <c r="D223" s="42" t="s">
        <v>43</v>
      </c>
      <c r="E223" s="42" t="s">
        <v>43</v>
      </c>
    </row>
    <row r="224" spans="2:5" x14ac:dyDescent="0.35">
      <c r="B224" s="41" t="s">
        <v>194</v>
      </c>
      <c r="C224" s="42" t="s">
        <v>43</v>
      </c>
      <c r="D224" s="42" t="s">
        <v>43</v>
      </c>
      <c r="E224" s="42" t="s">
        <v>43</v>
      </c>
    </row>
    <row r="225" spans="2:5" x14ac:dyDescent="0.35">
      <c r="B225" s="41" t="s">
        <v>195</v>
      </c>
      <c r="C225" s="42" t="s">
        <v>43</v>
      </c>
      <c r="D225" s="42" t="s">
        <v>43</v>
      </c>
      <c r="E225" s="42" t="s">
        <v>43</v>
      </c>
    </row>
    <row r="226" spans="2:5" x14ac:dyDescent="0.35">
      <c r="B226" s="28" t="s">
        <v>196</v>
      </c>
      <c r="C226" s="43" t="s">
        <v>43</v>
      </c>
      <c r="D226" s="43" t="s">
        <v>43</v>
      </c>
      <c r="E226" s="43" t="s">
        <v>43</v>
      </c>
    </row>
    <row r="227" spans="2:5" x14ac:dyDescent="0.35">
      <c r="B227" s="44">
        <v>9</v>
      </c>
      <c r="C227" s="43" t="s">
        <v>43</v>
      </c>
      <c r="D227" s="43" t="s">
        <v>43</v>
      </c>
      <c r="E227" s="43" t="s">
        <v>43</v>
      </c>
    </row>
    <row r="228" spans="2:5" x14ac:dyDescent="0.35">
      <c r="B228" s="44">
        <v>8</v>
      </c>
      <c r="C228" s="43" t="s">
        <v>43</v>
      </c>
      <c r="D228" s="43" t="s">
        <v>43</v>
      </c>
      <c r="E228" s="43" t="s">
        <v>43</v>
      </c>
    </row>
    <row r="229" spans="2:5" x14ac:dyDescent="0.35">
      <c r="B229" s="44">
        <v>7</v>
      </c>
      <c r="C229" s="43" t="s">
        <v>43</v>
      </c>
      <c r="D229" s="43" t="s">
        <v>43</v>
      </c>
      <c r="E229" s="43" t="s">
        <v>43</v>
      </c>
    </row>
    <row r="230" spans="2:5" x14ac:dyDescent="0.35">
      <c r="B230" s="44">
        <v>6</v>
      </c>
      <c r="C230" s="43" t="s">
        <v>43</v>
      </c>
      <c r="D230" s="43" t="s">
        <v>43</v>
      </c>
      <c r="E230" s="43" t="s">
        <v>43</v>
      </c>
    </row>
    <row r="231" spans="2:5" x14ac:dyDescent="0.35">
      <c r="B231" s="44">
        <v>5</v>
      </c>
      <c r="C231" s="43" t="s">
        <v>43</v>
      </c>
      <c r="D231" s="43" t="s">
        <v>43</v>
      </c>
      <c r="E231" s="43" t="s">
        <v>43</v>
      </c>
    </row>
    <row r="232" spans="2:5" x14ac:dyDescent="0.35">
      <c r="B232" s="44">
        <v>4</v>
      </c>
      <c r="C232" s="43" t="s">
        <v>43</v>
      </c>
      <c r="D232" s="43" t="s">
        <v>43</v>
      </c>
      <c r="E232" s="43" t="s">
        <v>43</v>
      </c>
    </row>
    <row r="233" spans="2:5" x14ac:dyDescent="0.35">
      <c r="B233" s="44">
        <v>3</v>
      </c>
      <c r="C233" s="43" t="s">
        <v>43</v>
      </c>
      <c r="D233" s="43" t="s">
        <v>43</v>
      </c>
      <c r="E233" s="43" t="s">
        <v>43</v>
      </c>
    </row>
    <row r="234" spans="2:5" x14ac:dyDescent="0.35">
      <c r="B234" s="44">
        <v>2</v>
      </c>
      <c r="C234" s="43" t="s">
        <v>43</v>
      </c>
      <c r="D234" s="43" t="s">
        <v>43</v>
      </c>
      <c r="E234" s="43" t="s">
        <v>43</v>
      </c>
    </row>
    <row r="235" spans="2:5" x14ac:dyDescent="0.35">
      <c r="B235" s="44">
        <v>1</v>
      </c>
      <c r="C235" s="43" t="s">
        <v>43</v>
      </c>
      <c r="D235" s="43" t="s">
        <v>43</v>
      </c>
      <c r="E235" s="43" t="s">
        <v>43</v>
      </c>
    </row>
    <row r="236" spans="2:5" x14ac:dyDescent="0.35">
      <c r="B236" s="44" t="s">
        <v>204</v>
      </c>
      <c r="C236" s="43" t="s">
        <v>43</v>
      </c>
      <c r="D236" s="43" t="s">
        <v>43</v>
      </c>
      <c r="E236" s="43" t="s">
        <v>43</v>
      </c>
    </row>
    <row r="237" spans="2:5" s="36" customFormat="1" x14ac:dyDescent="0.3">
      <c r="B237" s="56" t="s">
        <v>24</v>
      </c>
      <c r="C237" s="60">
        <f>'Poland Crunch Output'!G251</f>
        <v>3</v>
      </c>
      <c r="D237" s="60">
        <f>'Poland Crunch Output'!H251</f>
        <v>4</v>
      </c>
      <c r="E237" s="60">
        <f>'Poland Crunch Output'!I251</f>
        <v>5</v>
      </c>
    </row>
    <row r="238" spans="2:5" x14ac:dyDescent="0.35">
      <c r="B238" s="27"/>
      <c r="C238" s="33"/>
      <c r="D238" s="33"/>
      <c r="E238" s="33"/>
    </row>
    <row r="239" spans="2:5" x14ac:dyDescent="0.35">
      <c r="B239" s="99" t="s">
        <v>373</v>
      </c>
      <c r="C239" s="39" t="s">
        <v>22</v>
      </c>
      <c r="D239" s="39" t="s">
        <v>22</v>
      </c>
      <c r="E239" s="39" t="s">
        <v>22</v>
      </c>
    </row>
    <row r="240" spans="2:5" x14ac:dyDescent="0.35">
      <c r="B240" s="100"/>
      <c r="C240" s="40" t="s">
        <v>43</v>
      </c>
      <c r="D240" s="40" t="s">
        <v>43</v>
      </c>
      <c r="E240" s="40" t="s">
        <v>43</v>
      </c>
    </row>
    <row r="241" spans="2:5" x14ac:dyDescent="0.35">
      <c r="B241" s="41" t="s">
        <v>336</v>
      </c>
      <c r="C241" s="42" t="s">
        <v>43</v>
      </c>
      <c r="D241" s="42" t="s">
        <v>43</v>
      </c>
      <c r="E241" s="42" t="s">
        <v>43</v>
      </c>
    </row>
    <row r="242" spans="2:5" x14ac:dyDescent="0.35">
      <c r="B242" s="41" t="s">
        <v>194</v>
      </c>
      <c r="C242" s="42" t="s">
        <v>43</v>
      </c>
      <c r="D242" s="42" t="s">
        <v>43</v>
      </c>
      <c r="E242" s="42" t="s">
        <v>43</v>
      </c>
    </row>
    <row r="243" spans="2:5" x14ac:dyDescent="0.35">
      <c r="B243" s="41" t="s">
        <v>195</v>
      </c>
      <c r="C243" s="42" t="s">
        <v>43</v>
      </c>
      <c r="D243" s="42" t="s">
        <v>43</v>
      </c>
      <c r="E243" s="42" t="s">
        <v>43</v>
      </c>
    </row>
    <row r="244" spans="2:5" x14ac:dyDescent="0.35">
      <c r="B244" s="28" t="s">
        <v>196</v>
      </c>
      <c r="C244" s="43" t="s">
        <v>43</v>
      </c>
      <c r="D244" s="43" t="s">
        <v>43</v>
      </c>
      <c r="E244" s="43" t="s">
        <v>43</v>
      </c>
    </row>
    <row r="245" spans="2:5" x14ac:dyDescent="0.35">
      <c r="B245" s="44">
        <v>9</v>
      </c>
      <c r="C245" s="43" t="s">
        <v>43</v>
      </c>
      <c r="D245" s="43" t="s">
        <v>43</v>
      </c>
      <c r="E245" s="43" t="s">
        <v>43</v>
      </c>
    </row>
    <row r="246" spans="2:5" x14ac:dyDescent="0.35">
      <c r="B246" s="44">
        <v>8</v>
      </c>
      <c r="C246" s="43" t="s">
        <v>43</v>
      </c>
      <c r="D246" s="43" t="s">
        <v>43</v>
      </c>
      <c r="E246" s="43" t="s">
        <v>43</v>
      </c>
    </row>
    <row r="247" spans="2:5" x14ac:dyDescent="0.35">
      <c r="B247" s="44">
        <v>7</v>
      </c>
      <c r="C247" s="43" t="s">
        <v>43</v>
      </c>
      <c r="D247" s="43" t="s">
        <v>43</v>
      </c>
      <c r="E247" s="43" t="s">
        <v>43</v>
      </c>
    </row>
    <row r="248" spans="2:5" x14ac:dyDescent="0.35">
      <c r="B248" s="44">
        <v>6</v>
      </c>
      <c r="C248" s="43" t="s">
        <v>43</v>
      </c>
      <c r="D248" s="43" t="s">
        <v>43</v>
      </c>
      <c r="E248" s="43" t="s">
        <v>43</v>
      </c>
    </row>
    <row r="249" spans="2:5" x14ac:dyDescent="0.35">
      <c r="B249" s="44">
        <v>5</v>
      </c>
      <c r="C249" s="43" t="s">
        <v>43</v>
      </c>
      <c r="D249" s="43" t="s">
        <v>43</v>
      </c>
      <c r="E249" s="43" t="s">
        <v>43</v>
      </c>
    </row>
    <row r="250" spans="2:5" x14ac:dyDescent="0.35">
      <c r="B250" s="44">
        <v>4</v>
      </c>
      <c r="C250" s="43" t="s">
        <v>43</v>
      </c>
      <c r="D250" s="43" t="s">
        <v>43</v>
      </c>
      <c r="E250" s="43" t="s">
        <v>43</v>
      </c>
    </row>
    <row r="251" spans="2:5" x14ac:dyDescent="0.35">
      <c r="B251" s="44">
        <v>3</v>
      </c>
      <c r="C251" s="43" t="s">
        <v>43</v>
      </c>
      <c r="D251" s="43" t="s">
        <v>43</v>
      </c>
      <c r="E251" s="43" t="s">
        <v>43</v>
      </c>
    </row>
    <row r="252" spans="2:5" x14ac:dyDescent="0.35">
      <c r="B252" s="44">
        <v>2</v>
      </c>
      <c r="C252" s="43" t="s">
        <v>43</v>
      </c>
      <c r="D252" s="43" t="s">
        <v>43</v>
      </c>
      <c r="E252" s="43" t="s">
        <v>43</v>
      </c>
    </row>
    <row r="253" spans="2:5" x14ac:dyDescent="0.35">
      <c r="B253" s="44">
        <v>1</v>
      </c>
      <c r="C253" s="43" t="s">
        <v>43</v>
      </c>
      <c r="D253" s="43" t="s">
        <v>43</v>
      </c>
      <c r="E253" s="43" t="s">
        <v>43</v>
      </c>
    </row>
    <row r="254" spans="2:5" x14ac:dyDescent="0.35">
      <c r="B254" s="44" t="s">
        <v>204</v>
      </c>
      <c r="C254" s="43" t="s">
        <v>43</v>
      </c>
      <c r="D254" s="43" t="s">
        <v>43</v>
      </c>
      <c r="E254" s="43" t="s">
        <v>43</v>
      </c>
    </row>
    <row r="255" spans="2:5" s="36" customFormat="1" x14ac:dyDescent="0.3">
      <c r="B255" s="56" t="s">
        <v>24</v>
      </c>
      <c r="C255" s="60">
        <f>'Poland Crunch Output'!G362</f>
        <v>7</v>
      </c>
      <c r="D255" s="60">
        <f>'Poland Crunch Output'!H362</f>
        <v>9</v>
      </c>
      <c r="E255" s="60">
        <f>'Poland Crunch Output'!I362</f>
        <v>11</v>
      </c>
    </row>
    <row r="256" spans="2:5" x14ac:dyDescent="0.35">
      <c r="B256" s="27"/>
      <c r="C256" s="33"/>
      <c r="D256" s="33"/>
      <c r="E256" s="33"/>
    </row>
    <row r="257" spans="2:7" x14ac:dyDescent="0.35">
      <c r="B257" s="99" t="s">
        <v>105</v>
      </c>
      <c r="C257" s="39" t="s">
        <v>22</v>
      </c>
      <c r="D257" s="39" t="s">
        <v>22</v>
      </c>
      <c r="E257" s="39" t="s">
        <v>22</v>
      </c>
    </row>
    <row r="258" spans="2:7" x14ac:dyDescent="0.35">
      <c r="B258" s="100"/>
      <c r="C258" s="40">
        <f>'Poland Crunch Output'!G340</f>
        <v>59.226942727362001</v>
      </c>
      <c r="D258" s="40">
        <f>'Poland Crunch Output'!H340</f>
        <v>56.509002558433053</v>
      </c>
      <c r="E258" s="40">
        <f>'Poland Crunch Output'!I340</f>
        <v>51.510056581951261</v>
      </c>
    </row>
    <row r="259" spans="2:7" x14ac:dyDescent="0.35">
      <c r="B259" s="41" t="s">
        <v>336</v>
      </c>
      <c r="C259" s="42">
        <f>'Poland Crunch Output'!G326</f>
        <v>0.68032753588035211</v>
      </c>
      <c r="D259" s="42">
        <f>'Poland Crunch Output'!H326</f>
        <v>0.646643172332526</v>
      </c>
      <c r="E259" s="42">
        <f>'Poland Crunch Output'!I326</f>
        <v>0.58758273715416653</v>
      </c>
      <c r="G259" s="178"/>
    </row>
    <row r="260" spans="2:7" x14ac:dyDescent="0.35">
      <c r="B260" s="41" t="s">
        <v>194</v>
      </c>
      <c r="C260" s="42">
        <f>'Poland Crunch Output'!G327</f>
        <v>0.23161435551291609</v>
      </c>
      <c r="D260" s="42">
        <f>'Poland Crunch Output'!H327</f>
        <v>0.27180368091927831</v>
      </c>
      <c r="E260" s="42">
        <f>'Poland Crunch Output'!I327</f>
        <v>0.33993509151117912</v>
      </c>
    </row>
    <row r="261" spans="2:7" x14ac:dyDescent="0.35">
      <c r="B261" s="41" t="s">
        <v>195</v>
      </c>
      <c r="C261" s="42">
        <f>'Poland Crunch Output'!G328</f>
        <v>8.8058108606731952E-2</v>
      </c>
      <c r="D261" s="42">
        <f>'Poland Crunch Output'!H328</f>
        <v>8.1553146748195582E-2</v>
      </c>
      <c r="E261" s="42">
        <f>'Poland Crunch Output'!I328</f>
        <v>7.2482171334654052E-2</v>
      </c>
    </row>
    <row r="262" spans="2:7" x14ac:dyDescent="0.35">
      <c r="B262" s="28" t="s">
        <v>196</v>
      </c>
      <c r="C262" s="43">
        <f>'Poland Crunch Output'!G329</f>
        <v>0.46590062120848019</v>
      </c>
      <c r="D262" s="43">
        <f>'Poland Crunch Output'!H329</f>
        <v>0.43168553988084368</v>
      </c>
      <c r="E262" s="43">
        <f>'Poland Crunch Output'!I329</f>
        <v>0.39216226894860229</v>
      </c>
    </row>
    <row r="263" spans="2:7" x14ac:dyDescent="0.35">
      <c r="B263" s="44">
        <v>9</v>
      </c>
      <c r="C263" s="43">
        <f>'Poland Crunch Output'!G330</f>
        <v>0.21442691467187189</v>
      </c>
      <c r="D263" s="43">
        <f>'Poland Crunch Output'!H330</f>
        <v>0.2149576324516824</v>
      </c>
      <c r="E263" s="43">
        <f>'Poland Crunch Output'!I330</f>
        <v>0.19542046820556419</v>
      </c>
    </row>
    <row r="264" spans="2:7" x14ac:dyDescent="0.35">
      <c r="B264" s="44">
        <v>8</v>
      </c>
      <c r="C264" s="43">
        <f>'Poland Crunch Output'!G331</f>
        <v>0.15268453361079379</v>
      </c>
      <c r="D264" s="43">
        <f>'Poland Crunch Output'!H331</f>
        <v>0.1851774998987227</v>
      </c>
      <c r="E264" s="43">
        <f>'Poland Crunch Output'!I331</f>
        <v>0.2251686410627409</v>
      </c>
    </row>
    <row r="265" spans="2:7" x14ac:dyDescent="0.35">
      <c r="B265" s="44">
        <v>7</v>
      </c>
      <c r="C265" s="43">
        <f>'Poland Crunch Output'!G332</f>
        <v>7.8929821902122291E-2</v>
      </c>
      <c r="D265" s="43">
        <f>'Poland Crunch Output'!H332</f>
        <v>8.6626181020555582E-2</v>
      </c>
      <c r="E265" s="43">
        <f>'Poland Crunch Output'!I332</f>
        <v>0.11476645044843831</v>
      </c>
    </row>
    <row r="266" spans="2:7" x14ac:dyDescent="0.35">
      <c r="B266" s="44">
        <v>6</v>
      </c>
      <c r="C266" s="43">
        <f>'Poland Crunch Output'!G333</f>
        <v>4.2492557807070203E-2</v>
      </c>
      <c r="D266" s="43">
        <f>'Poland Crunch Output'!H333</f>
        <v>3.586359671643749E-2</v>
      </c>
      <c r="E266" s="43">
        <f>'Poland Crunch Output'!I333</f>
        <v>2.0159984985015238E-2</v>
      </c>
    </row>
    <row r="267" spans="2:7" x14ac:dyDescent="0.35">
      <c r="B267" s="44">
        <v>5</v>
      </c>
      <c r="C267" s="43">
        <f>'Poland Crunch Output'!G334</f>
        <v>1.256766184125223E-2</v>
      </c>
      <c r="D267" s="43">
        <f>'Poland Crunch Output'!H334</f>
        <v>1.7839426547281038E-2</v>
      </c>
      <c r="E267" s="43">
        <f>'Poland Crunch Output'!I334</f>
        <v>1.9499097324286899E-2</v>
      </c>
    </row>
    <row r="268" spans="2:7" x14ac:dyDescent="0.35">
      <c r="B268" s="44">
        <v>4</v>
      </c>
      <c r="C268" s="43">
        <f>'Poland Crunch Output'!G335</f>
        <v>3.189902040625379E-3</v>
      </c>
      <c r="D268" s="43">
        <f>'Poland Crunch Output'!H335</f>
        <v>2.692268158329003E-3</v>
      </c>
      <c r="E268" s="43">
        <f>'Poland Crunch Output'!I335</f>
        <v>2.9427402670820211E-3</v>
      </c>
    </row>
    <row r="269" spans="2:7" x14ac:dyDescent="0.35">
      <c r="B269" s="44">
        <v>3</v>
      </c>
      <c r="C269" s="43">
        <f>'Poland Crunch Output'!G336</f>
        <v>0</v>
      </c>
      <c r="D269" s="43">
        <f>'Poland Crunch Output'!H336</f>
        <v>0</v>
      </c>
      <c r="E269" s="43">
        <f>'Poland Crunch Output'!I336</f>
        <v>7.6211571027027828E-3</v>
      </c>
    </row>
    <row r="270" spans="2:7" x14ac:dyDescent="0.35">
      <c r="B270" s="44">
        <v>2</v>
      </c>
      <c r="C270" s="43">
        <f>'Poland Crunch Output'!G337</f>
        <v>2.9807986917784138E-2</v>
      </c>
      <c r="D270" s="43">
        <f>'Poland Crunch Output'!H337</f>
        <v>2.515785532614806E-2</v>
      </c>
      <c r="E270" s="43">
        <f>'Poland Crunch Output'!I337</f>
        <v>2.2259191655567102E-2</v>
      </c>
    </row>
    <row r="271" spans="2:7" x14ac:dyDescent="0.35">
      <c r="B271" s="44">
        <v>1</v>
      </c>
      <c r="C271" s="43">
        <f>'Poland Crunch Output'!G338</f>
        <v>0</v>
      </c>
      <c r="D271" s="43">
        <f>'Poland Crunch Output'!H338</f>
        <v>0</v>
      </c>
      <c r="E271" s="43">
        <f>'Poland Crunch Output'!I338</f>
        <v>0</v>
      </c>
    </row>
    <row r="272" spans="2:7" x14ac:dyDescent="0.35">
      <c r="B272" s="44" t="s">
        <v>204</v>
      </c>
      <c r="C272" s="43">
        <f>'Poland Crunch Output'!G339</f>
        <v>0</v>
      </c>
      <c r="D272" s="43">
        <f>'Poland Crunch Output'!H339</f>
        <v>0</v>
      </c>
      <c r="E272" s="43">
        <f>'Poland Crunch Output'!I339</f>
        <v>0</v>
      </c>
    </row>
    <row r="273" spans="2:5" s="36" customFormat="1" ht="15" thickBot="1" x14ac:dyDescent="0.35">
      <c r="B273" s="57" t="s">
        <v>24</v>
      </c>
      <c r="C273" s="61">
        <f>'Poland Crunch Output'!G325</f>
        <v>132</v>
      </c>
      <c r="D273" s="61">
        <f>'Poland Crunch Output'!H325</f>
        <v>158</v>
      </c>
      <c r="E273" s="61">
        <f>'Poland Crunch Output'!I325</f>
        <v>151</v>
      </c>
    </row>
    <row r="275" spans="2:5" x14ac:dyDescent="0.35">
      <c r="B275" s="99" t="s">
        <v>640</v>
      </c>
      <c r="C275" s="39" t="s">
        <v>22</v>
      </c>
      <c r="D275" s="39" t="s">
        <v>22</v>
      </c>
      <c r="E275" s="39" t="s">
        <v>22</v>
      </c>
    </row>
    <row r="276" spans="2:5" x14ac:dyDescent="0.35">
      <c r="B276" s="100"/>
      <c r="C276" s="40" t="s">
        <v>43</v>
      </c>
      <c r="D276" s="40" t="s">
        <v>43</v>
      </c>
      <c r="E276" s="40" t="s">
        <v>43</v>
      </c>
    </row>
    <row r="277" spans="2:5" x14ac:dyDescent="0.35">
      <c r="B277" s="41" t="s">
        <v>336</v>
      </c>
      <c r="C277" s="42" t="s">
        <v>43</v>
      </c>
      <c r="D277" s="42" t="s">
        <v>43</v>
      </c>
      <c r="E277" s="42" t="s">
        <v>43</v>
      </c>
    </row>
    <row r="278" spans="2:5" x14ac:dyDescent="0.35">
      <c r="B278" s="41" t="s">
        <v>194</v>
      </c>
      <c r="C278" s="42" t="s">
        <v>43</v>
      </c>
      <c r="D278" s="42" t="s">
        <v>43</v>
      </c>
      <c r="E278" s="42" t="s">
        <v>43</v>
      </c>
    </row>
    <row r="279" spans="2:5" x14ac:dyDescent="0.35">
      <c r="B279" s="41" t="s">
        <v>195</v>
      </c>
      <c r="C279" s="42" t="s">
        <v>43</v>
      </c>
      <c r="D279" s="42" t="s">
        <v>43</v>
      </c>
      <c r="E279" s="42" t="s">
        <v>43</v>
      </c>
    </row>
    <row r="280" spans="2:5" x14ac:dyDescent="0.35">
      <c r="B280" s="28" t="s">
        <v>196</v>
      </c>
      <c r="C280" s="43" t="s">
        <v>43</v>
      </c>
      <c r="D280" s="43" t="s">
        <v>43</v>
      </c>
      <c r="E280" s="43" t="s">
        <v>43</v>
      </c>
    </row>
    <row r="281" spans="2:5" x14ac:dyDescent="0.35">
      <c r="B281" s="44">
        <v>9</v>
      </c>
      <c r="C281" s="43" t="s">
        <v>43</v>
      </c>
      <c r="D281" s="43" t="s">
        <v>43</v>
      </c>
      <c r="E281" s="43" t="s">
        <v>43</v>
      </c>
    </row>
    <row r="282" spans="2:5" x14ac:dyDescent="0.35">
      <c r="B282" s="44">
        <v>8</v>
      </c>
      <c r="C282" s="43" t="s">
        <v>43</v>
      </c>
      <c r="D282" s="43" t="s">
        <v>43</v>
      </c>
      <c r="E282" s="43" t="s">
        <v>43</v>
      </c>
    </row>
    <row r="283" spans="2:5" x14ac:dyDescent="0.35">
      <c r="B283" s="44">
        <v>7</v>
      </c>
      <c r="C283" s="43" t="s">
        <v>43</v>
      </c>
      <c r="D283" s="43" t="s">
        <v>43</v>
      </c>
      <c r="E283" s="43" t="s">
        <v>43</v>
      </c>
    </row>
    <row r="284" spans="2:5" x14ac:dyDescent="0.35">
      <c r="B284" s="44">
        <v>6</v>
      </c>
      <c r="C284" s="43" t="s">
        <v>43</v>
      </c>
      <c r="D284" s="43" t="s">
        <v>43</v>
      </c>
      <c r="E284" s="43" t="s">
        <v>43</v>
      </c>
    </row>
    <row r="285" spans="2:5" x14ac:dyDescent="0.35">
      <c r="B285" s="44">
        <v>5</v>
      </c>
      <c r="C285" s="43" t="s">
        <v>43</v>
      </c>
      <c r="D285" s="43" t="s">
        <v>43</v>
      </c>
      <c r="E285" s="43" t="s">
        <v>43</v>
      </c>
    </row>
    <row r="286" spans="2:5" x14ac:dyDescent="0.35">
      <c r="B286" s="44">
        <v>4</v>
      </c>
      <c r="C286" s="43" t="s">
        <v>43</v>
      </c>
      <c r="D286" s="43" t="s">
        <v>43</v>
      </c>
      <c r="E286" s="43" t="s">
        <v>43</v>
      </c>
    </row>
    <row r="287" spans="2:5" x14ac:dyDescent="0.35">
      <c r="B287" s="44">
        <v>3</v>
      </c>
      <c r="C287" s="43" t="s">
        <v>43</v>
      </c>
      <c r="D287" s="43" t="s">
        <v>43</v>
      </c>
      <c r="E287" s="43" t="s">
        <v>43</v>
      </c>
    </row>
    <row r="288" spans="2:5" x14ac:dyDescent="0.35">
      <c r="B288" s="44">
        <v>2</v>
      </c>
      <c r="C288" s="43" t="s">
        <v>43</v>
      </c>
      <c r="D288" s="43" t="s">
        <v>43</v>
      </c>
      <c r="E288" s="43" t="s">
        <v>43</v>
      </c>
    </row>
    <row r="289" spans="2:5" x14ac:dyDescent="0.35">
      <c r="B289" s="44">
        <v>1</v>
      </c>
      <c r="C289" s="43" t="s">
        <v>43</v>
      </c>
      <c r="D289" s="43" t="s">
        <v>43</v>
      </c>
      <c r="E289" s="43" t="s">
        <v>43</v>
      </c>
    </row>
    <row r="290" spans="2:5" x14ac:dyDescent="0.35">
      <c r="B290" s="44" t="s">
        <v>204</v>
      </c>
      <c r="C290" s="43" t="s">
        <v>43</v>
      </c>
      <c r="D290" s="43" t="s">
        <v>43</v>
      </c>
      <c r="E290" s="43" t="s">
        <v>43</v>
      </c>
    </row>
    <row r="291" spans="2:5" s="36" customFormat="1" ht="15" thickBot="1" x14ac:dyDescent="0.35">
      <c r="B291" s="57" t="s">
        <v>24</v>
      </c>
      <c r="C291" s="61">
        <f>'Poland Crunch Output'!G381</f>
        <v>4</v>
      </c>
      <c r="D291" s="61">
        <f>'Poland Crunch Output'!H381</f>
        <v>5</v>
      </c>
      <c r="E291" s="61">
        <f>'Poland Crunch Output'!I381</f>
        <v>5</v>
      </c>
    </row>
  </sheetData>
  <conditionalFormatting sqref="C21:E21 C39:E39 C57:E57 C75:E75 C93:E93 C111:E111 C129:E129 C147:E147 C165:E165 C183:E183 C201:E201 C219:E219 C237:E237 C255:E255 C273:E273">
    <cfRule type="expression" dxfId="4" priority="2">
      <formula>C21&lt;100</formula>
    </cfRule>
  </conditionalFormatting>
  <conditionalFormatting sqref="C291:E291">
    <cfRule type="expression" dxfId="3" priority="1">
      <formula>C291&lt;50</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8082-95FD-49D9-9C1E-961885150855}">
  <dimension ref="A1:I401"/>
  <sheetViews>
    <sheetView topLeftCell="A365" workbookViewId="0">
      <selection activeCell="M3" sqref="M3"/>
    </sheetView>
  </sheetViews>
  <sheetFormatPr defaultRowHeight="14.5" x14ac:dyDescent="0.35"/>
  <cols>
    <col min="1" max="1" width="25.7265625" customWidth="1"/>
    <col min="2" max="9" width="12.7265625" customWidth="1"/>
  </cols>
  <sheetData>
    <row r="1" spans="1:9" ht="26" x14ac:dyDescent="0.6">
      <c r="A1" s="9" t="s">
        <v>374</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634</v>
      </c>
      <c r="H5" s="13" t="s">
        <v>641</v>
      </c>
      <c r="I5" s="13" t="s">
        <v>647</v>
      </c>
    </row>
    <row r="6" spans="1:9" x14ac:dyDescent="0.35">
      <c r="A6" s="14" t="s">
        <v>209</v>
      </c>
      <c r="B6" s="15">
        <v>103</v>
      </c>
      <c r="C6" s="15">
        <v>25</v>
      </c>
      <c r="D6" s="15">
        <v>42</v>
      </c>
      <c r="E6" s="15">
        <v>64</v>
      </c>
      <c r="F6" s="15">
        <v>103</v>
      </c>
      <c r="G6" s="15">
        <v>133</v>
      </c>
      <c r="H6" s="15">
        <v>160</v>
      </c>
      <c r="I6" s="15">
        <v>163</v>
      </c>
    </row>
    <row r="7" spans="1:9" x14ac:dyDescent="0.35">
      <c r="A7" s="16" t="s">
        <v>336</v>
      </c>
      <c r="B7" s="17">
        <v>0.47815470230598278</v>
      </c>
      <c r="C7" s="17">
        <v>0.58808558031642011</v>
      </c>
      <c r="D7" s="17">
        <v>0.49128561183964681</v>
      </c>
      <c r="E7" s="17">
        <v>0.43859223129555258</v>
      </c>
      <c r="F7" s="17">
        <v>0.47815470230598278</v>
      </c>
      <c r="G7" s="17">
        <v>0.49538711802984692</v>
      </c>
      <c r="H7" s="17">
        <v>0.47932465245247502</v>
      </c>
      <c r="I7" s="17">
        <v>0.44955854314452998</v>
      </c>
    </row>
    <row r="8" spans="1:9" x14ac:dyDescent="0.35">
      <c r="A8" s="16" t="s">
        <v>194</v>
      </c>
      <c r="B8" s="17">
        <v>0.39902399831731089</v>
      </c>
      <c r="C8" s="17">
        <v>0.30505627484821363</v>
      </c>
      <c r="D8" s="17">
        <v>0.37290963369709479</v>
      </c>
      <c r="E8" s="17">
        <v>0.39788930358220759</v>
      </c>
      <c r="F8" s="152">
        <v>0.39902399831731111</v>
      </c>
      <c r="G8" s="17">
        <v>0.3866096117221639</v>
      </c>
      <c r="H8" s="17">
        <v>0.39738125506669458</v>
      </c>
      <c r="I8" s="17">
        <v>0.43503654778654538</v>
      </c>
    </row>
    <row r="9" spans="1:9" x14ac:dyDescent="0.35">
      <c r="A9" s="16" t="s">
        <v>195</v>
      </c>
      <c r="B9" s="17">
        <v>0.1228212993767062</v>
      </c>
      <c r="C9" s="17">
        <v>0.1068581448353664</v>
      </c>
      <c r="D9" s="17">
        <v>0.13580475446325849</v>
      </c>
      <c r="E9" s="17">
        <v>0.16351846512223989</v>
      </c>
      <c r="F9" s="17">
        <v>0.1228212993767062</v>
      </c>
      <c r="G9" s="17">
        <v>0.11800327024798921</v>
      </c>
      <c r="H9" s="17">
        <v>0.1232940924808303</v>
      </c>
      <c r="I9" s="17">
        <v>0.1154049090689247</v>
      </c>
    </row>
    <row r="10" spans="1:9" x14ac:dyDescent="0.35">
      <c r="A10" s="14" t="s">
        <v>210</v>
      </c>
      <c r="B10" s="18">
        <v>0.36792538825755539</v>
      </c>
      <c r="C10" s="18">
        <v>0.4361664938500644</v>
      </c>
      <c r="D10" s="18">
        <v>0.36150430939387768</v>
      </c>
      <c r="E10" s="18">
        <v>0.32782836439087099</v>
      </c>
      <c r="F10" s="18">
        <v>0.3679253882575555</v>
      </c>
      <c r="G10" s="18">
        <v>0.36285318973744068</v>
      </c>
      <c r="H10" s="18">
        <v>0.32371576535979429</v>
      </c>
      <c r="I10" s="18">
        <v>0.30167372815358129</v>
      </c>
    </row>
    <row r="11" spans="1:9" x14ac:dyDescent="0.35">
      <c r="A11" s="14" t="s">
        <v>197</v>
      </c>
      <c r="B11" s="18">
        <v>0.1102293140484274</v>
      </c>
      <c r="C11" s="18">
        <v>0.1519190864663558</v>
      </c>
      <c r="D11" s="18">
        <v>0.12978130244576899</v>
      </c>
      <c r="E11" s="18">
        <v>0.1107638669046815</v>
      </c>
      <c r="F11" s="18">
        <v>0.1102293140484274</v>
      </c>
      <c r="G11" s="18">
        <v>0.13253392829240621</v>
      </c>
      <c r="H11" s="18">
        <v>0.15560888709268059</v>
      </c>
      <c r="I11" s="18">
        <v>0.1478848149909486</v>
      </c>
    </row>
    <row r="12" spans="1:9" x14ac:dyDescent="0.35">
      <c r="A12" s="14" t="s">
        <v>198</v>
      </c>
      <c r="B12" s="18">
        <v>0.2753222230061988</v>
      </c>
      <c r="C12" s="18">
        <v>0.19695611641218971</v>
      </c>
      <c r="D12" s="18">
        <v>0.26719876202195819</v>
      </c>
      <c r="E12" s="18">
        <v>0.25629694721208007</v>
      </c>
      <c r="F12" s="18">
        <v>0.27532222300619891</v>
      </c>
      <c r="G12" s="18">
        <v>0.27830203619161642</v>
      </c>
      <c r="H12" s="18">
        <v>0.27776395266662041</v>
      </c>
      <c r="I12" s="18">
        <v>0.32027813538410449</v>
      </c>
    </row>
    <row r="13" spans="1:9" x14ac:dyDescent="0.35">
      <c r="A13" s="14" t="s">
        <v>199</v>
      </c>
      <c r="B13" s="18">
        <v>0.12370177531111221</v>
      </c>
      <c r="C13" s="18">
        <v>0.108100158436024</v>
      </c>
      <c r="D13" s="18">
        <v>0.10571087167513669</v>
      </c>
      <c r="E13" s="18">
        <v>0.1415923563701274</v>
      </c>
      <c r="F13" s="18">
        <v>0.12370177531111221</v>
      </c>
      <c r="G13" s="18">
        <v>0.1083075755305475</v>
      </c>
      <c r="H13" s="18">
        <v>0.1196173024000743</v>
      </c>
      <c r="I13" s="18">
        <v>0.1147584124024409</v>
      </c>
    </row>
    <row r="14" spans="1:9" x14ac:dyDescent="0.35">
      <c r="A14" s="14" t="s">
        <v>200</v>
      </c>
      <c r="B14" s="18">
        <v>5.1653585871291617E-2</v>
      </c>
      <c r="C14" s="18">
        <v>0</v>
      </c>
      <c r="D14" s="18">
        <v>4.685769516234236E-2</v>
      </c>
      <c r="E14" s="18">
        <v>7.3808914085005839E-2</v>
      </c>
      <c r="F14" s="18">
        <v>5.1653585871291617E-2</v>
      </c>
      <c r="G14" s="18">
        <v>5.7307143262728219E-2</v>
      </c>
      <c r="H14" s="18">
        <v>6.1088910261087037E-2</v>
      </c>
      <c r="I14" s="18">
        <v>6.9251070416623817E-2</v>
      </c>
    </row>
    <row r="15" spans="1:9" x14ac:dyDescent="0.35">
      <c r="A15" s="14" t="s">
        <v>201</v>
      </c>
      <c r="B15" s="18">
        <v>5.652317491339811E-2</v>
      </c>
      <c r="C15" s="18">
        <v>7.9929516899045525E-2</v>
      </c>
      <c r="D15" s="18">
        <v>7.2037367859481741E-2</v>
      </c>
      <c r="E15" s="18">
        <v>7.9306327944893173E-2</v>
      </c>
      <c r="F15" s="18">
        <v>5.652317491339811E-2</v>
      </c>
      <c r="G15" s="18">
        <v>4.9555588133691202E-2</v>
      </c>
      <c r="H15" s="18">
        <v>4.6580274572696867E-2</v>
      </c>
      <c r="I15" s="18">
        <v>3.4572075812379699E-2</v>
      </c>
    </row>
    <row r="16" spans="1:9" x14ac:dyDescent="0.35">
      <c r="A16" s="14" t="s">
        <v>202</v>
      </c>
      <c r="B16" s="18">
        <v>0</v>
      </c>
      <c r="C16" s="18">
        <v>0</v>
      </c>
      <c r="D16" s="18">
        <v>0</v>
      </c>
      <c r="E16" s="18">
        <v>0</v>
      </c>
      <c r="F16" s="18">
        <v>0</v>
      </c>
      <c r="G16" s="18">
        <v>0</v>
      </c>
      <c r="H16" s="18">
        <v>0</v>
      </c>
      <c r="I16" s="18">
        <v>0</v>
      </c>
    </row>
    <row r="17" spans="1:9" x14ac:dyDescent="0.35">
      <c r="A17" s="14" t="s">
        <v>211</v>
      </c>
      <c r="B17" s="18">
        <v>0</v>
      </c>
      <c r="C17" s="18">
        <v>0</v>
      </c>
      <c r="D17" s="18">
        <v>0</v>
      </c>
      <c r="E17" s="18">
        <v>0</v>
      </c>
      <c r="F17" s="18">
        <v>0</v>
      </c>
      <c r="G17" s="18">
        <v>0</v>
      </c>
      <c r="H17" s="18">
        <v>6.3905527399012669E-3</v>
      </c>
      <c r="I17" s="18">
        <v>6.158794102764804E-3</v>
      </c>
    </row>
    <row r="18" spans="1:9" x14ac:dyDescent="0.35">
      <c r="A18" s="14" t="s">
        <v>212</v>
      </c>
      <c r="B18" s="18">
        <v>0</v>
      </c>
      <c r="C18" s="18">
        <v>0</v>
      </c>
      <c r="D18" s="18">
        <v>0</v>
      </c>
      <c r="E18" s="18">
        <v>0</v>
      </c>
      <c r="F18" s="18">
        <v>0</v>
      </c>
      <c r="G18" s="18">
        <v>0</v>
      </c>
      <c r="H18" s="18">
        <v>0</v>
      </c>
      <c r="I18" s="18">
        <v>0</v>
      </c>
    </row>
    <row r="19" spans="1:9" x14ac:dyDescent="0.35">
      <c r="A19" s="14" t="s">
        <v>203</v>
      </c>
      <c r="B19" s="18">
        <v>0</v>
      </c>
      <c r="C19" s="18">
        <v>0</v>
      </c>
      <c r="D19" s="18">
        <v>0</v>
      </c>
      <c r="E19" s="18">
        <v>0</v>
      </c>
      <c r="F19" s="18">
        <v>0</v>
      </c>
      <c r="G19" s="18">
        <v>0</v>
      </c>
      <c r="H19" s="18">
        <v>0</v>
      </c>
      <c r="I19" s="18">
        <v>0</v>
      </c>
    </row>
    <row r="20" spans="1:9" x14ac:dyDescent="0.35">
      <c r="A20" s="14" t="s">
        <v>204</v>
      </c>
      <c r="B20" s="18">
        <v>1.464453859201644E-2</v>
      </c>
      <c r="C20" s="18">
        <v>2.692862793632092E-2</v>
      </c>
      <c r="D20" s="18">
        <v>1.690969144143438E-2</v>
      </c>
      <c r="E20" s="18">
        <v>1.0403223092340919E-2</v>
      </c>
      <c r="F20" s="18">
        <v>1.464453859201644E-2</v>
      </c>
      <c r="G20" s="18">
        <v>1.114053885156978E-2</v>
      </c>
      <c r="H20" s="18">
        <v>9.2343549071451612E-3</v>
      </c>
      <c r="I20" s="18">
        <v>5.4229687371563466E-3</v>
      </c>
    </row>
    <row r="21" spans="1:9" x14ac:dyDescent="0.35">
      <c r="A21" s="14" t="s">
        <v>213</v>
      </c>
      <c r="B21" s="1">
        <v>35.533340292927662</v>
      </c>
      <c r="C21" s="1">
        <v>48.122743548105362</v>
      </c>
      <c r="D21" s="1">
        <v>35.548085737638829</v>
      </c>
      <c r="E21" s="1">
        <v>27.507376617331261</v>
      </c>
      <c r="F21" s="1">
        <v>35.533340292927669</v>
      </c>
      <c r="G21" s="1">
        <v>37.738384778185782</v>
      </c>
      <c r="H21" s="1">
        <v>35.603055997164468</v>
      </c>
      <c r="I21" s="1">
        <v>33.415363407560527</v>
      </c>
    </row>
    <row r="23" spans="1:9" x14ac:dyDescent="0.35">
      <c r="C23" s="187"/>
      <c r="D23" s="187"/>
      <c r="E23" s="187"/>
      <c r="F23" s="187"/>
      <c r="G23" s="170"/>
      <c r="H23" s="170"/>
      <c r="I23" s="170"/>
    </row>
    <row r="24" spans="1:9" ht="29" x14ac:dyDescent="0.35">
      <c r="A24" s="12" t="s">
        <v>569</v>
      </c>
      <c r="B24" s="13" t="s">
        <v>208</v>
      </c>
      <c r="C24" s="13" t="s">
        <v>458</v>
      </c>
      <c r="D24" s="13" t="s">
        <v>466</v>
      </c>
      <c r="E24" s="13" t="s">
        <v>467</v>
      </c>
      <c r="F24" s="13" t="s">
        <v>468</v>
      </c>
      <c r="G24" s="13" t="s">
        <v>634</v>
      </c>
      <c r="H24" s="13" t="s">
        <v>641</v>
      </c>
      <c r="I24" s="13" t="s">
        <v>647</v>
      </c>
    </row>
    <row r="25" spans="1:9" x14ac:dyDescent="0.35">
      <c r="A25" s="14" t="s">
        <v>209</v>
      </c>
      <c r="B25" s="15">
        <v>42</v>
      </c>
      <c r="C25" s="15">
        <v>9</v>
      </c>
      <c r="D25" s="15">
        <v>20</v>
      </c>
      <c r="E25" s="15">
        <v>30</v>
      </c>
      <c r="F25" s="15">
        <v>42</v>
      </c>
      <c r="G25" s="15">
        <v>57</v>
      </c>
      <c r="H25" s="15">
        <v>75</v>
      </c>
      <c r="I25" s="15">
        <v>88</v>
      </c>
    </row>
    <row r="26" spans="1:9" x14ac:dyDescent="0.35">
      <c r="A26" s="16" t="s">
        <v>336</v>
      </c>
      <c r="B26" s="17">
        <v>0.55761010640238895</v>
      </c>
      <c r="C26" s="17">
        <v>0.34079734186495581</v>
      </c>
      <c r="D26" s="17">
        <v>0.48925458269891831</v>
      </c>
      <c r="E26" s="17">
        <v>0.48366152627870679</v>
      </c>
      <c r="F26" s="17">
        <v>0.55761010640238906</v>
      </c>
      <c r="G26" s="17">
        <v>0.53580137907647063</v>
      </c>
      <c r="H26" s="17">
        <v>0.52663790744648631</v>
      </c>
      <c r="I26" s="17">
        <v>0.52342891550963988</v>
      </c>
    </row>
    <row r="27" spans="1:9" x14ac:dyDescent="0.35">
      <c r="A27" s="16" t="s">
        <v>194</v>
      </c>
      <c r="B27" s="17">
        <v>0.31602980628778998</v>
      </c>
      <c r="C27" s="17">
        <v>0.40044028790341379</v>
      </c>
      <c r="D27" s="17">
        <v>0.27048458310288548</v>
      </c>
      <c r="E27" s="17">
        <v>0.33471089988849578</v>
      </c>
      <c r="F27" s="17">
        <v>0.31602980628779009</v>
      </c>
      <c r="G27" s="17">
        <v>0.30950731427294881</v>
      </c>
      <c r="H27" s="17">
        <v>0.34485166107625093</v>
      </c>
      <c r="I27" s="17">
        <v>0.33389911620456902</v>
      </c>
    </row>
    <row r="28" spans="1:9" x14ac:dyDescent="0.35">
      <c r="A28" s="16" t="s">
        <v>195</v>
      </c>
      <c r="B28" s="17">
        <v>0.1263600873098209</v>
      </c>
      <c r="C28" s="17">
        <v>0.25876237023163051</v>
      </c>
      <c r="D28" s="153">
        <v>0.24026083419819619</v>
      </c>
      <c r="E28" s="17">
        <v>0.18162757383279771</v>
      </c>
      <c r="F28" s="17">
        <v>0.1263600873098209</v>
      </c>
      <c r="G28" s="17">
        <v>0.15469130665058059</v>
      </c>
      <c r="H28" s="17">
        <v>0.12851043147726299</v>
      </c>
      <c r="I28" s="17">
        <v>0.14267196828579079</v>
      </c>
    </row>
    <row r="29" spans="1:9" x14ac:dyDescent="0.35">
      <c r="A29" s="14" t="s">
        <v>210</v>
      </c>
      <c r="B29" s="18">
        <v>0.28107373636799321</v>
      </c>
      <c r="C29" s="18">
        <v>8.5139831198621271E-2</v>
      </c>
      <c r="D29" s="18">
        <v>0.15005704347500809</v>
      </c>
      <c r="E29" s="23">
        <v>0.18584248331187189</v>
      </c>
      <c r="F29" s="18">
        <v>0.28107373636799332</v>
      </c>
      <c r="G29" s="18">
        <v>0.23520013551745911</v>
      </c>
      <c r="H29" s="18">
        <v>0.27980413445154528</v>
      </c>
      <c r="I29" s="18">
        <v>0.27416070837906348</v>
      </c>
    </row>
    <row r="30" spans="1:9" x14ac:dyDescent="0.35">
      <c r="A30" s="14" t="s">
        <v>197</v>
      </c>
      <c r="B30" s="18">
        <v>0.2765363700343958</v>
      </c>
      <c r="C30" s="18">
        <v>0.25565751066633452</v>
      </c>
      <c r="D30" s="18">
        <v>0.33919753922391011</v>
      </c>
      <c r="E30" s="18">
        <v>0.29781904296683492</v>
      </c>
      <c r="F30" s="18">
        <v>0.27653637003439591</v>
      </c>
      <c r="G30" s="18">
        <v>0.30060124355901158</v>
      </c>
      <c r="H30" s="18">
        <v>0.24683377299494111</v>
      </c>
      <c r="I30" s="18">
        <v>0.2492682071305764</v>
      </c>
    </row>
    <row r="31" spans="1:9" x14ac:dyDescent="0.35">
      <c r="A31" s="14" t="s">
        <v>198</v>
      </c>
      <c r="B31" s="18">
        <v>0.19914876599145259</v>
      </c>
      <c r="C31" s="18">
        <v>0</v>
      </c>
      <c r="D31" s="18">
        <v>7.2486603471933336E-2</v>
      </c>
      <c r="E31" s="18">
        <v>0.20822880062203811</v>
      </c>
      <c r="F31" s="18">
        <v>0.1991487659914527</v>
      </c>
      <c r="G31" s="18">
        <v>0.19852213169335081</v>
      </c>
      <c r="H31" s="18">
        <v>0.24443869468228099</v>
      </c>
      <c r="I31" s="20">
        <v>0.28067218896073509</v>
      </c>
    </row>
    <row r="32" spans="1:9" x14ac:dyDescent="0.35">
      <c r="A32" s="14" t="s">
        <v>199</v>
      </c>
      <c r="B32" s="18">
        <v>0.1168810402963374</v>
      </c>
      <c r="C32" s="22">
        <v>0.40044028790341379</v>
      </c>
      <c r="D32" s="18">
        <v>0.1979979796309522</v>
      </c>
      <c r="E32" s="18">
        <v>0.1264820992664577</v>
      </c>
      <c r="F32" s="18">
        <v>0.1168810402963374</v>
      </c>
      <c r="G32" s="18">
        <v>0.110985182579598</v>
      </c>
      <c r="H32" s="18">
        <v>0.1004129663939699</v>
      </c>
      <c r="I32" s="25">
        <v>5.3226927243833842E-2</v>
      </c>
    </row>
    <row r="33" spans="1:9" x14ac:dyDescent="0.35">
      <c r="A33" s="14" t="s">
        <v>200</v>
      </c>
      <c r="B33" s="18">
        <v>2.1135375393480919E-2</v>
      </c>
      <c r="C33" s="18">
        <v>9.6468992913970361E-2</v>
      </c>
      <c r="D33" s="18">
        <v>4.7556898530322932E-2</v>
      </c>
      <c r="E33" s="18">
        <v>3.0379584538835599E-2</v>
      </c>
      <c r="F33" s="18">
        <v>2.113537539348093E-2</v>
      </c>
      <c r="G33" s="18">
        <v>1.5440737467487959E-2</v>
      </c>
      <c r="H33" s="18">
        <v>2.4388754302057631E-2</v>
      </c>
      <c r="I33" s="23">
        <v>1.1471935729914959E-2</v>
      </c>
    </row>
    <row r="34" spans="1:9" x14ac:dyDescent="0.35">
      <c r="A34" s="14" t="s">
        <v>201</v>
      </c>
      <c r="B34" s="18">
        <v>5.5139496092825098E-2</v>
      </c>
      <c r="C34" s="18">
        <v>0.16229337731766011</v>
      </c>
      <c r="D34" s="18">
        <v>8.0006740446874211E-2</v>
      </c>
      <c r="E34" s="18">
        <v>7.925645756438536E-2</v>
      </c>
      <c r="F34" s="18">
        <v>5.5139496092825098E-2</v>
      </c>
      <c r="G34" s="18">
        <v>5.5693969365759093E-2</v>
      </c>
      <c r="H34" s="18">
        <v>3.7050993021948891E-2</v>
      </c>
      <c r="I34" s="21">
        <v>2.234296637666482E-2</v>
      </c>
    </row>
    <row r="35" spans="1:9" x14ac:dyDescent="0.35">
      <c r="A35" s="14" t="s">
        <v>202</v>
      </c>
      <c r="B35" s="18">
        <v>0</v>
      </c>
      <c r="C35" s="18">
        <v>0</v>
      </c>
      <c r="D35" s="18">
        <v>0</v>
      </c>
      <c r="E35" s="18">
        <v>0</v>
      </c>
      <c r="F35" s="18">
        <v>0</v>
      </c>
      <c r="G35" s="18">
        <v>0</v>
      </c>
      <c r="H35" s="18">
        <v>0</v>
      </c>
      <c r="I35" s="18">
        <v>1.490078065305013E-2</v>
      </c>
    </row>
    <row r="36" spans="1:9" x14ac:dyDescent="0.35">
      <c r="A36" s="14" t="s">
        <v>211</v>
      </c>
      <c r="B36" s="18">
        <v>0</v>
      </c>
      <c r="C36" s="18">
        <v>0</v>
      </c>
      <c r="D36" s="18">
        <v>0</v>
      </c>
      <c r="E36" s="18">
        <v>0</v>
      </c>
      <c r="F36" s="18">
        <v>0</v>
      </c>
      <c r="G36" s="18">
        <v>3.0471209838650141E-2</v>
      </c>
      <c r="H36" s="18">
        <v>3.1755075729826818E-2</v>
      </c>
      <c r="I36" s="18">
        <v>2.5805865439592481E-2</v>
      </c>
    </row>
    <row r="37" spans="1:9" x14ac:dyDescent="0.35">
      <c r="A37" s="14" t="s">
        <v>212</v>
      </c>
      <c r="B37" s="18">
        <v>0</v>
      </c>
      <c r="C37" s="18">
        <v>0</v>
      </c>
      <c r="D37" s="18">
        <v>0</v>
      </c>
      <c r="E37" s="18">
        <v>0</v>
      </c>
      <c r="F37" s="18">
        <v>0</v>
      </c>
      <c r="G37" s="18">
        <v>0</v>
      </c>
      <c r="H37" s="18">
        <v>0</v>
      </c>
      <c r="I37" s="18">
        <v>0</v>
      </c>
    </row>
    <row r="38" spans="1:9" x14ac:dyDescent="0.35">
      <c r="A38" s="14" t="s">
        <v>203</v>
      </c>
      <c r="B38" s="18">
        <v>0</v>
      </c>
      <c r="C38" s="18">
        <v>0</v>
      </c>
      <c r="D38" s="18">
        <v>0</v>
      </c>
      <c r="E38" s="18">
        <v>0</v>
      </c>
      <c r="F38" s="18">
        <v>0</v>
      </c>
      <c r="G38" s="18">
        <v>1.6494950767847159E-2</v>
      </c>
      <c r="H38" s="18">
        <v>1.097343774840793E-2</v>
      </c>
      <c r="I38" s="18">
        <v>8.9175998304792566E-3</v>
      </c>
    </row>
    <row r="39" spans="1:9" x14ac:dyDescent="0.35">
      <c r="A39" s="14" t="s">
        <v>204</v>
      </c>
      <c r="B39" s="18">
        <v>5.0085215823514849E-2</v>
      </c>
      <c r="C39" s="18">
        <v>0</v>
      </c>
      <c r="D39" s="18">
        <v>0.11269719522099909</v>
      </c>
      <c r="E39" s="18">
        <v>7.1991531729576674E-2</v>
      </c>
      <c r="F39" s="18">
        <v>5.0085215823514863E-2</v>
      </c>
      <c r="G39" s="18">
        <v>3.6590439210836177E-2</v>
      </c>
      <c r="H39" s="18">
        <v>2.4342170675021681E-2</v>
      </c>
      <c r="I39" s="18">
        <v>5.9232820256089211E-2</v>
      </c>
    </row>
    <row r="40" spans="1:9" x14ac:dyDescent="0.35">
      <c r="A40" s="14" t="s">
        <v>213</v>
      </c>
      <c r="B40" s="1">
        <v>43.125001909256817</v>
      </c>
      <c r="C40" s="1">
        <v>8.2034971633325355</v>
      </c>
      <c r="D40" s="1">
        <v>24.899374850072189</v>
      </c>
      <c r="E40" s="1">
        <v>30.203395244590912</v>
      </c>
      <c r="F40" s="1">
        <v>43.125001909256817</v>
      </c>
      <c r="G40" s="1">
        <v>38.111007242589032</v>
      </c>
      <c r="H40" s="1">
        <v>39.812747596922343</v>
      </c>
      <c r="I40" s="1">
        <v>38.075694722384902</v>
      </c>
    </row>
    <row r="42" spans="1:9" x14ac:dyDescent="0.35">
      <c r="C42" s="187"/>
      <c r="D42" s="187"/>
      <c r="E42" s="187"/>
      <c r="F42" s="187"/>
      <c r="G42" s="170"/>
      <c r="H42" s="170"/>
      <c r="I42" s="170"/>
    </row>
    <row r="43" spans="1:9" ht="29" x14ac:dyDescent="0.35">
      <c r="A43" s="12" t="s">
        <v>570</v>
      </c>
      <c r="B43" s="13" t="s">
        <v>208</v>
      </c>
      <c r="C43" s="13" t="s">
        <v>458</v>
      </c>
      <c r="D43" s="13" t="s">
        <v>466</v>
      </c>
      <c r="E43" s="13" t="s">
        <v>467</v>
      </c>
      <c r="F43" s="13" t="s">
        <v>468</v>
      </c>
      <c r="G43" s="13" t="s">
        <v>634</v>
      </c>
      <c r="H43" s="13" t="s">
        <v>641</v>
      </c>
      <c r="I43" s="13" t="s">
        <v>647</v>
      </c>
    </row>
    <row r="44" spans="1:9" x14ac:dyDescent="0.35">
      <c r="A44" s="14" t="s">
        <v>209</v>
      </c>
      <c r="B44" s="15">
        <v>117</v>
      </c>
      <c r="C44" s="15">
        <v>31</v>
      </c>
      <c r="D44" s="15">
        <v>59</v>
      </c>
      <c r="E44" s="15">
        <v>84</v>
      </c>
      <c r="F44" s="15">
        <v>117</v>
      </c>
      <c r="G44" s="15">
        <v>154</v>
      </c>
      <c r="H44" s="15">
        <v>184</v>
      </c>
      <c r="I44" s="15">
        <v>185</v>
      </c>
    </row>
    <row r="45" spans="1:9" x14ac:dyDescent="0.35">
      <c r="A45" s="16" t="s">
        <v>336</v>
      </c>
      <c r="B45" s="17">
        <v>0.45433308760717622</v>
      </c>
      <c r="C45" s="153">
        <v>0.6193039294180086</v>
      </c>
      <c r="D45" s="17">
        <v>0.46134698365386911</v>
      </c>
      <c r="E45" s="149">
        <v>0.53339572282014236</v>
      </c>
      <c r="F45" s="17">
        <v>0.45433308760717622</v>
      </c>
      <c r="G45" s="17">
        <v>0.46603370019516238</v>
      </c>
      <c r="H45" s="17">
        <v>0.48554570042193912</v>
      </c>
      <c r="I45" s="17">
        <v>0.48275638013729849</v>
      </c>
    </row>
    <row r="46" spans="1:9" x14ac:dyDescent="0.35">
      <c r="A46" s="16" t="s">
        <v>194</v>
      </c>
      <c r="B46" s="17">
        <v>0.38313384210255652</v>
      </c>
      <c r="C46" s="17">
        <v>0.33609035560169132</v>
      </c>
      <c r="D46" s="17">
        <v>0.42833412587357628</v>
      </c>
      <c r="E46" s="17">
        <v>0.35060502904089252</v>
      </c>
      <c r="F46" s="17">
        <v>0.38313384210255652</v>
      </c>
      <c r="G46" s="17">
        <v>0.3866628455719518</v>
      </c>
      <c r="H46" s="17">
        <v>0.3917053341051005</v>
      </c>
      <c r="I46" s="17">
        <v>0.38180759307429601</v>
      </c>
    </row>
    <row r="47" spans="1:9" x14ac:dyDescent="0.35">
      <c r="A47" s="16" t="s">
        <v>195</v>
      </c>
      <c r="B47" s="17">
        <v>0.1625330702902672</v>
      </c>
      <c r="C47" s="154">
        <v>4.4605714980300137E-2</v>
      </c>
      <c r="D47" s="17">
        <v>0.1103188904725546</v>
      </c>
      <c r="E47" s="154">
        <v>0.1159992481389652</v>
      </c>
      <c r="F47" s="17">
        <v>0.1625330702902672</v>
      </c>
      <c r="G47" s="17">
        <v>0.14730345423288579</v>
      </c>
      <c r="H47" s="17">
        <v>0.12274896547296051</v>
      </c>
      <c r="I47" s="17">
        <v>0.1354360267884058</v>
      </c>
    </row>
    <row r="48" spans="1:9" x14ac:dyDescent="0.35">
      <c r="A48" s="14" t="s">
        <v>210</v>
      </c>
      <c r="B48" s="18">
        <v>0.34311881488223989</v>
      </c>
      <c r="C48" s="20">
        <v>0.4951988937294402</v>
      </c>
      <c r="D48" s="18">
        <v>0.37198909636685279</v>
      </c>
      <c r="E48" s="20">
        <v>0.39903114892136787</v>
      </c>
      <c r="F48" s="18">
        <v>0.34311881488223989</v>
      </c>
      <c r="G48" s="18">
        <v>0.32793781224598523</v>
      </c>
      <c r="H48" s="25">
        <v>0.34623135252587678</v>
      </c>
      <c r="I48" s="18">
        <v>0.32546495225602878</v>
      </c>
    </row>
    <row r="49" spans="1:9" x14ac:dyDescent="0.35">
      <c r="A49" s="14" t="s">
        <v>197</v>
      </c>
      <c r="B49" s="18">
        <v>0.11121427272493629</v>
      </c>
      <c r="C49" s="18">
        <v>0.1241050356885684</v>
      </c>
      <c r="D49" s="18">
        <v>8.9357887287016338E-2</v>
      </c>
      <c r="E49" s="18">
        <v>0.13436457389877429</v>
      </c>
      <c r="F49" s="18">
        <v>0.11121427272493629</v>
      </c>
      <c r="G49" s="18">
        <v>0.13809588794917721</v>
      </c>
      <c r="H49" s="18">
        <v>0.1393143478960622</v>
      </c>
      <c r="I49" s="18">
        <v>0.15729142788126971</v>
      </c>
    </row>
    <row r="50" spans="1:9" x14ac:dyDescent="0.35">
      <c r="A50" s="14" t="s">
        <v>198</v>
      </c>
      <c r="B50" s="18">
        <v>0.26925330472008507</v>
      </c>
      <c r="C50" s="18">
        <v>0.25175350017213738</v>
      </c>
      <c r="D50" s="18">
        <v>0.3379781291681847</v>
      </c>
      <c r="E50" s="18">
        <v>0.28024960775232322</v>
      </c>
      <c r="F50" s="18">
        <v>0.26925330472008507</v>
      </c>
      <c r="G50" s="18">
        <v>0.2492343662117642</v>
      </c>
      <c r="H50" s="18">
        <v>0.2381243943967768</v>
      </c>
      <c r="I50" s="18">
        <v>0.22564302770824729</v>
      </c>
    </row>
    <row r="51" spans="1:9" x14ac:dyDescent="0.35">
      <c r="A51" s="14" t="s">
        <v>199</v>
      </c>
      <c r="B51" s="18">
        <v>0.11388053738247141</v>
      </c>
      <c r="C51" s="18">
        <v>8.4336855429553839E-2</v>
      </c>
      <c r="D51" s="18">
        <v>9.0355996705391572E-2</v>
      </c>
      <c r="E51" s="21">
        <v>7.0355421288569295E-2</v>
      </c>
      <c r="F51" s="18">
        <v>0.11388053738247141</v>
      </c>
      <c r="G51" s="18">
        <v>0.13742847936018759</v>
      </c>
      <c r="H51" s="18">
        <v>0.1535809397083237</v>
      </c>
      <c r="I51" s="18">
        <v>0.1561645653660487</v>
      </c>
    </row>
    <row r="52" spans="1:9" x14ac:dyDescent="0.35">
      <c r="A52" s="14" t="s">
        <v>200</v>
      </c>
      <c r="B52" s="18">
        <v>6.0394193227469029E-2</v>
      </c>
      <c r="C52" s="18">
        <v>4.4605714980300137E-2</v>
      </c>
      <c r="D52" s="18">
        <v>5.9360820050928187E-2</v>
      </c>
      <c r="E52" s="18">
        <v>5.10850991530774E-2</v>
      </c>
      <c r="F52" s="18">
        <v>6.0394193227469029E-2</v>
      </c>
      <c r="G52" s="18">
        <v>5.1732607067982883E-2</v>
      </c>
      <c r="H52" s="18">
        <v>4.1303286903074173E-2</v>
      </c>
      <c r="I52" s="18">
        <v>4.1484597155203737E-2</v>
      </c>
    </row>
    <row r="53" spans="1:9" x14ac:dyDescent="0.35">
      <c r="A53" s="14" t="s">
        <v>201</v>
      </c>
      <c r="B53" s="18">
        <v>3.390101741264126E-2</v>
      </c>
      <c r="C53" s="18">
        <v>0</v>
      </c>
      <c r="D53" s="18">
        <v>2.8274468276507841E-2</v>
      </c>
      <c r="E53" s="18">
        <v>3.002429969803757E-2</v>
      </c>
      <c r="F53" s="18">
        <v>3.390101741264126E-2</v>
      </c>
      <c r="G53" s="18">
        <v>3.6365689962403212E-2</v>
      </c>
      <c r="H53" s="18">
        <v>3.4176311478779788E-2</v>
      </c>
      <c r="I53" s="18">
        <v>3.8094097677281523E-2</v>
      </c>
    </row>
    <row r="54" spans="1:9" x14ac:dyDescent="0.35">
      <c r="A54" s="14" t="s">
        <v>202</v>
      </c>
      <c r="B54" s="18">
        <v>3.7635228666738609E-2</v>
      </c>
      <c r="C54" s="18">
        <v>0</v>
      </c>
      <c r="D54" s="23">
        <v>0</v>
      </c>
      <c r="E54" s="24">
        <v>0</v>
      </c>
      <c r="F54" s="18">
        <v>3.7635228666738609E-2</v>
      </c>
      <c r="G54" s="18">
        <v>2.956102569484265E-2</v>
      </c>
      <c r="H54" s="18">
        <v>2.360150772642745E-2</v>
      </c>
      <c r="I54" s="18">
        <v>2.8671628621295488E-2</v>
      </c>
    </row>
    <row r="55" spans="1:9" x14ac:dyDescent="0.35">
      <c r="A55" s="14" t="s">
        <v>211</v>
      </c>
      <c r="B55" s="18">
        <v>0</v>
      </c>
      <c r="C55" s="18">
        <v>0</v>
      </c>
      <c r="D55" s="18">
        <v>0</v>
      </c>
      <c r="E55" s="18">
        <v>0</v>
      </c>
      <c r="F55" s="18">
        <v>0</v>
      </c>
      <c r="G55" s="18">
        <v>0</v>
      </c>
      <c r="H55" s="18">
        <v>0</v>
      </c>
      <c r="I55" s="18">
        <v>0</v>
      </c>
    </row>
    <row r="56" spans="1:9" x14ac:dyDescent="0.35">
      <c r="A56" s="14" t="s">
        <v>212</v>
      </c>
      <c r="B56" s="18">
        <v>6.2004998763329332E-3</v>
      </c>
      <c r="C56" s="18">
        <v>0</v>
      </c>
      <c r="D56" s="18">
        <v>0</v>
      </c>
      <c r="E56" s="18">
        <v>9.064628396462493E-3</v>
      </c>
      <c r="F56" s="18">
        <v>6.2004998763329332E-3</v>
      </c>
      <c r="G56" s="18">
        <v>4.8702543510022013E-3</v>
      </c>
      <c r="H56" s="18">
        <v>3.888408571523257E-3</v>
      </c>
      <c r="I56" s="18">
        <v>7.516351548212394E-3</v>
      </c>
    </row>
    <row r="57" spans="1:9" x14ac:dyDescent="0.35">
      <c r="A57" s="14" t="s">
        <v>203</v>
      </c>
      <c r="B57" s="18">
        <v>4.9534266254046824E-3</v>
      </c>
      <c r="C57" s="18">
        <v>0</v>
      </c>
      <c r="D57" s="18">
        <v>1.0850683565839859E-2</v>
      </c>
      <c r="E57" s="18">
        <v>7.2415083531929313E-3</v>
      </c>
      <c r="F57" s="18">
        <v>4.9534266254046824E-3</v>
      </c>
      <c r="G57" s="18">
        <v>3.8907262407712299E-3</v>
      </c>
      <c r="H57" s="18">
        <v>3.1063538315924131E-3</v>
      </c>
      <c r="I57" s="18">
        <v>3.089062832209887E-3</v>
      </c>
    </row>
    <row r="58" spans="1:9" x14ac:dyDescent="0.35">
      <c r="A58" s="14" t="s">
        <v>204</v>
      </c>
      <c r="B58" s="18">
        <v>1.9448704481680661E-2</v>
      </c>
      <c r="C58" s="18">
        <v>0</v>
      </c>
      <c r="D58" s="18">
        <v>1.1832918579278699E-2</v>
      </c>
      <c r="E58" s="18">
        <v>1.8583712538194869E-2</v>
      </c>
      <c r="F58" s="18">
        <v>1.9448704481680661E-2</v>
      </c>
      <c r="G58" s="18">
        <v>2.0883150915883639E-2</v>
      </c>
      <c r="H58" s="18">
        <v>1.667309696156339E-2</v>
      </c>
      <c r="I58" s="18">
        <v>1.658028895420275E-2</v>
      </c>
    </row>
    <row r="59" spans="1:9" x14ac:dyDescent="0.35">
      <c r="A59" s="14" t="s">
        <v>213</v>
      </c>
      <c r="B59" s="1">
        <v>29.180001731690901</v>
      </c>
      <c r="C59" s="1">
        <v>57.469821443770847</v>
      </c>
      <c r="D59" s="1">
        <v>35.102809318131449</v>
      </c>
      <c r="E59" s="1">
        <v>41.739647468117703</v>
      </c>
      <c r="F59" s="1">
        <v>29.180001731690901</v>
      </c>
      <c r="G59" s="1">
        <v>31.873024596227658</v>
      </c>
      <c r="H59" s="1">
        <v>36.27967349489785</v>
      </c>
      <c r="I59" s="1">
        <v>34.732035334889261</v>
      </c>
    </row>
    <row r="61" spans="1:9" x14ac:dyDescent="0.35">
      <c r="C61" s="187"/>
      <c r="D61" s="187"/>
      <c r="E61" s="187"/>
      <c r="F61" s="187"/>
      <c r="G61" s="170"/>
      <c r="H61" s="170"/>
      <c r="I61" s="170"/>
    </row>
    <row r="62" spans="1:9" ht="29" x14ac:dyDescent="0.35">
      <c r="A62" s="12" t="s">
        <v>571</v>
      </c>
      <c r="B62" s="13" t="s">
        <v>208</v>
      </c>
      <c r="C62" s="13" t="s">
        <v>458</v>
      </c>
      <c r="D62" s="13" t="s">
        <v>466</v>
      </c>
      <c r="E62" s="13" t="s">
        <v>467</v>
      </c>
      <c r="F62" s="13" t="s">
        <v>468</v>
      </c>
      <c r="G62" s="13" t="s">
        <v>634</v>
      </c>
      <c r="H62" s="13" t="s">
        <v>641</v>
      </c>
      <c r="I62" s="13" t="s">
        <v>647</v>
      </c>
    </row>
    <row r="63" spans="1:9" x14ac:dyDescent="0.35">
      <c r="A63" s="14" t="s">
        <v>209</v>
      </c>
      <c r="B63" s="15">
        <v>70</v>
      </c>
      <c r="C63" s="15">
        <v>24</v>
      </c>
      <c r="D63" s="15">
        <v>39</v>
      </c>
      <c r="E63" s="15">
        <v>54</v>
      </c>
      <c r="F63" s="15">
        <v>70</v>
      </c>
      <c r="G63" s="15">
        <v>92</v>
      </c>
      <c r="H63" s="15">
        <v>114</v>
      </c>
      <c r="I63" s="15">
        <v>116</v>
      </c>
    </row>
    <row r="64" spans="1:9" x14ac:dyDescent="0.35">
      <c r="A64" s="16" t="s">
        <v>336</v>
      </c>
      <c r="B64" s="17">
        <v>0.4643972618620727</v>
      </c>
      <c r="C64" s="17">
        <v>0.47654642005909159</v>
      </c>
      <c r="D64" s="17">
        <v>0.45734346880342802</v>
      </c>
      <c r="E64" s="17">
        <v>0.46469309145077498</v>
      </c>
      <c r="F64" s="17">
        <v>0.46439726186207259</v>
      </c>
      <c r="G64" s="17">
        <v>0.47328180413367732</v>
      </c>
      <c r="H64" s="17">
        <v>0.45377189481051861</v>
      </c>
      <c r="I64" s="17">
        <v>0.50400571945092842</v>
      </c>
    </row>
    <row r="65" spans="1:9" x14ac:dyDescent="0.35">
      <c r="A65" s="16" t="s">
        <v>194</v>
      </c>
      <c r="B65" s="17">
        <v>0.33933341154352459</v>
      </c>
      <c r="C65" s="17">
        <v>0.36522193125311769</v>
      </c>
      <c r="D65" s="17">
        <v>0.35861386941871959</v>
      </c>
      <c r="E65" s="17">
        <v>0.36084324771955201</v>
      </c>
      <c r="F65" s="17">
        <v>0.33933341154352459</v>
      </c>
      <c r="G65" s="17">
        <v>0.36099702764401109</v>
      </c>
      <c r="H65" s="17">
        <v>0.36922420811652013</v>
      </c>
      <c r="I65" s="17">
        <v>0.33916241092195998</v>
      </c>
    </row>
    <row r="66" spans="1:9" x14ac:dyDescent="0.35">
      <c r="A66" s="16" t="s">
        <v>195</v>
      </c>
      <c r="B66" s="17">
        <v>0.1962693265944026</v>
      </c>
      <c r="C66" s="17">
        <v>0.15823164868779069</v>
      </c>
      <c r="D66" s="17">
        <v>0.1840426617778527</v>
      </c>
      <c r="E66" s="17">
        <v>0.1744636608296731</v>
      </c>
      <c r="F66" s="17">
        <v>0.1962693265944026</v>
      </c>
      <c r="G66" s="17">
        <v>0.16572116822231139</v>
      </c>
      <c r="H66" s="17">
        <v>0.17700389707296121</v>
      </c>
      <c r="I66" s="17">
        <v>0.15683186962711149</v>
      </c>
    </row>
    <row r="67" spans="1:9" x14ac:dyDescent="0.35">
      <c r="A67" s="14" t="s">
        <v>210</v>
      </c>
      <c r="B67" s="18">
        <v>0.2920505904557047</v>
      </c>
      <c r="C67" s="18">
        <v>0.25523568491267318</v>
      </c>
      <c r="D67" s="18">
        <v>0.31655828872308628</v>
      </c>
      <c r="E67" s="18">
        <v>0.26455535405903702</v>
      </c>
      <c r="F67" s="18">
        <v>0.29205059045570458</v>
      </c>
      <c r="G67" s="18">
        <v>0.25077027445629813</v>
      </c>
      <c r="H67" s="18">
        <v>0.2312454989397926</v>
      </c>
      <c r="I67" s="18">
        <v>0.25563799363036249</v>
      </c>
    </row>
    <row r="68" spans="1:9" x14ac:dyDescent="0.35">
      <c r="A68" s="14" t="s">
        <v>197</v>
      </c>
      <c r="B68" s="18">
        <v>0.172346671406368</v>
      </c>
      <c r="C68" s="18">
        <v>0.2213107351464185</v>
      </c>
      <c r="D68" s="18">
        <v>0.14078518008034169</v>
      </c>
      <c r="E68" s="18">
        <v>0.20013773739173801</v>
      </c>
      <c r="F68" s="18">
        <v>0.172346671406368</v>
      </c>
      <c r="G68" s="25">
        <v>0.22251152967737919</v>
      </c>
      <c r="H68" s="18">
        <v>0.22252639587072601</v>
      </c>
      <c r="I68" s="18">
        <v>0.2483677258205659</v>
      </c>
    </row>
    <row r="69" spans="1:9" x14ac:dyDescent="0.35">
      <c r="A69" s="14" t="s">
        <v>198</v>
      </c>
      <c r="B69" s="18">
        <v>0.20314415234722341</v>
      </c>
      <c r="C69" s="18">
        <v>0.27552262874009908</v>
      </c>
      <c r="D69" s="20">
        <v>0.30155232448723901</v>
      </c>
      <c r="E69" s="20">
        <v>0.26239248373064711</v>
      </c>
      <c r="F69" s="18">
        <v>0.20314415234722349</v>
      </c>
      <c r="G69" s="18">
        <v>0.236697279122631</v>
      </c>
      <c r="H69" s="18">
        <v>0.24860188101073971</v>
      </c>
      <c r="I69" s="18">
        <v>0.2273503859536396</v>
      </c>
    </row>
    <row r="70" spans="1:9" x14ac:dyDescent="0.35">
      <c r="A70" s="14" t="s">
        <v>199</v>
      </c>
      <c r="B70" s="18">
        <v>0.1361892591963012</v>
      </c>
      <c r="C70" s="18">
        <v>8.9699302513018608E-2</v>
      </c>
      <c r="D70" s="23">
        <v>5.7061544931480628E-2</v>
      </c>
      <c r="E70" s="18">
        <v>9.8450763988904885E-2</v>
      </c>
      <c r="F70" s="18">
        <v>0.1361892591963012</v>
      </c>
      <c r="G70" s="18">
        <v>0.1242997485213802</v>
      </c>
      <c r="H70" s="18">
        <v>0.1206223271057804</v>
      </c>
      <c r="I70" s="18">
        <v>0.11181202496832029</v>
      </c>
    </row>
    <row r="71" spans="1:9" x14ac:dyDescent="0.35">
      <c r="A71" s="14" t="s">
        <v>200</v>
      </c>
      <c r="B71" s="18">
        <v>8.0610878046092058E-2</v>
      </c>
      <c r="C71" s="18">
        <v>3.4215986435308418E-2</v>
      </c>
      <c r="D71" s="18">
        <v>2.1766245585576511E-2</v>
      </c>
      <c r="E71" s="24">
        <v>1.552229091540501E-2</v>
      </c>
      <c r="F71" s="18">
        <v>8.0610878046092058E-2</v>
      </c>
      <c r="G71" s="18">
        <v>7.1769897133642999E-2</v>
      </c>
      <c r="H71" s="18">
        <v>8.9284650329108081E-2</v>
      </c>
      <c r="I71" s="18">
        <v>8.5409012819765748E-2</v>
      </c>
    </row>
    <row r="72" spans="1:9" x14ac:dyDescent="0.35">
      <c r="A72" s="14" t="s">
        <v>201</v>
      </c>
      <c r="B72" s="18">
        <v>9.1198146004565481E-2</v>
      </c>
      <c r="C72" s="18">
        <v>9.7487908145458255E-2</v>
      </c>
      <c r="D72" s="18">
        <v>0.14540098248765479</v>
      </c>
      <c r="E72" s="18">
        <v>0.12532727562528589</v>
      </c>
      <c r="F72" s="18">
        <v>9.1198146004565481E-2</v>
      </c>
      <c r="G72" s="18">
        <v>7.5626384124822435E-2</v>
      </c>
      <c r="H72" s="18">
        <v>5.861071163956489E-2</v>
      </c>
      <c r="I72" s="18">
        <v>4.2574954368566703E-2</v>
      </c>
    </row>
    <row r="73" spans="1:9" x14ac:dyDescent="0.35">
      <c r="A73" s="14" t="s">
        <v>202</v>
      </c>
      <c r="B73" s="18">
        <v>1.5703054574466479E-2</v>
      </c>
      <c r="C73" s="18">
        <v>0</v>
      </c>
      <c r="D73" s="18">
        <v>0</v>
      </c>
      <c r="E73" s="18">
        <v>2.1579616856624989E-2</v>
      </c>
      <c r="F73" s="18">
        <v>1.5703054574466479E-2</v>
      </c>
      <c r="G73" s="18">
        <v>1.1764233069054461E-2</v>
      </c>
      <c r="H73" s="18">
        <v>1.7975205374472149E-2</v>
      </c>
      <c r="I73" s="18">
        <v>2.3235229147267032E-2</v>
      </c>
    </row>
    <row r="74" spans="1:9" x14ac:dyDescent="0.35">
      <c r="A74" s="14" t="s">
        <v>211</v>
      </c>
      <c r="B74" s="18">
        <v>8.7572479692785924E-3</v>
      </c>
      <c r="C74" s="18">
        <v>2.6527754107024029E-2</v>
      </c>
      <c r="D74" s="18">
        <v>1.687543370462136E-2</v>
      </c>
      <c r="E74" s="18">
        <v>1.2034477432357129E-2</v>
      </c>
      <c r="F74" s="18">
        <v>8.7572479692785924E-3</v>
      </c>
      <c r="G74" s="18">
        <v>6.5606538947915157E-3</v>
      </c>
      <c r="H74" s="18">
        <v>5.0845296657308177E-3</v>
      </c>
      <c r="I74" s="18">
        <v>0</v>
      </c>
    </row>
    <row r="75" spans="1:9" x14ac:dyDescent="0.35">
      <c r="A75" s="14" t="s">
        <v>212</v>
      </c>
      <c r="B75" s="18">
        <v>0</v>
      </c>
      <c r="C75" s="18">
        <v>0</v>
      </c>
      <c r="D75" s="18">
        <v>0</v>
      </c>
      <c r="E75" s="18">
        <v>0</v>
      </c>
      <c r="F75" s="18">
        <v>0</v>
      </c>
      <c r="G75" s="18">
        <v>0</v>
      </c>
      <c r="H75" s="18">
        <v>0</v>
      </c>
      <c r="I75" s="18">
        <v>0</v>
      </c>
    </row>
    <row r="76" spans="1:9" x14ac:dyDescent="0.35">
      <c r="A76" s="14" t="s">
        <v>203</v>
      </c>
      <c r="B76" s="18">
        <v>0</v>
      </c>
      <c r="C76" s="18">
        <v>0</v>
      </c>
      <c r="D76" s="18">
        <v>0</v>
      </c>
      <c r="E76" s="18">
        <v>0</v>
      </c>
      <c r="F76" s="18">
        <v>0</v>
      </c>
      <c r="G76" s="18">
        <v>0</v>
      </c>
      <c r="H76" s="18">
        <v>0</v>
      </c>
      <c r="I76" s="18">
        <v>0</v>
      </c>
    </row>
    <row r="77" spans="1:9" x14ac:dyDescent="0.35">
      <c r="A77" s="14" t="s">
        <v>204</v>
      </c>
      <c r="B77" s="18">
        <v>0</v>
      </c>
      <c r="C77" s="18">
        <v>0</v>
      </c>
      <c r="D77" s="18">
        <v>0</v>
      </c>
      <c r="E77" s="18">
        <v>0</v>
      </c>
      <c r="F77" s="18">
        <v>0</v>
      </c>
      <c r="G77" s="18">
        <v>0</v>
      </c>
      <c r="H77" s="18">
        <v>6.0488000640852267E-3</v>
      </c>
      <c r="I77" s="18">
        <v>5.6126732915120006E-3</v>
      </c>
    </row>
    <row r="78" spans="1:9" x14ac:dyDescent="0.35">
      <c r="A78" s="14" t="s">
        <v>213</v>
      </c>
      <c r="B78" s="1">
        <v>26.81279352676701</v>
      </c>
      <c r="C78" s="1">
        <v>31.831477137130101</v>
      </c>
      <c r="D78" s="1">
        <v>27.33008070255752</v>
      </c>
      <c r="E78" s="1">
        <v>29.02294306211019</v>
      </c>
      <c r="F78" s="1">
        <v>26.812793526766999</v>
      </c>
      <c r="G78" s="1">
        <v>30.756063591136591</v>
      </c>
      <c r="H78" s="1">
        <v>27.676799773755761</v>
      </c>
      <c r="I78" s="1">
        <v>34.717384982381709</v>
      </c>
    </row>
    <row r="80" spans="1:9" x14ac:dyDescent="0.35">
      <c r="C80" s="187"/>
      <c r="D80" s="187"/>
      <c r="E80" s="187"/>
      <c r="F80" s="187"/>
      <c r="G80" s="170"/>
      <c r="H80" s="170"/>
      <c r="I80" s="170"/>
    </row>
    <row r="81" spans="1:9" ht="29" x14ac:dyDescent="0.35">
      <c r="A81" s="12" t="s">
        <v>572</v>
      </c>
      <c r="B81" s="13" t="s">
        <v>208</v>
      </c>
      <c r="C81" s="13" t="s">
        <v>458</v>
      </c>
      <c r="D81" s="13" t="s">
        <v>466</v>
      </c>
      <c r="E81" s="13" t="s">
        <v>467</v>
      </c>
      <c r="F81" s="13" t="s">
        <v>468</v>
      </c>
      <c r="G81" s="13" t="s">
        <v>634</v>
      </c>
      <c r="H81" s="13" t="s">
        <v>641</v>
      </c>
      <c r="I81" s="13" t="s">
        <v>647</v>
      </c>
    </row>
    <row r="82" spans="1:9" x14ac:dyDescent="0.35">
      <c r="A82" s="14" t="s">
        <v>209</v>
      </c>
      <c r="B82" s="15">
        <v>166</v>
      </c>
      <c r="C82" s="15">
        <v>31</v>
      </c>
      <c r="D82" s="15">
        <v>72</v>
      </c>
      <c r="E82" s="15">
        <v>114</v>
      </c>
      <c r="F82" s="15">
        <v>166</v>
      </c>
      <c r="G82" s="15">
        <v>214</v>
      </c>
      <c r="H82" s="15">
        <v>259</v>
      </c>
      <c r="I82" s="15">
        <v>274</v>
      </c>
    </row>
    <row r="83" spans="1:9" x14ac:dyDescent="0.35">
      <c r="A83" s="16" t="s">
        <v>336</v>
      </c>
      <c r="B83" s="17">
        <v>0.4833644960459022</v>
      </c>
      <c r="C83" s="17">
        <v>0.55759469383775451</v>
      </c>
      <c r="D83" s="17">
        <v>0.48290754461647889</v>
      </c>
      <c r="E83" s="17">
        <v>0.48749290594070321</v>
      </c>
      <c r="F83" s="17">
        <v>0.4833644960459022</v>
      </c>
      <c r="G83" s="17">
        <v>0.48808766516155211</v>
      </c>
      <c r="H83" s="17">
        <v>0.4912389994973238</v>
      </c>
      <c r="I83" s="17">
        <v>0.47442125264583501</v>
      </c>
    </row>
    <row r="84" spans="1:9" x14ac:dyDescent="0.35">
      <c r="A84" s="16" t="s">
        <v>194</v>
      </c>
      <c r="B84" s="17">
        <v>0.33385609525645321</v>
      </c>
      <c r="C84" s="17">
        <v>0.39708838068941482</v>
      </c>
      <c r="D84" s="17">
        <v>0.32187138415487743</v>
      </c>
      <c r="E84" s="17">
        <v>0.30404382857604528</v>
      </c>
      <c r="F84" s="17">
        <v>0.33385609525645332</v>
      </c>
      <c r="G84" s="17">
        <v>0.33553323362579229</v>
      </c>
      <c r="H84" s="17">
        <v>0.3478940601001384</v>
      </c>
      <c r="I84" s="17">
        <v>0.35509721977187569</v>
      </c>
    </row>
    <row r="85" spans="1:9" x14ac:dyDescent="0.35">
      <c r="A85" s="16" t="s">
        <v>195</v>
      </c>
      <c r="B85" s="17">
        <v>0.1827794086976447</v>
      </c>
      <c r="C85" s="155">
        <v>4.531692547283056E-2</v>
      </c>
      <c r="D85" s="17">
        <v>0.19522107122864349</v>
      </c>
      <c r="E85" s="17">
        <v>0.20846326548325139</v>
      </c>
      <c r="F85" s="17">
        <v>0.1827794086976447</v>
      </c>
      <c r="G85" s="17">
        <v>0.1763791012126554</v>
      </c>
      <c r="H85" s="17">
        <v>0.16086694040253771</v>
      </c>
      <c r="I85" s="153">
        <v>0.17048152758228921</v>
      </c>
    </row>
    <row r="86" spans="1:9" x14ac:dyDescent="0.35">
      <c r="A86" s="14" t="s">
        <v>210</v>
      </c>
      <c r="B86" s="18">
        <v>0.31311246782875318</v>
      </c>
      <c r="C86" s="18">
        <v>0.41001674508848002</v>
      </c>
      <c r="D86" s="18">
        <v>0.32125868626199627</v>
      </c>
      <c r="E86" s="18">
        <v>0.34145468236791582</v>
      </c>
      <c r="F86" s="18">
        <v>0.31311246782875318</v>
      </c>
      <c r="G86" s="18">
        <v>0.33055304845752947</v>
      </c>
      <c r="H86" s="18">
        <v>0.33233039969131412</v>
      </c>
      <c r="I86" s="18">
        <v>0.31499598388742289</v>
      </c>
    </row>
    <row r="87" spans="1:9" x14ac:dyDescent="0.35">
      <c r="A87" s="14" t="s">
        <v>197</v>
      </c>
      <c r="B87" s="18">
        <v>0.17025202821714899</v>
      </c>
      <c r="C87" s="18">
        <v>0.14757794874927449</v>
      </c>
      <c r="D87" s="18">
        <v>0.16164885835448259</v>
      </c>
      <c r="E87" s="18">
        <v>0.14603822357278751</v>
      </c>
      <c r="F87" s="18">
        <v>0.17025202821714899</v>
      </c>
      <c r="G87" s="18">
        <v>0.15753461670402261</v>
      </c>
      <c r="H87" s="18">
        <v>0.15890859980600969</v>
      </c>
      <c r="I87" s="18">
        <v>0.15942526875841209</v>
      </c>
    </row>
    <row r="88" spans="1:9" x14ac:dyDescent="0.35">
      <c r="A88" s="14" t="s">
        <v>198</v>
      </c>
      <c r="B88" s="18">
        <v>0.19981424460603189</v>
      </c>
      <c r="C88" s="19">
        <v>0.34725508986115933</v>
      </c>
      <c r="D88" s="18">
        <v>0.22269963110393809</v>
      </c>
      <c r="E88" s="18">
        <v>0.19720964421524659</v>
      </c>
      <c r="F88" s="18">
        <v>0.199814244606032</v>
      </c>
      <c r="G88" s="18">
        <v>0.20776237084165411</v>
      </c>
      <c r="H88" s="18">
        <v>0.20610291555999921</v>
      </c>
      <c r="I88" s="23">
        <v>0.20016913865645281</v>
      </c>
    </row>
    <row r="89" spans="1:9" x14ac:dyDescent="0.35">
      <c r="A89" s="14" t="s">
        <v>199</v>
      </c>
      <c r="B89" s="18">
        <v>0.13404185065042121</v>
      </c>
      <c r="C89" s="18">
        <v>4.9833290828255508E-2</v>
      </c>
      <c r="D89" s="18">
        <v>9.9171753050939254E-2</v>
      </c>
      <c r="E89" s="18">
        <v>0.10683418436079881</v>
      </c>
      <c r="F89" s="18">
        <v>0.13404185065042129</v>
      </c>
      <c r="G89" s="18">
        <v>0.12777086278413821</v>
      </c>
      <c r="H89" s="18">
        <v>0.14179114454013919</v>
      </c>
      <c r="I89" s="18">
        <v>0.154928081115423</v>
      </c>
    </row>
    <row r="90" spans="1:9" x14ac:dyDescent="0.35">
      <c r="A90" s="14" t="s">
        <v>200</v>
      </c>
      <c r="B90" s="18">
        <v>6.0392721283559082E-2</v>
      </c>
      <c r="C90" s="18">
        <v>2.5794425627054779E-2</v>
      </c>
      <c r="D90" s="18">
        <v>5.2441341832198528E-2</v>
      </c>
      <c r="E90" s="18">
        <v>4.8251453846403607E-2</v>
      </c>
      <c r="F90" s="18">
        <v>6.0392721283559103E-2</v>
      </c>
      <c r="G90" s="18">
        <v>5.5455325404905893E-2</v>
      </c>
      <c r="H90" s="18">
        <v>4.8690053349952168E-2</v>
      </c>
      <c r="I90" s="18">
        <v>4.9291153767160957E-2</v>
      </c>
    </row>
    <row r="91" spans="1:9" x14ac:dyDescent="0.35">
      <c r="A91" s="14" t="s">
        <v>201</v>
      </c>
      <c r="B91" s="18">
        <v>8.9959466913743916E-2</v>
      </c>
      <c r="C91" s="18">
        <v>1.9522499845775781E-2</v>
      </c>
      <c r="D91" s="18">
        <v>8.618721172854954E-2</v>
      </c>
      <c r="E91" s="19">
        <v>0.1244821105363348</v>
      </c>
      <c r="F91" s="18">
        <v>8.995946691374393E-2</v>
      </c>
      <c r="G91" s="18">
        <v>8.8036812869229292E-2</v>
      </c>
      <c r="H91" s="18">
        <v>8.2207892136750338E-2</v>
      </c>
      <c r="I91" s="18">
        <v>8.1444003166501827E-2</v>
      </c>
    </row>
    <row r="92" spans="1:9" x14ac:dyDescent="0.35">
      <c r="A92" s="14" t="s">
        <v>202</v>
      </c>
      <c r="B92" s="18">
        <v>1.1590887567583429E-2</v>
      </c>
      <c r="C92" s="18">
        <v>0</v>
      </c>
      <c r="D92" s="18">
        <v>2.7300439498041632E-2</v>
      </c>
      <c r="E92" s="18">
        <v>1.7236139747340229E-2</v>
      </c>
      <c r="F92" s="18">
        <v>1.1590887567583429E-2</v>
      </c>
      <c r="G92" s="18">
        <v>8.8480037313447713E-3</v>
      </c>
      <c r="H92" s="18">
        <v>7.0638114960770888E-3</v>
      </c>
      <c r="I92" s="18">
        <v>9.6183024980652995E-3</v>
      </c>
    </row>
    <row r="93" spans="1:9" x14ac:dyDescent="0.35">
      <c r="A93" s="14" t="s">
        <v>211</v>
      </c>
      <c r="B93" s="18">
        <v>4.9772881087708073E-3</v>
      </c>
      <c r="C93" s="18">
        <v>0</v>
      </c>
      <c r="D93" s="18">
        <v>1.1723187899591489E-2</v>
      </c>
      <c r="E93" s="18">
        <v>7.4014378023541244E-3</v>
      </c>
      <c r="F93" s="18">
        <v>4.9772881087708082E-3</v>
      </c>
      <c r="G93" s="18">
        <v>7.7599570308965748E-3</v>
      </c>
      <c r="H93" s="18">
        <v>6.1951684637886533E-3</v>
      </c>
      <c r="I93" s="18">
        <v>1.398933339024014E-2</v>
      </c>
    </row>
    <row r="94" spans="1:9" x14ac:dyDescent="0.35">
      <c r="A94" s="14" t="s">
        <v>212</v>
      </c>
      <c r="B94" s="18">
        <v>4.014545517247007E-3</v>
      </c>
      <c r="C94" s="18">
        <v>0</v>
      </c>
      <c r="D94" s="18">
        <v>9.4556052214892061E-3</v>
      </c>
      <c r="E94" s="18">
        <v>5.9697988746649656E-3</v>
      </c>
      <c r="F94" s="18">
        <v>4.0145455172470078E-3</v>
      </c>
      <c r="G94" s="18">
        <v>7.2374017422407446E-3</v>
      </c>
      <c r="H94" s="25">
        <v>5.7779859933217333E-3</v>
      </c>
      <c r="I94" s="18">
        <v>5.5804488290872086E-3</v>
      </c>
    </row>
    <row r="95" spans="1:9" x14ac:dyDescent="0.35">
      <c r="A95" s="14" t="s">
        <v>203</v>
      </c>
      <c r="B95" s="18">
        <v>0</v>
      </c>
      <c r="C95" s="18">
        <v>0</v>
      </c>
      <c r="D95" s="18">
        <v>0</v>
      </c>
      <c r="E95" s="18">
        <v>0</v>
      </c>
      <c r="F95" s="18">
        <v>0</v>
      </c>
      <c r="G95" s="18">
        <v>0</v>
      </c>
      <c r="H95" s="18">
        <v>0</v>
      </c>
      <c r="I95" s="18">
        <v>0</v>
      </c>
    </row>
    <row r="96" spans="1:9" x14ac:dyDescent="0.35">
      <c r="A96" s="14" t="s">
        <v>204</v>
      </c>
      <c r="B96" s="18">
        <v>1.1844499306740419E-2</v>
      </c>
      <c r="C96" s="18">
        <v>0</v>
      </c>
      <c r="D96" s="18">
        <v>8.1132850487731049E-3</v>
      </c>
      <c r="E96" s="18">
        <v>5.1223246761536844E-3</v>
      </c>
      <c r="F96" s="18">
        <v>1.1844499306740419E-2</v>
      </c>
      <c r="G96" s="18">
        <v>9.0416004340381599E-3</v>
      </c>
      <c r="H96" s="18">
        <v>1.0932028962647699E-2</v>
      </c>
      <c r="I96" s="18">
        <v>1.0558285931233801E-2</v>
      </c>
    </row>
    <row r="97" spans="1:9" x14ac:dyDescent="0.35">
      <c r="A97" s="14" t="s">
        <v>213</v>
      </c>
      <c r="B97" s="1">
        <v>30.058508734825761</v>
      </c>
      <c r="C97" s="1">
        <v>51.22777683649241</v>
      </c>
      <c r="D97" s="1">
        <v>28.768647338783541</v>
      </c>
      <c r="E97" s="1">
        <v>27.90296404574519</v>
      </c>
      <c r="F97" s="1">
        <v>30.05850873482575</v>
      </c>
      <c r="G97" s="1">
        <v>31.170856394889672</v>
      </c>
      <c r="H97" s="1">
        <v>33.037205909478622</v>
      </c>
      <c r="I97" s="1">
        <v>30.393972506354569</v>
      </c>
    </row>
    <row r="99" spans="1:9" x14ac:dyDescent="0.35">
      <c r="C99" s="187"/>
      <c r="D99" s="187"/>
      <c r="E99" s="187"/>
      <c r="F99" s="187"/>
      <c r="G99" s="170"/>
      <c r="H99" s="170"/>
      <c r="I99" s="170"/>
    </row>
    <row r="100" spans="1:9" ht="29" x14ac:dyDescent="0.35">
      <c r="A100" s="12" t="s">
        <v>573</v>
      </c>
      <c r="B100" s="13" t="s">
        <v>208</v>
      </c>
      <c r="C100" s="13" t="s">
        <v>458</v>
      </c>
      <c r="D100" s="13" t="s">
        <v>466</v>
      </c>
      <c r="E100" s="13" t="s">
        <v>467</v>
      </c>
      <c r="F100" s="13" t="s">
        <v>468</v>
      </c>
      <c r="G100" s="13" t="s">
        <v>634</v>
      </c>
      <c r="H100" s="13" t="s">
        <v>641</v>
      </c>
      <c r="I100" s="13" t="s">
        <v>647</v>
      </c>
    </row>
    <row r="101" spans="1:9" x14ac:dyDescent="0.35">
      <c r="A101" s="14" t="s">
        <v>209</v>
      </c>
      <c r="B101" s="15">
        <v>10</v>
      </c>
      <c r="C101" s="15">
        <v>0</v>
      </c>
      <c r="D101" s="15">
        <v>4</v>
      </c>
      <c r="E101" s="15">
        <v>6</v>
      </c>
      <c r="F101" s="15">
        <v>10</v>
      </c>
      <c r="G101" s="15">
        <v>15</v>
      </c>
      <c r="H101" s="15">
        <v>18</v>
      </c>
      <c r="I101" s="15">
        <v>20</v>
      </c>
    </row>
    <row r="102" spans="1:9" x14ac:dyDescent="0.35">
      <c r="A102" s="16" t="s">
        <v>336</v>
      </c>
      <c r="B102" s="17">
        <v>0.37733819779574851</v>
      </c>
      <c r="C102" s="168" t="s">
        <v>214</v>
      </c>
      <c r="D102" s="17">
        <v>0.41335552687034222</v>
      </c>
      <c r="E102" s="17">
        <v>0.25728572572643088</v>
      </c>
      <c r="F102" s="17">
        <v>0.37733819779574851</v>
      </c>
      <c r="G102" s="17">
        <v>0.36203839396071902</v>
      </c>
      <c r="H102" s="17">
        <v>0.41121232679672098</v>
      </c>
      <c r="I102" s="17">
        <v>0.40674178209909367</v>
      </c>
    </row>
    <row r="103" spans="1:9" x14ac:dyDescent="0.35">
      <c r="A103" s="16" t="s">
        <v>194</v>
      </c>
      <c r="B103" s="17">
        <v>0.40890984718377182</v>
      </c>
      <c r="C103" s="168" t="s">
        <v>214</v>
      </c>
      <c r="D103" s="17">
        <v>0.58664447312965773</v>
      </c>
      <c r="E103" s="17">
        <v>0.54204742663958672</v>
      </c>
      <c r="F103" s="17">
        <v>0.40890984718377182</v>
      </c>
      <c r="G103" s="17">
        <v>0.3117015425160865</v>
      </c>
      <c r="H103" s="17">
        <v>0.32017679614617262</v>
      </c>
      <c r="I103" s="17">
        <v>0.28586547071396712</v>
      </c>
    </row>
    <row r="104" spans="1:9" x14ac:dyDescent="0.35">
      <c r="A104" s="16" t="s">
        <v>195</v>
      </c>
      <c r="B104" s="17">
        <v>0.21375195502047981</v>
      </c>
      <c r="C104" s="168" t="s">
        <v>214</v>
      </c>
      <c r="D104" s="17">
        <v>0</v>
      </c>
      <c r="E104" s="17">
        <v>0.20066684763398249</v>
      </c>
      <c r="F104" s="17">
        <v>0.21375195502047981</v>
      </c>
      <c r="G104" s="17">
        <v>0.32626006352319448</v>
      </c>
      <c r="H104" s="17">
        <v>0.26861087705710629</v>
      </c>
      <c r="I104" s="17">
        <v>0.30739274718693932</v>
      </c>
    </row>
    <row r="105" spans="1:9" x14ac:dyDescent="0.35">
      <c r="A105" s="14" t="s">
        <v>210</v>
      </c>
      <c r="B105" s="18">
        <v>0.227406809757314</v>
      </c>
      <c r="C105" s="18" t="s">
        <v>214</v>
      </c>
      <c r="D105" s="18">
        <v>0.24570786349553639</v>
      </c>
      <c r="E105" s="18">
        <v>0.15293644784376939</v>
      </c>
      <c r="F105" s="18">
        <v>0.227406809757314</v>
      </c>
      <c r="G105" s="18">
        <v>0.27408887683567462</v>
      </c>
      <c r="H105" s="18">
        <v>0.225658184466067</v>
      </c>
      <c r="I105" s="18">
        <v>0.20147582179378551</v>
      </c>
    </row>
    <row r="106" spans="1:9" x14ac:dyDescent="0.35">
      <c r="A106" s="14" t="s">
        <v>197</v>
      </c>
      <c r="B106" s="18">
        <v>0.1499313880384345</v>
      </c>
      <c r="C106" s="18" t="s">
        <v>214</v>
      </c>
      <c r="D106" s="18">
        <v>0.1676476633748058</v>
      </c>
      <c r="E106" s="18">
        <v>0.1043492778826615</v>
      </c>
      <c r="F106" s="18">
        <v>0.1499313880384345</v>
      </c>
      <c r="G106" s="18">
        <v>8.7949517125044466E-2</v>
      </c>
      <c r="H106" s="18">
        <v>0.18555414233065409</v>
      </c>
      <c r="I106" s="18">
        <v>0.20526596030530819</v>
      </c>
    </row>
    <row r="107" spans="1:9" x14ac:dyDescent="0.35">
      <c r="A107" s="14" t="s">
        <v>198</v>
      </c>
      <c r="B107" s="18">
        <v>0.40890984718377182</v>
      </c>
      <c r="C107" s="18" t="s">
        <v>214</v>
      </c>
      <c r="D107" s="18">
        <v>0.58664447312965773</v>
      </c>
      <c r="E107" s="18">
        <v>0.54204742663958672</v>
      </c>
      <c r="F107" s="18">
        <v>0.40890984718377182</v>
      </c>
      <c r="G107" s="18">
        <v>0.3117015425160865</v>
      </c>
      <c r="H107" s="18">
        <v>0.32017679614617262</v>
      </c>
      <c r="I107" s="18">
        <v>0.28586547071396712</v>
      </c>
    </row>
    <row r="108" spans="1:9" x14ac:dyDescent="0.35">
      <c r="A108" s="14" t="s">
        <v>199</v>
      </c>
      <c r="B108" s="18">
        <v>0</v>
      </c>
      <c r="C108" s="18" t="s">
        <v>214</v>
      </c>
      <c r="D108" s="18">
        <v>0</v>
      </c>
      <c r="E108" s="18">
        <v>0</v>
      </c>
      <c r="F108" s="18">
        <v>0</v>
      </c>
      <c r="G108" s="18">
        <v>0</v>
      </c>
      <c r="H108" s="18">
        <v>0</v>
      </c>
      <c r="I108" s="18">
        <v>0</v>
      </c>
    </row>
    <row r="109" spans="1:9" x14ac:dyDescent="0.35">
      <c r="A109" s="14" t="s">
        <v>200</v>
      </c>
      <c r="B109" s="18">
        <v>0</v>
      </c>
      <c r="C109" s="18" t="s">
        <v>214</v>
      </c>
      <c r="D109" s="18">
        <v>0</v>
      </c>
      <c r="E109" s="18">
        <v>0</v>
      </c>
      <c r="F109" s="18">
        <v>0</v>
      </c>
      <c r="G109" s="18">
        <v>0.1207151127636634</v>
      </c>
      <c r="H109" s="18">
        <v>9.938511003566311E-2</v>
      </c>
      <c r="I109" s="18">
        <v>8.8734635377304735E-2</v>
      </c>
    </row>
    <row r="110" spans="1:9" x14ac:dyDescent="0.35">
      <c r="A110" s="14" t="s">
        <v>201</v>
      </c>
      <c r="B110" s="18">
        <v>0.21375195502047981</v>
      </c>
      <c r="C110" s="18" t="s">
        <v>214</v>
      </c>
      <c r="D110" s="18">
        <v>0</v>
      </c>
      <c r="E110" s="18">
        <v>0.20066684763398249</v>
      </c>
      <c r="F110" s="18">
        <v>0.21375195502047981</v>
      </c>
      <c r="G110" s="18">
        <v>0.12538656164355819</v>
      </c>
      <c r="H110" s="18">
        <v>0.1032311277406979</v>
      </c>
      <c r="I110" s="18">
        <v>0.15973570128624401</v>
      </c>
    </row>
    <row r="111" spans="1:9" x14ac:dyDescent="0.35">
      <c r="A111" s="14" t="s">
        <v>202</v>
      </c>
      <c r="B111" s="18">
        <v>0</v>
      </c>
      <c r="C111" s="18" t="s">
        <v>214</v>
      </c>
      <c r="D111" s="18">
        <v>0</v>
      </c>
      <c r="E111" s="18">
        <v>0</v>
      </c>
      <c r="F111" s="18">
        <v>0</v>
      </c>
      <c r="G111" s="18">
        <v>0</v>
      </c>
      <c r="H111" s="18">
        <v>0</v>
      </c>
      <c r="I111" s="18">
        <v>0</v>
      </c>
    </row>
    <row r="112" spans="1:9" x14ac:dyDescent="0.35">
      <c r="A112" s="14" t="s">
        <v>211</v>
      </c>
      <c r="B112" s="18">
        <v>0</v>
      </c>
      <c r="C112" s="18" t="s">
        <v>214</v>
      </c>
      <c r="D112" s="18">
        <v>0</v>
      </c>
      <c r="E112" s="18">
        <v>0</v>
      </c>
      <c r="F112" s="18">
        <v>0</v>
      </c>
      <c r="G112" s="18">
        <v>0</v>
      </c>
      <c r="H112" s="18">
        <v>0</v>
      </c>
      <c r="I112" s="18">
        <v>0</v>
      </c>
    </row>
    <row r="113" spans="1:9" x14ac:dyDescent="0.35">
      <c r="A113" s="14" t="s">
        <v>212</v>
      </c>
      <c r="B113" s="18">
        <v>0</v>
      </c>
      <c r="C113" s="18" t="s">
        <v>214</v>
      </c>
      <c r="D113" s="18">
        <v>0</v>
      </c>
      <c r="E113" s="18">
        <v>0</v>
      </c>
      <c r="F113" s="18">
        <v>0</v>
      </c>
      <c r="G113" s="18">
        <v>0</v>
      </c>
      <c r="H113" s="18">
        <v>0</v>
      </c>
      <c r="I113" s="18">
        <v>0</v>
      </c>
    </row>
    <row r="114" spans="1:9" x14ac:dyDescent="0.35">
      <c r="A114" s="14" t="s">
        <v>203</v>
      </c>
      <c r="B114" s="18">
        <v>0</v>
      </c>
      <c r="C114" s="18" t="s">
        <v>214</v>
      </c>
      <c r="D114" s="18">
        <v>0</v>
      </c>
      <c r="E114" s="18">
        <v>0</v>
      </c>
      <c r="F114" s="18">
        <v>0</v>
      </c>
      <c r="G114" s="18">
        <v>8.0158389115972853E-2</v>
      </c>
      <c r="H114" s="18">
        <v>6.5994639280745324E-2</v>
      </c>
      <c r="I114" s="18">
        <v>5.8922410523390603E-2</v>
      </c>
    </row>
    <row r="115" spans="1:9" x14ac:dyDescent="0.35">
      <c r="A115" s="14" t="s">
        <v>204</v>
      </c>
      <c r="B115" s="18">
        <v>0</v>
      </c>
      <c r="C115" s="18" t="s">
        <v>214</v>
      </c>
      <c r="D115" s="18">
        <v>0</v>
      </c>
      <c r="E115" s="18">
        <v>0</v>
      </c>
      <c r="F115" s="18">
        <v>0</v>
      </c>
      <c r="G115" s="18">
        <v>0</v>
      </c>
      <c r="H115" s="18">
        <v>0</v>
      </c>
      <c r="I115" s="18">
        <v>0</v>
      </c>
    </row>
    <row r="116" spans="1:9" x14ac:dyDescent="0.35">
      <c r="A116" s="14" t="s">
        <v>213</v>
      </c>
      <c r="B116" s="1">
        <v>16.358624277526872</v>
      </c>
      <c r="C116" s="1" t="s">
        <v>214</v>
      </c>
      <c r="D116" s="1">
        <v>41.335552687034223</v>
      </c>
      <c r="E116" s="1">
        <v>5.6618878092448419</v>
      </c>
      <c r="F116" s="1">
        <v>16.358624277526879</v>
      </c>
      <c r="G116" s="1">
        <v>3.577833043752463</v>
      </c>
      <c r="H116" s="1">
        <v>14.26014497396147</v>
      </c>
      <c r="I116" s="1">
        <v>9.9349034912154366</v>
      </c>
    </row>
    <row r="118" spans="1:9" x14ac:dyDescent="0.35">
      <c r="C118" s="187"/>
      <c r="D118" s="187"/>
      <c r="E118" s="187"/>
      <c r="F118" s="187"/>
      <c r="G118" s="170"/>
      <c r="H118" s="170"/>
      <c r="I118" s="170"/>
    </row>
    <row r="119" spans="1:9" ht="29" x14ac:dyDescent="0.35">
      <c r="A119" s="12" t="s">
        <v>574</v>
      </c>
      <c r="B119" s="13" t="s">
        <v>208</v>
      </c>
      <c r="C119" s="13" t="s">
        <v>458</v>
      </c>
      <c r="D119" s="13" t="s">
        <v>466</v>
      </c>
      <c r="E119" s="13" t="s">
        <v>467</v>
      </c>
      <c r="F119" s="13" t="s">
        <v>468</v>
      </c>
      <c r="G119" s="13" t="s">
        <v>634</v>
      </c>
      <c r="H119" s="13" t="s">
        <v>641</v>
      </c>
      <c r="I119" s="13" t="s">
        <v>647</v>
      </c>
    </row>
    <row r="120" spans="1:9" x14ac:dyDescent="0.35">
      <c r="A120" s="14" t="s">
        <v>209</v>
      </c>
      <c r="B120" s="15">
        <v>42</v>
      </c>
      <c r="C120" s="15">
        <v>9</v>
      </c>
      <c r="D120" s="15">
        <v>17</v>
      </c>
      <c r="E120" s="15">
        <v>30</v>
      </c>
      <c r="F120" s="15">
        <v>42</v>
      </c>
      <c r="G120" s="15">
        <v>53</v>
      </c>
      <c r="H120" s="15">
        <v>58</v>
      </c>
      <c r="I120" s="15">
        <v>63</v>
      </c>
    </row>
    <row r="121" spans="1:9" x14ac:dyDescent="0.35">
      <c r="A121" s="16" t="s">
        <v>336</v>
      </c>
      <c r="B121" s="17">
        <v>0.60042666240261622</v>
      </c>
      <c r="C121" s="17">
        <v>0.41025531892831929</v>
      </c>
      <c r="D121" s="17">
        <v>0.5122830793751294</v>
      </c>
      <c r="E121" s="17">
        <v>0.56960841766671255</v>
      </c>
      <c r="F121" s="17">
        <v>0.60042666240261611</v>
      </c>
      <c r="G121" s="17">
        <v>0.54563325006418251</v>
      </c>
      <c r="H121" s="17">
        <v>0.54612769103545833</v>
      </c>
      <c r="I121" s="17">
        <v>0.56460367803619937</v>
      </c>
    </row>
    <row r="122" spans="1:9" x14ac:dyDescent="0.35">
      <c r="A122" s="16" t="s">
        <v>194</v>
      </c>
      <c r="B122" s="17">
        <v>0.31642001207463338</v>
      </c>
      <c r="C122" s="153">
        <v>0.58974468107168077</v>
      </c>
      <c r="D122" s="153">
        <v>0.48771692062487049</v>
      </c>
      <c r="E122" s="17">
        <v>0.37802539234299332</v>
      </c>
      <c r="F122" s="17">
        <v>0.31642001207463338</v>
      </c>
      <c r="G122" s="152">
        <v>0.28778669703687648</v>
      </c>
      <c r="H122" s="17">
        <v>0.28653586347277948</v>
      </c>
      <c r="I122" s="155">
        <v>0.22271481932803089</v>
      </c>
    </row>
    <row r="123" spans="1:9" x14ac:dyDescent="0.35">
      <c r="A123" s="16" t="s">
        <v>195</v>
      </c>
      <c r="B123" s="17">
        <v>8.315332552275051E-2</v>
      </c>
      <c r="C123" s="17">
        <v>0</v>
      </c>
      <c r="D123" s="17">
        <v>0</v>
      </c>
      <c r="E123" s="17">
        <v>5.2366189990294049E-2</v>
      </c>
      <c r="F123" s="17">
        <v>8.3153325522750496E-2</v>
      </c>
      <c r="G123" s="17">
        <v>0.16658005289894101</v>
      </c>
      <c r="H123" s="17">
        <v>0.1673364454917623</v>
      </c>
      <c r="I123" s="17">
        <v>0.21268150263576979</v>
      </c>
    </row>
    <row r="124" spans="1:9" x14ac:dyDescent="0.35">
      <c r="A124" s="14" t="s">
        <v>210</v>
      </c>
      <c r="B124" s="18">
        <v>0.31655999985560951</v>
      </c>
      <c r="C124" s="21">
        <v>0</v>
      </c>
      <c r="D124" s="18">
        <v>0.2964074929013652</v>
      </c>
      <c r="E124" s="18">
        <v>0.34037113348122833</v>
      </c>
      <c r="F124" s="18">
        <v>0.31655999985560951</v>
      </c>
      <c r="G124" s="18">
        <v>0.28497760115455317</v>
      </c>
      <c r="H124" s="18">
        <v>0.29378208712037163</v>
      </c>
      <c r="I124" s="20">
        <v>0.30098840082524658</v>
      </c>
    </row>
    <row r="125" spans="1:9" x14ac:dyDescent="0.35">
      <c r="A125" s="14" t="s">
        <v>197</v>
      </c>
      <c r="B125" s="18">
        <v>0.28386666254700671</v>
      </c>
      <c r="C125" s="18">
        <v>0.41025531892831929</v>
      </c>
      <c r="D125" s="18">
        <v>0.2158755864737642</v>
      </c>
      <c r="E125" s="18">
        <v>0.22923728418548431</v>
      </c>
      <c r="F125" s="18">
        <v>0.28386666254700671</v>
      </c>
      <c r="G125" s="18">
        <v>0.26065564890962928</v>
      </c>
      <c r="H125" s="18">
        <v>0.25234560391508681</v>
      </c>
      <c r="I125" s="18">
        <v>0.26361527721095268</v>
      </c>
    </row>
    <row r="126" spans="1:9" x14ac:dyDescent="0.35">
      <c r="A126" s="14" t="s">
        <v>198</v>
      </c>
      <c r="B126" s="18">
        <v>0.25328342086443562</v>
      </c>
      <c r="C126" s="19">
        <v>0.52785893833063591</v>
      </c>
      <c r="D126" s="20">
        <v>0.41212220870133331</v>
      </c>
      <c r="E126" s="18">
        <v>0.2912162166584244</v>
      </c>
      <c r="F126" s="18">
        <v>0.25328342086443562</v>
      </c>
      <c r="G126" s="18">
        <v>0.23663952833151131</v>
      </c>
      <c r="H126" s="18">
        <v>0.23900724097714721</v>
      </c>
      <c r="I126" s="21">
        <v>0.16060676806009791</v>
      </c>
    </row>
    <row r="127" spans="1:9" x14ac:dyDescent="0.35">
      <c r="A127" s="14" t="s">
        <v>199</v>
      </c>
      <c r="B127" s="18">
        <v>6.3136591210197879E-2</v>
      </c>
      <c r="C127" s="18">
        <v>6.1885742741044837E-2</v>
      </c>
      <c r="D127" s="18">
        <v>7.5594711923537283E-2</v>
      </c>
      <c r="E127" s="18">
        <v>8.6809175684568932E-2</v>
      </c>
      <c r="F127" s="18">
        <v>6.3136591210197865E-2</v>
      </c>
      <c r="G127" s="18">
        <v>5.114716870536528E-2</v>
      </c>
      <c r="H127" s="18">
        <v>4.7528622495632257E-2</v>
      </c>
      <c r="I127" s="18">
        <v>6.2108051267932923E-2</v>
      </c>
    </row>
    <row r="128" spans="1:9" x14ac:dyDescent="0.35">
      <c r="A128" s="14" t="s">
        <v>200</v>
      </c>
      <c r="B128" s="18">
        <v>2.1423639321324611E-2</v>
      </c>
      <c r="C128" s="18">
        <v>0</v>
      </c>
      <c r="D128" s="18">
        <v>0</v>
      </c>
      <c r="E128" s="18">
        <v>2.9456269874565479E-2</v>
      </c>
      <c r="F128" s="18">
        <v>2.1423639321324611E-2</v>
      </c>
      <c r="G128" s="18">
        <v>6.3290643735085583E-2</v>
      </c>
      <c r="H128" s="18">
        <v>5.8812974202321518E-2</v>
      </c>
      <c r="I128" s="18">
        <v>7.7334825270331337E-2</v>
      </c>
    </row>
    <row r="129" spans="1:9" x14ac:dyDescent="0.35">
      <c r="A129" s="14" t="s">
        <v>201</v>
      </c>
      <c r="B129" s="18">
        <v>4.5067228003908839E-2</v>
      </c>
      <c r="C129" s="18">
        <v>0</v>
      </c>
      <c r="D129" s="18">
        <v>0</v>
      </c>
      <c r="E129" s="21">
        <v>0</v>
      </c>
      <c r="F129" s="18">
        <v>4.5067228003908832E-2</v>
      </c>
      <c r="G129" s="18">
        <v>7.205200504055663E-2</v>
      </c>
      <c r="H129" s="18">
        <v>6.6954489061811534E-2</v>
      </c>
      <c r="I129" s="18">
        <v>9.4473264459357137E-2</v>
      </c>
    </row>
    <row r="130" spans="1:9" x14ac:dyDescent="0.35">
      <c r="A130" s="14" t="s">
        <v>202</v>
      </c>
      <c r="B130" s="18">
        <v>0</v>
      </c>
      <c r="C130" s="18">
        <v>0</v>
      </c>
      <c r="D130" s="18">
        <v>0</v>
      </c>
      <c r="E130" s="18">
        <v>0</v>
      </c>
      <c r="F130" s="18">
        <v>0</v>
      </c>
      <c r="G130" s="18">
        <v>1.7739089688850039E-2</v>
      </c>
      <c r="H130" s="25">
        <v>1.648408931673816E-2</v>
      </c>
      <c r="I130" s="18">
        <v>1.6208262818037961E-2</v>
      </c>
    </row>
    <row r="131" spans="1:9" x14ac:dyDescent="0.35">
      <c r="A131" s="14" t="s">
        <v>211</v>
      </c>
      <c r="B131" s="18">
        <v>1.666245819751706E-2</v>
      </c>
      <c r="C131" s="18">
        <v>0</v>
      </c>
      <c r="D131" s="18">
        <v>0</v>
      </c>
      <c r="E131" s="18">
        <v>2.2909920115728569E-2</v>
      </c>
      <c r="F131" s="18">
        <v>1.666245819751706E-2</v>
      </c>
      <c r="G131" s="18">
        <v>1.349831443444871E-2</v>
      </c>
      <c r="H131" s="18">
        <v>1.2543339295630611E-2</v>
      </c>
      <c r="I131" s="18">
        <v>1.233345294440772E-2</v>
      </c>
    </row>
    <row r="132" spans="1:9" x14ac:dyDescent="0.35">
      <c r="A132" s="14" t="s">
        <v>212</v>
      </c>
      <c r="B132" s="18">
        <v>0</v>
      </c>
      <c r="C132" s="18">
        <v>0</v>
      </c>
      <c r="D132" s="18">
        <v>0</v>
      </c>
      <c r="E132" s="18">
        <v>0</v>
      </c>
      <c r="F132" s="18">
        <v>0</v>
      </c>
      <c r="G132" s="18">
        <v>0</v>
      </c>
      <c r="H132" s="18">
        <v>0</v>
      </c>
      <c r="I132" s="18">
        <v>0</v>
      </c>
    </row>
    <row r="133" spans="1:9" x14ac:dyDescent="0.35">
      <c r="A133" s="14" t="s">
        <v>203</v>
      </c>
      <c r="B133" s="18">
        <v>0</v>
      </c>
      <c r="C133" s="18">
        <v>0</v>
      </c>
      <c r="D133" s="18">
        <v>0</v>
      </c>
      <c r="E133" s="18">
        <v>0</v>
      </c>
      <c r="F133" s="18">
        <v>0</v>
      </c>
      <c r="G133" s="18">
        <v>0</v>
      </c>
      <c r="H133" s="18">
        <v>0</v>
      </c>
      <c r="I133" s="18">
        <v>0</v>
      </c>
    </row>
    <row r="134" spans="1:9" x14ac:dyDescent="0.35">
      <c r="A134" s="14" t="s">
        <v>204</v>
      </c>
      <c r="B134" s="18">
        <v>0</v>
      </c>
      <c r="C134" s="18">
        <v>0</v>
      </c>
      <c r="D134" s="18">
        <v>0</v>
      </c>
      <c r="E134" s="18">
        <v>0</v>
      </c>
      <c r="F134" s="18">
        <v>0</v>
      </c>
      <c r="G134" s="18">
        <v>0</v>
      </c>
      <c r="H134" s="18">
        <v>1.2541553615260419E-2</v>
      </c>
      <c r="I134" s="18">
        <v>1.233169714363566E-2</v>
      </c>
    </row>
    <row r="135" spans="1:9" x14ac:dyDescent="0.35">
      <c r="A135" s="14" t="s">
        <v>213</v>
      </c>
      <c r="B135" s="1">
        <v>51.727333687986572</v>
      </c>
      <c r="C135" s="1">
        <v>41.025531892831928</v>
      </c>
      <c r="D135" s="1">
        <v>51.228307937512938</v>
      </c>
      <c r="E135" s="1">
        <v>51.724222767641862</v>
      </c>
      <c r="F135" s="1">
        <v>51.727333687986558</v>
      </c>
      <c r="G135" s="1">
        <v>37.905319716524161</v>
      </c>
      <c r="H135" s="1">
        <v>37.879124554369596</v>
      </c>
      <c r="I135" s="1">
        <v>35.192217540042947</v>
      </c>
    </row>
    <row r="137" spans="1:9" x14ac:dyDescent="0.35">
      <c r="C137" s="187"/>
      <c r="D137" s="187"/>
      <c r="E137" s="187"/>
      <c r="F137" s="187"/>
      <c r="G137" s="170"/>
      <c r="H137" s="170"/>
      <c r="I137" s="170"/>
    </row>
    <row r="138" spans="1:9" ht="29" x14ac:dyDescent="0.35">
      <c r="A138" s="12" t="s">
        <v>478</v>
      </c>
      <c r="B138" s="13" t="s">
        <v>208</v>
      </c>
      <c r="C138" s="13" t="s">
        <v>458</v>
      </c>
      <c r="D138" s="13" t="s">
        <v>466</v>
      </c>
      <c r="E138" s="13" t="s">
        <v>467</v>
      </c>
      <c r="F138" s="13" t="s">
        <v>468</v>
      </c>
      <c r="G138" s="13" t="s">
        <v>634</v>
      </c>
      <c r="H138" s="13" t="s">
        <v>641</v>
      </c>
      <c r="I138" s="13" t="s">
        <v>647</v>
      </c>
    </row>
    <row r="139" spans="1:9" x14ac:dyDescent="0.35">
      <c r="A139" s="14" t="s">
        <v>209</v>
      </c>
      <c r="B139" s="15">
        <v>0</v>
      </c>
      <c r="C139" s="15">
        <v>0</v>
      </c>
      <c r="D139" s="15">
        <v>0</v>
      </c>
      <c r="E139" s="15">
        <v>0</v>
      </c>
      <c r="F139" s="15">
        <v>0</v>
      </c>
      <c r="G139" s="15">
        <v>0</v>
      </c>
      <c r="H139" s="15">
        <v>0</v>
      </c>
      <c r="I139" s="15">
        <v>0</v>
      </c>
    </row>
    <row r="140" spans="1:9" x14ac:dyDescent="0.35">
      <c r="A140" s="16" t="s">
        <v>336</v>
      </c>
      <c r="B140" s="17" t="s">
        <v>214</v>
      </c>
      <c r="C140" s="168" t="s">
        <v>214</v>
      </c>
      <c r="D140" s="168" t="s">
        <v>214</v>
      </c>
      <c r="E140" s="168" t="s">
        <v>214</v>
      </c>
      <c r="F140" s="168" t="s">
        <v>214</v>
      </c>
      <c r="G140" s="168" t="s">
        <v>214</v>
      </c>
      <c r="H140" s="168" t="s">
        <v>214</v>
      </c>
      <c r="I140" s="168" t="s">
        <v>214</v>
      </c>
    </row>
    <row r="141" spans="1:9" x14ac:dyDescent="0.35">
      <c r="A141" s="16" t="s">
        <v>194</v>
      </c>
      <c r="B141" s="17" t="s">
        <v>214</v>
      </c>
      <c r="C141" s="168" t="s">
        <v>214</v>
      </c>
      <c r="D141" s="168" t="s">
        <v>214</v>
      </c>
      <c r="E141" s="168" t="s">
        <v>214</v>
      </c>
      <c r="F141" s="168" t="s">
        <v>214</v>
      </c>
      <c r="G141" s="168" t="s">
        <v>214</v>
      </c>
      <c r="H141" s="168" t="s">
        <v>214</v>
      </c>
      <c r="I141" s="168" t="s">
        <v>214</v>
      </c>
    </row>
    <row r="142" spans="1:9" x14ac:dyDescent="0.35">
      <c r="A142" s="16" t="s">
        <v>195</v>
      </c>
      <c r="B142" s="17" t="s">
        <v>214</v>
      </c>
      <c r="C142" s="168" t="s">
        <v>214</v>
      </c>
      <c r="D142" s="168" t="s">
        <v>214</v>
      </c>
      <c r="E142" s="168" t="s">
        <v>214</v>
      </c>
      <c r="F142" s="168" t="s">
        <v>214</v>
      </c>
      <c r="G142" s="168" t="s">
        <v>214</v>
      </c>
      <c r="H142" s="168" t="s">
        <v>214</v>
      </c>
      <c r="I142" s="168" t="s">
        <v>214</v>
      </c>
    </row>
    <row r="143" spans="1:9" x14ac:dyDescent="0.35">
      <c r="A143" s="14" t="s">
        <v>210</v>
      </c>
      <c r="B143" s="18" t="s">
        <v>214</v>
      </c>
      <c r="C143" s="18" t="s">
        <v>214</v>
      </c>
      <c r="D143" s="18" t="s">
        <v>214</v>
      </c>
      <c r="E143" s="18" t="s">
        <v>214</v>
      </c>
      <c r="F143" s="18" t="s">
        <v>214</v>
      </c>
      <c r="G143" s="18" t="s">
        <v>214</v>
      </c>
      <c r="H143" s="18" t="s">
        <v>214</v>
      </c>
      <c r="I143" s="18" t="s">
        <v>214</v>
      </c>
    </row>
    <row r="144" spans="1:9" x14ac:dyDescent="0.35">
      <c r="A144" s="14" t="s">
        <v>197</v>
      </c>
      <c r="B144" s="18" t="s">
        <v>214</v>
      </c>
      <c r="C144" s="18" t="s">
        <v>214</v>
      </c>
      <c r="D144" s="18" t="s">
        <v>214</v>
      </c>
      <c r="E144" s="18" t="s">
        <v>214</v>
      </c>
      <c r="F144" s="18" t="s">
        <v>214</v>
      </c>
      <c r="G144" s="18" t="s">
        <v>214</v>
      </c>
      <c r="H144" s="18" t="s">
        <v>214</v>
      </c>
      <c r="I144" s="18" t="s">
        <v>214</v>
      </c>
    </row>
    <row r="145" spans="1:9" x14ac:dyDescent="0.35">
      <c r="A145" s="14" t="s">
        <v>198</v>
      </c>
      <c r="B145" s="18" t="s">
        <v>214</v>
      </c>
      <c r="C145" s="18" t="s">
        <v>214</v>
      </c>
      <c r="D145" s="18" t="s">
        <v>214</v>
      </c>
      <c r="E145" s="18" t="s">
        <v>214</v>
      </c>
      <c r="F145" s="18" t="s">
        <v>214</v>
      </c>
      <c r="G145" s="18" t="s">
        <v>214</v>
      </c>
      <c r="H145" s="18" t="s">
        <v>214</v>
      </c>
      <c r="I145" s="18" t="s">
        <v>214</v>
      </c>
    </row>
    <row r="146" spans="1:9" x14ac:dyDescent="0.35">
      <c r="A146" s="14" t="s">
        <v>199</v>
      </c>
      <c r="B146" s="18" t="s">
        <v>214</v>
      </c>
      <c r="C146" s="18" t="s">
        <v>214</v>
      </c>
      <c r="D146" s="18" t="s">
        <v>214</v>
      </c>
      <c r="E146" s="18" t="s">
        <v>214</v>
      </c>
      <c r="F146" s="18" t="s">
        <v>214</v>
      </c>
      <c r="G146" s="18" t="s">
        <v>214</v>
      </c>
      <c r="H146" s="18" t="s">
        <v>214</v>
      </c>
      <c r="I146" s="18" t="s">
        <v>214</v>
      </c>
    </row>
    <row r="147" spans="1:9" x14ac:dyDescent="0.35">
      <c r="A147" s="14" t="s">
        <v>200</v>
      </c>
      <c r="B147" s="18" t="s">
        <v>214</v>
      </c>
      <c r="C147" s="18" t="s">
        <v>214</v>
      </c>
      <c r="D147" s="18" t="s">
        <v>214</v>
      </c>
      <c r="E147" s="18" t="s">
        <v>214</v>
      </c>
      <c r="F147" s="18" t="s">
        <v>214</v>
      </c>
      <c r="G147" s="18" t="s">
        <v>214</v>
      </c>
      <c r="H147" s="18" t="s">
        <v>214</v>
      </c>
      <c r="I147" s="18" t="s">
        <v>214</v>
      </c>
    </row>
    <row r="148" spans="1:9" x14ac:dyDescent="0.35">
      <c r="A148" s="14" t="s">
        <v>201</v>
      </c>
      <c r="B148" s="18" t="s">
        <v>214</v>
      </c>
      <c r="C148" s="18" t="s">
        <v>214</v>
      </c>
      <c r="D148" s="18" t="s">
        <v>214</v>
      </c>
      <c r="E148" s="18" t="s">
        <v>214</v>
      </c>
      <c r="F148" s="18" t="s">
        <v>214</v>
      </c>
      <c r="G148" s="18" t="s">
        <v>214</v>
      </c>
      <c r="H148" s="18" t="s">
        <v>214</v>
      </c>
      <c r="I148" s="18" t="s">
        <v>214</v>
      </c>
    </row>
    <row r="149" spans="1:9" x14ac:dyDescent="0.35">
      <c r="A149" s="14" t="s">
        <v>202</v>
      </c>
      <c r="B149" s="18" t="s">
        <v>214</v>
      </c>
      <c r="C149" s="18" t="s">
        <v>214</v>
      </c>
      <c r="D149" s="18" t="s">
        <v>214</v>
      </c>
      <c r="E149" s="18" t="s">
        <v>214</v>
      </c>
      <c r="F149" s="18" t="s">
        <v>214</v>
      </c>
      <c r="G149" s="18" t="s">
        <v>214</v>
      </c>
      <c r="H149" s="18" t="s">
        <v>214</v>
      </c>
      <c r="I149" s="18" t="s">
        <v>214</v>
      </c>
    </row>
    <row r="150" spans="1:9" x14ac:dyDescent="0.35">
      <c r="A150" s="14" t="s">
        <v>211</v>
      </c>
      <c r="B150" s="18" t="s">
        <v>214</v>
      </c>
      <c r="C150" s="18" t="s">
        <v>214</v>
      </c>
      <c r="D150" s="18" t="s">
        <v>214</v>
      </c>
      <c r="E150" s="18" t="s">
        <v>214</v>
      </c>
      <c r="F150" s="18" t="s">
        <v>214</v>
      </c>
      <c r="G150" s="18" t="s">
        <v>214</v>
      </c>
      <c r="H150" s="18" t="s">
        <v>214</v>
      </c>
      <c r="I150" s="18" t="s">
        <v>214</v>
      </c>
    </row>
    <row r="151" spans="1:9" x14ac:dyDescent="0.35">
      <c r="A151" s="14" t="s">
        <v>212</v>
      </c>
      <c r="B151" s="18" t="s">
        <v>214</v>
      </c>
      <c r="C151" s="18" t="s">
        <v>214</v>
      </c>
      <c r="D151" s="18" t="s">
        <v>214</v>
      </c>
      <c r="E151" s="18" t="s">
        <v>214</v>
      </c>
      <c r="F151" s="18" t="s">
        <v>214</v>
      </c>
      <c r="G151" s="18" t="s">
        <v>214</v>
      </c>
      <c r="H151" s="18" t="s">
        <v>214</v>
      </c>
      <c r="I151" s="18" t="s">
        <v>214</v>
      </c>
    </row>
    <row r="152" spans="1:9" x14ac:dyDescent="0.35">
      <c r="A152" s="14" t="s">
        <v>203</v>
      </c>
      <c r="B152" s="18" t="s">
        <v>214</v>
      </c>
      <c r="C152" s="18" t="s">
        <v>214</v>
      </c>
      <c r="D152" s="18" t="s">
        <v>214</v>
      </c>
      <c r="E152" s="18" t="s">
        <v>214</v>
      </c>
      <c r="F152" s="18" t="s">
        <v>214</v>
      </c>
      <c r="G152" s="18" t="s">
        <v>214</v>
      </c>
      <c r="H152" s="18" t="s">
        <v>214</v>
      </c>
      <c r="I152" s="18" t="s">
        <v>214</v>
      </c>
    </row>
    <row r="153" spans="1:9" x14ac:dyDescent="0.35">
      <c r="A153" s="14" t="s">
        <v>204</v>
      </c>
      <c r="B153" s="18" t="s">
        <v>214</v>
      </c>
      <c r="C153" s="18" t="s">
        <v>214</v>
      </c>
      <c r="D153" s="18" t="s">
        <v>214</v>
      </c>
      <c r="E153" s="18" t="s">
        <v>214</v>
      </c>
      <c r="F153" s="18" t="s">
        <v>214</v>
      </c>
      <c r="G153" s="18" t="s">
        <v>214</v>
      </c>
      <c r="H153" s="18" t="s">
        <v>214</v>
      </c>
      <c r="I153" s="18" t="s">
        <v>214</v>
      </c>
    </row>
    <row r="155" spans="1:9" x14ac:dyDescent="0.35">
      <c r="C155" s="187"/>
      <c r="D155" s="187"/>
      <c r="E155" s="187"/>
      <c r="F155" s="187"/>
      <c r="G155" s="170"/>
      <c r="H155" s="170"/>
      <c r="I155" s="170"/>
    </row>
    <row r="156" spans="1:9" ht="29" x14ac:dyDescent="0.35">
      <c r="A156" s="12" t="s">
        <v>575</v>
      </c>
      <c r="B156" s="13" t="s">
        <v>208</v>
      </c>
      <c r="C156" s="13" t="s">
        <v>458</v>
      </c>
      <c r="D156" s="13" t="s">
        <v>466</v>
      </c>
      <c r="E156" s="13" t="s">
        <v>467</v>
      </c>
      <c r="F156" s="13" t="s">
        <v>468</v>
      </c>
      <c r="G156" s="13" t="s">
        <v>634</v>
      </c>
      <c r="H156" s="13" t="s">
        <v>641</v>
      </c>
      <c r="I156" s="13" t="s">
        <v>647</v>
      </c>
    </row>
    <row r="157" spans="1:9" x14ac:dyDescent="0.35">
      <c r="A157" s="14" t="s">
        <v>209</v>
      </c>
      <c r="B157" s="15">
        <v>25</v>
      </c>
      <c r="C157" s="15">
        <v>6</v>
      </c>
      <c r="D157" s="15">
        <v>12</v>
      </c>
      <c r="E157" s="15">
        <v>18</v>
      </c>
      <c r="F157" s="15">
        <v>25</v>
      </c>
      <c r="G157" s="15">
        <v>32</v>
      </c>
      <c r="H157" s="15">
        <v>39</v>
      </c>
      <c r="I157" s="15">
        <v>41</v>
      </c>
    </row>
    <row r="158" spans="1:9" x14ac:dyDescent="0.35">
      <c r="A158" s="16" t="s">
        <v>336</v>
      </c>
      <c r="B158" s="17">
        <v>0.46910395920490872</v>
      </c>
      <c r="C158" s="17">
        <v>0.58106231789095852</v>
      </c>
      <c r="D158" s="17">
        <v>0.5033749429161547</v>
      </c>
      <c r="E158" s="17">
        <v>0.54370378458755497</v>
      </c>
      <c r="F158" s="17">
        <v>0.46910395920490872</v>
      </c>
      <c r="G158" s="17">
        <v>0.49272728028360441</v>
      </c>
      <c r="H158" s="17">
        <v>0.48188193037218141</v>
      </c>
      <c r="I158" s="17">
        <v>0.46366887100927762</v>
      </c>
    </row>
    <row r="159" spans="1:9" x14ac:dyDescent="0.35">
      <c r="A159" s="16" t="s">
        <v>194</v>
      </c>
      <c r="B159" s="17">
        <v>0.46610665377440991</v>
      </c>
      <c r="C159" s="17">
        <v>0.33735677334051262</v>
      </c>
      <c r="D159" s="17">
        <v>0.44823267096974911</v>
      </c>
      <c r="E159" s="17">
        <v>0.3655496659396984</v>
      </c>
      <c r="F159" s="17">
        <v>0.46610665377440991</v>
      </c>
      <c r="G159" s="17">
        <v>0.43420346128614651</v>
      </c>
      <c r="H159" s="17">
        <v>0.44307627535986538</v>
      </c>
      <c r="I159" s="17">
        <v>0.45620689422651128</v>
      </c>
    </row>
    <row r="160" spans="1:9" x14ac:dyDescent="0.35">
      <c r="A160" s="16" t="s">
        <v>195</v>
      </c>
      <c r="B160" s="17">
        <v>6.4789387020681419E-2</v>
      </c>
      <c r="C160" s="17">
        <v>8.1580908768528845E-2</v>
      </c>
      <c r="D160" s="17">
        <v>4.8392386114096311E-2</v>
      </c>
      <c r="E160" s="17">
        <v>9.074654947274674E-2</v>
      </c>
      <c r="F160" s="17">
        <v>6.4789387020681419E-2</v>
      </c>
      <c r="G160" s="152">
        <v>7.3069258430249182E-2</v>
      </c>
      <c r="H160" s="17">
        <v>7.5041794267953141E-2</v>
      </c>
      <c r="I160" s="17">
        <v>8.0124234764210975E-2</v>
      </c>
    </row>
    <row r="161" spans="1:9" x14ac:dyDescent="0.35">
      <c r="A161" s="14" t="s">
        <v>210</v>
      </c>
      <c r="B161" s="18">
        <v>0.2950185498432224</v>
      </c>
      <c r="C161" s="20">
        <v>0.58106231789095852</v>
      </c>
      <c r="D161" s="18">
        <v>0.44800824171601578</v>
      </c>
      <c r="E161" s="20">
        <v>0.41321451953512262</v>
      </c>
      <c r="F161" s="25">
        <v>0.29501854984322229</v>
      </c>
      <c r="G161" s="18">
        <v>0.2700362760342806</v>
      </c>
      <c r="H161" s="18">
        <v>0.24126574735462161</v>
      </c>
      <c r="I161" s="23">
        <v>0.21890898861012509</v>
      </c>
    </row>
    <row r="162" spans="1:9" x14ac:dyDescent="0.35">
      <c r="A162" s="14" t="s">
        <v>197</v>
      </c>
      <c r="B162" s="18">
        <v>0.17408540936168629</v>
      </c>
      <c r="C162" s="18">
        <v>0</v>
      </c>
      <c r="D162" s="18">
        <v>5.5366701200138917E-2</v>
      </c>
      <c r="E162" s="18">
        <v>0.13048926505243241</v>
      </c>
      <c r="F162" s="18">
        <v>0.17408540936168629</v>
      </c>
      <c r="G162" s="18">
        <v>0.22269100424932381</v>
      </c>
      <c r="H162" s="18">
        <v>0.24061618301755969</v>
      </c>
      <c r="I162" s="18">
        <v>0.2447598823991525</v>
      </c>
    </row>
    <row r="163" spans="1:9" x14ac:dyDescent="0.35">
      <c r="A163" s="14" t="s">
        <v>198</v>
      </c>
      <c r="B163" s="18">
        <v>0.27608764553485099</v>
      </c>
      <c r="C163" s="18">
        <v>0.17516666218399349</v>
      </c>
      <c r="D163" s="18">
        <v>0.25198819464894828</v>
      </c>
      <c r="E163" s="18">
        <v>0.22030513673344909</v>
      </c>
      <c r="F163" s="18">
        <v>0.27608764553485099</v>
      </c>
      <c r="G163" s="18">
        <v>0.25058560396744239</v>
      </c>
      <c r="H163" s="18">
        <v>0.22553462968220961</v>
      </c>
      <c r="I163" s="18">
        <v>0.2486203644532464</v>
      </c>
    </row>
    <row r="164" spans="1:9" x14ac:dyDescent="0.35">
      <c r="A164" s="14" t="s">
        <v>199</v>
      </c>
      <c r="B164" s="18">
        <v>0.19001900823955881</v>
      </c>
      <c r="C164" s="18">
        <v>0.16219011115651899</v>
      </c>
      <c r="D164" s="18">
        <v>0.19624447632080069</v>
      </c>
      <c r="E164" s="18">
        <v>0.14524452920624931</v>
      </c>
      <c r="F164" s="18">
        <v>0.19001900823955881</v>
      </c>
      <c r="G164" s="18">
        <v>0.18361785731870409</v>
      </c>
      <c r="H164" s="18">
        <v>0.21754164567765591</v>
      </c>
      <c r="I164" s="18">
        <v>0.20758652977326489</v>
      </c>
    </row>
    <row r="165" spans="1:9" x14ac:dyDescent="0.35">
      <c r="A165" s="14" t="s">
        <v>200</v>
      </c>
      <c r="B165" s="18">
        <v>3.9218068088922538E-2</v>
      </c>
      <c r="C165" s="18">
        <v>0</v>
      </c>
      <c r="D165" s="18">
        <v>0</v>
      </c>
      <c r="E165" s="18">
        <v>5.4930360043704697E-2</v>
      </c>
      <c r="F165" s="18">
        <v>3.9218068088922531E-2</v>
      </c>
      <c r="G165" s="18">
        <v>3.2865221591093292E-2</v>
      </c>
      <c r="H165" s="18">
        <v>2.6690117867401511E-2</v>
      </c>
      <c r="I165" s="18">
        <v>2.714975372195964E-2</v>
      </c>
    </row>
    <row r="166" spans="1:9" x14ac:dyDescent="0.35">
      <c r="A166" s="14" t="s">
        <v>201</v>
      </c>
      <c r="B166" s="18">
        <v>2.5571318931758891E-2</v>
      </c>
      <c r="C166" s="18">
        <v>8.1580908768528845E-2</v>
      </c>
      <c r="D166" s="18">
        <v>4.8392386114096311E-2</v>
      </c>
      <c r="E166" s="18">
        <v>3.5816189429042043E-2</v>
      </c>
      <c r="F166" s="18">
        <v>2.5571318931758881E-2</v>
      </c>
      <c r="G166" s="18">
        <v>4.0204036839155903E-2</v>
      </c>
      <c r="H166" s="18">
        <v>4.835167640055163E-2</v>
      </c>
      <c r="I166" s="18">
        <v>3.1481922674409288E-2</v>
      </c>
    </row>
    <row r="167" spans="1:9" x14ac:dyDescent="0.35">
      <c r="A167" s="14" t="s">
        <v>202</v>
      </c>
      <c r="B167" s="18">
        <v>0</v>
      </c>
      <c r="C167" s="18">
        <v>0</v>
      </c>
      <c r="D167" s="18">
        <v>0</v>
      </c>
      <c r="E167" s="18">
        <v>0</v>
      </c>
      <c r="F167" s="18">
        <v>0</v>
      </c>
      <c r="G167" s="18">
        <v>0</v>
      </c>
      <c r="H167" s="18">
        <v>0</v>
      </c>
      <c r="I167" s="18">
        <v>0</v>
      </c>
    </row>
    <row r="168" spans="1:9" x14ac:dyDescent="0.35">
      <c r="A168" s="14" t="s">
        <v>211</v>
      </c>
      <c r="B168" s="18">
        <v>0</v>
      </c>
      <c r="C168" s="18">
        <v>0</v>
      </c>
      <c r="D168" s="18">
        <v>0</v>
      </c>
      <c r="E168" s="18">
        <v>0</v>
      </c>
      <c r="F168" s="18">
        <v>0</v>
      </c>
      <c r="G168" s="18">
        <v>0</v>
      </c>
      <c r="H168" s="18">
        <v>0</v>
      </c>
      <c r="I168" s="18">
        <v>2.149255836784204E-2</v>
      </c>
    </row>
    <row r="169" spans="1:9" x14ac:dyDescent="0.35">
      <c r="A169" s="14" t="s">
        <v>212</v>
      </c>
      <c r="B169" s="18">
        <v>0</v>
      </c>
      <c r="C169" s="18">
        <v>0</v>
      </c>
      <c r="D169" s="18">
        <v>0</v>
      </c>
      <c r="E169" s="18">
        <v>0</v>
      </c>
      <c r="F169" s="18">
        <v>0</v>
      </c>
      <c r="G169" s="18">
        <v>0</v>
      </c>
      <c r="H169" s="18">
        <v>0</v>
      </c>
      <c r="I169" s="18">
        <v>0</v>
      </c>
    </row>
    <row r="170" spans="1:9" x14ac:dyDescent="0.35">
      <c r="A170" s="14" t="s">
        <v>203</v>
      </c>
      <c r="B170" s="18">
        <v>0</v>
      </c>
      <c r="C170" s="18">
        <v>0</v>
      </c>
      <c r="D170" s="18">
        <v>0</v>
      </c>
      <c r="E170" s="18">
        <v>0</v>
      </c>
      <c r="F170" s="18">
        <v>0</v>
      </c>
      <c r="G170" s="18">
        <v>0</v>
      </c>
      <c r="H170" s="18">
        <v>0</v>
      </c>
      <c r="I170" s="18">
        <v>0</v>
      </c>
    </row>
    <row r="171" spans="1:9" x14ac:dyDescent="0.35">
      <c r="A171" s="14" t="s">
        <v>204</v>
      </c>
      <c r="B171" s="18">
        <v>0</v>
      </c>
      <c r="C171" s="18">
        <v>0</v>
      </c>
      <c r="D171" s="18">
        <v>0</v>
      </c>
      <c r="E171" s="18">
        <v>0</v>
      </c>
      <c r="F171" s="18">
        <v>0</v>
      </c>
      <c r="G171" s="18">
        <v>0</v>
      </c>
      <c r="H171" s="18">
        <v>0</v>
      </c>
      <c r="I171" s="18">
        <v>0</v>
      </c>
    </row>
    <row r="172" spans="1:9" x14ac:dyDescent="0.35">
      <c r="A172" s="14" t="s">
        <v>213</v>
      </c>
      <c r="B172" s="1">
        <v>40.431457218422729</v>
      </c>
      <c r="C172" s="1">
        <v>49.94814091224297</v>
      </c>
      <c r="D172" s="1">
        <v>45.498255680205837</v>
      </c>
      <c r="E172" s="1">
        <v>45.295723511480823</v>
      </c>
      <c r="F172" s="1">
        <v>40.431457218422729</v>
      </c>
      <c r="G172" s="1">
        <v>41.965802185335519</v>
      </c>
      <c r="H172" s="1">
        <v>40.684013610422816</v>
      </c>
      <c r="I172" s="1">
        <v>38.354463624506657</v>
      </c>
    </row>
    <row r="174" spans="1:9" x14ac:dyDescent="0.35">
      <c r="C174" s="187"/>
      <c r="D174" s="187"/>
      <c r="E174" s="187"/>
      <c r="F174" s="187"/>
      <c r="G174" s="170"/>
      <c r="H174" s="170"/>
      <c r="I174" s="170"/>
    </row>
    <row r="175" spans="1:9" ht="29" x14ac:dyDescent="0.35">
      <c r="A175" s="12" t="s">
        <v>576</v>
      </c>
      <c r="B175" s="13" t="s">
        <v>208</v>
      </c>
      <c r="C175" s="13" t="s">
        <v>458</v>
      </c>
      <c r="D175" s="13" t="s">
        <v>466</v>
      </c>
      <c r="E175" s="13" t="s">
        <v>467</v>
      </c>
      <c r="F175" s="13" t="s">
        <v>468</v>
      </c>
      <c r="G175" s="13" t="s">
        <v>634</v>
      </c>
      <c r="H175" s="13" t="s">
        <v>641</v>
      </c>
      <c r="I175" s="13" t="s">
        <v>647</v>
      </c>
    </row>
    <row r="176" spans="1:9" x14ac:dyDescent="0.35">
      <c r="A176" s="14" t="s">
        <v>209</v>
      </c>
      <c r="B176" s="15">
        <v>60</v>
      </c>
      <c r="C176" s="15">
        <v>18</v>
      </c>
      <c r="D176" s="15">
        <v>27</v>
      </c>
      <c r="E176" s="15">
        <v>44</v>
      </c>
      <c r="F176" s="15">
        <v>60</v>
      </c>
      <c r="G176" s="15">
        <v>72</v>
      </c>
      <c r="H176" s="15">
        <v>84</v>
      </c>
      <c r="I176" s="15">
        <v>86</v>
      </c>
    </row>
    <row r="177" spans="1:9" x14ac:dyDescent="0.35">
      <c r="A177" s="16" t="s">
        <v>336</v>
      </c>
      <c r="B177" s="17">
        <v>0.45082724625983239</v>
      </c>
      <c r="C177" s="17">
        <v>0.47740035097948519</v>
      </c>
      <c r="D177" s="17">
        <v>0.41382618869854598</v>
      </c>
      <c r="E177" s="17">
        <v>0.4939961060513417</v>
      </c>
      <c r="F177" s="17">
        <v>0.45082724625983261</v>
      </c>
      <c r="G177" s="17">
        <v>0.46801398014562162</v>
      </c>
      <c r="H177" s="17">
        <v>0.48482438443301662</v>
      </c>
      <c r="I177" s="17">
        <v>0.49806242257419592</v>
      </c>
    </row>
    <row r="178" spans="1:9" x14ac:dyDescent="0.35">
      <c r="A178" s="16" t="s">
        <v>194</v>
      </c>
      <c r="B178" s="17">
        <v>0.4206578774066993</v>
      </c>
      <c r="C178" s="17">
        <v>0.5225996490205147</v>
      </c>
      <c r="D178" s="17">
        <v>0.44485914596500231</v>
      </c>
      <c r="E178" s="17">
        <v>0.37040208791436008</v>
      </c>
      <c r="F178" s="17">
        <v>0.42065787740669941</v>
      </c>
      <c r="G178" s="17">
        <v>0.40750927762723999</v>
      </c>
      <c r="H178" s="17">
        <v>0.40730303670928031</v>
      </c>
      <c r="I178" s="17">
        <v>0.35536107455860311</v>
      </c>
    </row>
    <row r="179" spans="1:9" x14ac:dyDescent="0.35">
      <c r="A179" s="16" t="s">
        <v>195</v>
      </c>
      <c r="B179" s="17">
        <v>0.12851487633346809</v>
      </c>
      <c r="C179" s="17">
        <v>0</v>
      </c>
      <c r="D179" s="17">
        <v>0.14131466533645179</v>
      </c>
      <c r="E179" s="17">
        <v>0.13560180603429811</v>
      </c>
      <c r="F179" s="17">
        <v>0.12851487633346809</v>
      </c>
      <c r="G179" s="17">
        <v>0.12447674222713841</v>
      </c>
      <c r="H179" s="17">
        <v>0.10787257885770341</v>
      </c>
      <c r="I179" s="17">
        <v>0.14657650286720111</v>
      </c>
    </row>
    <row r="180" spans="1:9" x14ac:dyDescent="0.35">
      <c r="A180" s="14" t="s">
        <v>210</v>
      </c>
      <c r="B180" s="18">
        <v>0.29954310744007739</v>
      </c>
      <c r="C180" s="18">
        <v>0.2485936417431153</v>
      </c>
      <c r="D180" s="18">
        <v>0.17671783253693191</v>
      </c>
      <c r="E180" s="18">
        <v>0.30607187093712668</v>
      </c>
      <c r="F180" s="18">
        <v>0.29954310744007739</v>
      </c>
      <c r="G180" s="18">
        <v>0.29445093859067017</v>
      </c>
      <c r="H180" s="18">
        <v>0.31016880633682747</v>
      </c>
      <c r="I180" s="18">
        <v>0.34546746090740033</v>
      </c>
    </row>
    <row r="181" spans="1:9" x14ac:dyDescent="0.35">
      <c r="A181" s="14" t="s">
        <v>197</v>
      </c>
      <c r="B181" s="18">
        <v>0.151284138819755</v>
      </c>
      <c r="C181" s="18">
        <v>0.22880670923637</v>
      </c>
      <c r="D181" s="18">
        <v>0.23710835616161419</v>
      </c>
      <c r="E181" s="18">
        <v>0.18792423511421491</v>
      </c>
      <c r="F181" s="18">
        <v>0.15128413881975511</v>
      </c>
      <c r="G181" s="18">
        <v>0.17356304155495131</v>
      </c>
      <c r="H181" s="18">
        <v>0.17465557809618909</v>
      </c>
      <c r="I181" s="18">
        <v>0.15259496166679559</v>
      </c>
    </row>
    <row r="182" spans="1:9" x14ac:dyDescent="0.35">
      <c r="A182" s="14" t="s">
        <v>198</v>
      </c>
      <c r="B182" s="18">
        <v>0.24796710236816291</v>
      </c>
      <c r="C182" s="18">
        <v>0.26676966207178082</v>
      </c>
      <c r="D182" s="18">
        <v>0.26299721066156678</v>
      </c>
      <c r="E182" s="18">
        <v>0.23601276063896859</v>
      </c>
      <c r="F182" s="18">
        <v>0.24796710236816291</v>
      </c>
      <c r="G182" s="18">
        <v>0.25456838358997957</v>
      </c>
      <c r="H182" s="18">
        <v>0.2547054159156798</v>
      </c>
      <c r="I182" s="18">
        <v>0.24730317407946731</v>
      </c>
    </row>
    <row r="183" spans="1:9" x14ac:dyDescent="0.35">
      <c r="A183" s="14" t="s">
        <v>199</v>
      </c>
      <c r="B183" s="18">
        <v>0.17269077503853639</v>
      </c>
      <c r="C183" s="18">
        <v>0.25582998694873388</v>
      </c>
      <c r="D183" s="18">
        <v>0.18186193530343539</v>
      </c>
      <c r="E183" s="18">
        <v>0.1343893272753916</v>
      </c>
      <c r="F183" s="18">
        <v>0.1726907750385365</v>
      </c>
      <c r="G183" s="18">
        <v>0.15294089403726049</v>
      </c>
      <c r="H183" s="18">
        <v>0.15259762079360051</v>
      </c>
      <c r="I183" s="18">
        <v>0.1080579004791359</v>
      </c>
    </row>
    <row r="184" spans="1:9" x14ac:dyDescent="0.35">
      <c r="A184" s="14" t="s">
        <v>200</v>
      </c>
      <c r="B184" s="18">
        <v>3.9127845167920748E-2</v>
      </c>
      <c r="C184" s="18">
        <v>0</v>
      </c>
      <c r="D184" s="18">
        <v>3.6425269700070283E-2</v>
      </c>
      <c r="E184" s="18">
        <v>3.5582864704472562E-2</v>
      </c>
      <c r="F184" s="25">
        <v>3.9127845167920762E-2</v>
      </c>
      <c r="G184" s="18">
        <v>3.2153914147508282E-2</v>
      </c>
      <c r="H184" s="18">
        <v>2.7864849106765129E-2</v>
      </c>
      <c r="I184" s="18">
        <v>2.5812849484188379E-2</v>
      </c>
    </row>
    <row r="185" spans="1:9" x14ac:dyDescent="0.35">
      <c r="A185" s="14" t="s">
        <v>201</v>
      </c>
      <c r="B185" s="18">
        <v>8.3733884038990528E-2</v>
      </c>
      <c r="C185" s="18">
        <v>0</v>
      </c>
      <c r="D185" s="18">
        <v>8.8925116662993464E-2</v>
      </c>
      <c r="E185" s="18">
        <v>9.2124439458307561E-2</v>
      </c>
      <c r="F185" s="18">
        <v>8.3733884038990555E-2</v>
      </c>
      <c r="G185" s="18">
        <v>7.9423017758961115E-2</v>
      </c>
      <c r="H185" s="18">
        <v>6.8828646966729592E-2</v>
      </c>
      <c r="I185" s="18">
        <v>7.9894939421004632E-2</v>
      </c>
    </row>
    <row r="186" spans="1:9" x14ac:dyDescent="0.35">
      <c r="A186" s="14" t="s">
        <v>202</v>
      </c>
      <c r="B186" s="18">
        <v>0</v>
      </c>
      <c r="C186" s="18">
        <v>0</v>
      </c>
      <c r="D186" s="18">
        <v>0</v>
      </c>
      <c r="E186" s="18">
        <v>0</v>
      </c>
      <c r="F186" s="18">
        <v>0</v>
      </c>
      <c r="G186" s="18">
        <v>8.254248915729484E-3</v>
      </c>
      <c r="H186" s="18">
        <v>7.1532006794359634E-3</v>
      </c>
      <c r="I186" s="18">
        <v>2.7824304061609701E-2</v>
      </c>
    </row>
    <row r="187" spans="1:9" x14ac:dyDescent="0.35">
      <c r="A187" s="14" t="s">
        <v>211</v>
      </c>
      <c r="B187" s="18">
        <v>0</v>
      </c>
      <c r="C187" s="18">
        <v>0</v>
      </c>
      <c r="D187" s="18">
        <v>0</v>
      </c>
      <c r="E187" s="18">
        <v>0</v>
      </c>
      <c r="F187" s="18">
        <v>0</v>
      </c>
      <c r="G187" s="18">
        <v>0</v>
      </c>
      <c r="H187" s="18">
        <v>0</v>
      </c>
      <c r="I187" s="18">
        <v>9.3149983965566518E-3</v>
      </c>
    </row>
    <row r="188" spans="1:9" x14ac:dyDescent="0.35">
      <c r="A188" s="14" t="s">
        <v>212</v>
      </c>
      <c r="B188" s="18">
        <v>5.6531471265568404E-3</v>
      </c>
      <c r="C188" s="18">
        <v>0</v>
      </c>
      <c r="D188" s="18">
        <v>1.5964278973388049E-2</v>
      </c>
      <c r="E188" s="18">
        <v>7.8945018715179376E-3</v>
      </c>
      <c r="F188" s="18">
        <v>5.6531471265568421E-3</v>
      </c>
      <c r="G188" s="18">
        <v>4.6455614049395154E-3</v>
      </c>
      <c r="H188" s="18">
        <v>4.0258821047727041E-3</v>
      </c>
      <c r="I188" s="18">
        <v>3.7294115038417831E-3</v>
      </c>
    </row>
    <row r="189" spans="1:9" x14ac:dyDescent="0.35">
      <c r="A189" s="14" t="s">
        <v>203</v>
      </c>
      <c r="B189" s="18">
        <v>0</v>
      </c>
      <c r="C189" s="18">
        <v>0</v>
      </c>
      <c r="D189" s="18">
        <v>0</v>
      </c>
      <c r="E189" s="18">
        <v>0</v>
      </c>
      <c r="F189" s="18">
        <v>0</v>
      </c>
      <c r="G189" s="18">
        <v>0</v>
      </c>
      <c r="H189" s="18">
        <v>0</v>
      </c>
      <c r="I189" s="18">
        <v>0</v>
      </c>
    </row>
    <row r="190" spans="1:9" x14ac:dyDescent="0.35">
      <c r="A190" s="14" t="s">
        <v>204</v>
      </c>
      <c r="B190" s="18">
        <v>0</v>
      </c>
      <c r="C190" s="18">
        <v>0</v>
      </c>
      <c r="D190" s="18">
        <v>0</v>
      </c>
      <c r="E190" s="18">
        <v>0</v>
      </c>
      <c r="F190" s="18">
        <v>0</v>
      </c>
      <c r="G190" s="18">
        <v>0</v>
      </c>
      <c r="H190" s="18">
        <v>0</v>
      </c>
      <c r="I190" s="18">
        <v>0</v>
      </c>
    </row>
    <row r="191" spans="1:9" x14ac:dyDescent="0.35">
      <c r="A191" s="14" t="s">
        <v>213</v>
      </c>
      <c r="B191" s="1">
        <v>32.231236992636433</v>
      </c>
      <c r="C191" s="1">
        <v>47.740035097948528</v>
      </c>
      <c r="D191" s="1">
        <v>27.251152336209429</v>
      </c>
      <c r="E191" s="1">
        <v>35.839430001704372</v>
      </c>
      <c r="F191" s="1">
        <v>32.231236992636447</v>
      </c>
      <c r="G191" s="1">
        <v>34.35372379184831</v>
      </c>
      <c r="H191" s="1">
        <v>37.695180557531323</v>
      </c>
      <c r="I191" s="1">
        <v>35.148591970699471</v>
      </c>
    </row>
    <row r="193" spans="1:9" x14ac:dyDescent="0.35">
      <c r="C193" s="187"/>
      <c r="D193" s="187"/>
      <c r="E193" s="187"/>
      <c r="F193" s="187"/>
      <c r="G193" s="170"/>
      <c r="H193" s="170"/>
      <c r="I193" s="170"/>
    </row>
    <row r="194" spans="1:9" ht="29" x14ac:dyDescent="0.35">
      <c r="A194" s="12" t="s">
        <v>577</v>
      </c>
      <c r="B194" s="13" t="s">
        <v>208</v>
      </c>
      <c r="C194" s="13" t="s">
        <v>458</v>
      </c>
      <c r="D194" s="13" t="s">
        <v>466</v>
      </c>
      <c r="E194" s="13" t="s">
        <v>467</v>
      </c>
      <c r="F194" s="13" t="s">
        <v>468</v>
      </c>
      <c r="G194" s="13" t="s">
        <v>634</v>
      </c>
      <c r="H194" s="13" t="s">
        <v>641</v>
      </c>
      <c r="I194" s="13" t="s">
        <v>647</v>
      </c>
    </row>
    <row r="195" spans="1:9" x14ac:dyDescent="0.35">
      <c r="A195" s="14" t="s">
        <v>209</v>
      </c>
      <c r="B195" s="15">
        <v>9</v>
      </c>
      <c r="C195" s="15">
        <v>3</v>
      </c>
      <c r="D195" s="15">
        <v>8</v>
      </c>
      <c r="E195" s="15">
        <v>8</v>
      </c>
      <c r="F195" s="15">
        <v>9</v>
      </c>
      <c r="G195" s="15">
        <v>12</v>
      </c>
      <c r="H195" s="15">
        <v>15</v>
      </c>
      <c r="I195" s="15">
        <v>13</v>
      </c>
    </row>
    <row r="196" spans="1:9" x14ac:dyDescent="0.35">
      <c r="A196" s="16" t="s">
        <v>336</v>
      </c>
      <c r="B196" s="17">
        <v>0.62163823414073327</v>
      </c>
      <c r="C196" s="149">
        <v>0.90275664827724478</v>
      </c>
      <c r="D196" s="17">
        <v>0.68190355832972727</v>
      </c>
      <c r="E196" s="17">
        <v>0.68190355832972727</v>
      </c>
      <c r="F196" s="17">
        <v>0.62163823414073327</v>
      </c>
      <c r="G196" s="17">
        <v>0.51977670901626472</v>
      </c>
      <c r="H196" s="17">
        <v>0.48890023927184861</v>
      </c>
      <c r="I196" s="155">
        <v>0.316172873727182</v>
      </c>
    </row>
    <row r="197" spans="1:9" x14ac:dyDescent="0.35">
      <c r="A197" s="16" t="s">
        <v>194</v>
      </c>
      <c r="B197" s="17">
        <v>0.23494910620406631</v>
      </c>
      <c r="C197" s="154">
        <v>0</v>
      </c>
      <c r="D197" s="154">
        <v>0.16078050201674129</v>
      </c>
      <c r="E197" s="154">
        <v>0.16078050201674129</v>
      </c>
      <c r="F197" s="17">
        <v>0.23494910620406631</v>
      </c>
      <c r="G197" s="17">
        <v>0.24263784917299269</v>
      </c>
      <c r="H197" s="17">
        <v>0.31660849405871461</v>
      </c>
      <c r="I197" s="153">
        <v>0.45723838033354902</v>
      </c>
    </row>
    <row r="198" spans="1:9" x14ac:dyDescent="0.35">
      <c r="A198" s="16" t="s">
        <v>195</v>
      </c>
      <c r="B198" s="17">
        <v>0.14341265965520061</v>
      </c>
      <c r="C198" s="17">
        <v>9.7243351722755111E-2</v>
      </c>
      <c r="D198" s="17">
        <v>0.15731593965353141</v>
      </c>
      <c r="E198" s="17">
        <v>0.15731593965353141</v>
      </c>
      <c r="F198" s="17">
        <v>0.14341265965520061</v>
      </c>
      <c r="G198" s="17">
        <v>0.2375854418107427</v>
      </c>
      <c r="H198" s="17">
        <v>0.19449126666943689</v>
      </c>
      <c r="I198" s="17">
        <v>0.2265887459392692</v>
      </c>
    </row>
    <row r="199" spans="1:9" x14ac:dyDescent="0.35">
      <c r="A199" s="14" t="s">
        <v>210</v>
      </c>
      <c r="B199" s="18">
        <v>0.42265654039647932</v>
      </c>
      <c r="C199" s="18">
        <v>0.6508200736523384</v>
      </c>
      <c r="D199" s="18">
        <v>0.46363139044379148</v>
      </c>
      <c r="E199" s="18">
        <v>0.46363139044379148</v>
      </c>
      <c r="F199" s="18">
        <v>0.42265654039647932</v>
      </c>
      <c r="G199" s="18">
        <v>0.35340011850324321</v>
      </c>
      <c r="H199" s="18">
        <v>0.28929902507905692</v>
      </c>
      <c r="I199" s="23">
        <v>0.16856954004641619</v>
      </c>
    </row>
    <row r="200" spans="1:9" x14ac:dyDescent="0.35">
      <c r="A200" s="14" t="s">
        <v>197</v>
      </c>
      <c r="B200" s="18">
        <v>0.19898169374425401</v>
      </c>
      <c r="C200" s="18">
        <v>0.25193657462490632</v>
      </c>
      <c r="D200" s="18">
        <v>0.21827216788593581</v>
      </c>
      <c r="E200" s="18">
        <v>0.21827216788593581</v>
      </c>
      <c r="F200" s="18">
        <v>0.19898169374425401</v>
      </c>
      <c r="G200" s="18">
        <v>0.16637659051302151</v>
      </c>
      <c r="H200" s="18">
        <v>0.1996012141927917</v>
      </c>
      <c r="I200" s="18">
        <v>0.14760333368076581</v>
      </c>
    </row>
    <row r="201" spans="1:9" x14ac:dyDescent="0.35">
      <c r="A201" s="14" t="s">
        <v>198</v>
      </c>
      <c r="B201" s="18">
        <v>0.23494910620406631</v>
      </c>
      <c r="C201" s="23">
        <v>0</v>
      </c>
      <c r="D201" s="23">
        <v>0.16078050201674129</v>
      </c>
      <c r="E201" s="23">
        <v>0.16078050201674129</v>
      </c>
      <c r="F201" s="18">
        <v>0.23494910620406631</v>
      </c>
      <c r="G201" s="18">
        <v>0.24263784917299269</v>
      </c>
      <c r="H201" s="18">
        <v>0.26245242986257261</v>
      </c>
      <c r="I201" s="18">
        <v>0.3790274935665896</v>
      </c>
    </row>
    <row r="202" spans="1:9" x14ac:dyDescent="0.35">
      <c r="A202" s="14" t="s">
        <v>199</v>
      </c>
      <c r="B202" s="18">
        <v>0</v>
      </c>
      <c r="C202" s="18">
        <v>0</v>
      </c>
      <c r="D202" s="18">
        <v>0</v>
      </c>
      <c r="E202" s="18">
        <v>0</v>
      </c>
      <c r="F202" s="18">
        <v>0</v>
      </c>
      <c r="G202" s="18">
        <v>0</v>
      </c>
      <c r="H202" s="18">
        <v>5.4156064196141968E-2</v>
      </c>
      <c r="I202" s="18">
        <v>7.8210886766959392E-2</v>
      </c>
    </row>
    <row r="203" spans="1:9" x14ac:dyDescent="0.35">
      <c r="A203" s="14" t="s">
        <v>200</v>
      </c>
      <c r="B203" s="18">
        <v>5.4922120650588498E-2</v>
      </c>
      <c r="C203" s="18">
        <v>9.7243351722755111E-2</v>
      </c>
      <c r="D203" s="18">
        <v>6.024659914044507E-2</v>
      </c>
      <c r="E203" s="18">
        <v>6.024659914044507E-2</v>
      </c>
      <c r="F203" s="18">
        <v>5.4922120650588498E-2</v>
      </c>
      <c r="G203" s="18">
        <v>0.1202464461538518</v>
      </c>
      <c r="H203" s="25">
        <v>9.8435676221233018E-2</v>
      </c>
      <c r="I203" s="18">
        <v>8.78675700305315E-2</v>
      </c>
    </row>
    <row r="204" spans="1:9" x14ac:dyDescent="0.35">
      <c r="A204" s="14" t="s">
        <v>201</v>
      </c>
      <c r="B204" s="18">
        <v>8.8490539004612095E-2</v>
      </c>
      <c r="C204" s="18">
        <v>0</v>
      </c>
      <c r="D204" s="18">
        <v>9.70693405130863E-2</v>
      </c>
      <c r="E204" s="18">
        <v>9.70693405130863E-2</v>
      </c>
      <c r="F204" s="25">
        <v>8.8490539004612095E-2</v>
      </c>
      <c r="G204" s="18">
        <v>7.3990495784851867E-2</v>
      </c>
      <c r="H204" s="25">
        <v>6.0569810746900689E-2</v>
      </c>
      <c r="I204" s="18">
        <v>8.7473465439895925E-2</v>
      </c>
    </row>
    <row r="205" spans="1:9" x14ac:dyDescent="0.35">
      <c r="A205" s="14" t="s">
        <v>202</v>
      </c>
      <c r="B205" s="18">
        <v>0</v>
      </c>
      <c r="C205" s="18">
        <v>0</v>
      </c>
      <c r="D205" s="18">
        <v>0</v>
      </c>
      <c r="E205" s="18">
        <v>0</v>
      </c>
      <c r="F205" s="18">
        <v>0</v>
      </c>
      <c r="G205" s="18">
        <v>0</v>
      </c>
      <c r="H205" s="18">
        <v>0</v>
      </c>
      <c r="I205" s="18">
        <v>0</v>
      </c>
    </row>
    <row r="206" spans="1:9" x14ac:dyDescent="0.35">
      <c r="A206" s="14" t="s">
        <v>211</v>
      </c>
      <c r="B206" s="18">
        <v>0</v>
      </c>
      <c r="C206" s="18">
        <v>0</v>
      </c>
      <c r="D206" s="18">
        <v>0</v>
      </c>
      <c r="E206" s="18">
        <v>0</v>
      </c>
      <c r="F206" s="18">
        <v>0</v>
      </c>
      <c r="G206" s="18">
        <v>0</v>
      </c>
      <c r="H206" s="18">
        <v>0</v>
      </c>
      <c r="I206" s="18">
        <v>0</v>
      </c>
    </row>
    <row r="207" spans="1:9" x14ac:dyDescent="0.35">
      <c r="A207" s="14" t="s">
        <v>212</v>
      </c>
      <c r="B207" s="18">
        <v>0</v>
      </c>
      <c r="C207" s="18">
        <v>0</v>
      </c>
      <c r="D207" s="18">
        <v>0</v>
      </c>
      <c r="E207" s="18">
        <v>0</v>
      </c>
      <c r="F207" s="18">
        <v>0</v>
      </c>
      <c r="G207" s="18">
        <v>0</v>
      </c>
      <c r="H207" s="18">
        <v>0</v>
      </c>
      <c r="I207" s="18">
        <v>0</v>
      </c>
    </row>
    <row r="208" spans="1:9" x14ac:dyDescent="0.35">
      <c r="A208" s="14" t="s">
        <v>203</v>
      </c>
      <c r="B208" s="18">
        <v>0</v>
      </c>
      <c r="C208" s="18">
        <v>0</v>
      </c>
      <c r="D208" s="18">
        <v>0</v>
      </c>
      <c r="E208" s="18">
        <v>0</v>
      </c>
      <c r="F208" s="18">
        <v>0</v>
      </c>
      <c r="G208" s="18">
        <v>0</v>
      </c>
      <c r="H208" s="18">
        <v>0</v>
      </c>
      <c r="I208" s="18">
        <v>0</v>
      </c>
    </row>
    <row r="209" spans="1:9" x14ac:dyDescent="0.35">
      <c r="A209" s="14" t="s">
        <v>204</v>
      </c>
      <c r="B209" s="18">
        <v>0</v>
      </c>
      <c r="C209" s="18">
        <v>0</v>
      </c>
      <c r="D209" s="18">
        <v>0</v>
      </c>
      <c r="E209" s="18">
        <v>0</v>
      </c>
      <c r="F209" s="18">
        <v>0</v>
      </c>
      <c r="G209" s="18">
        <v>4.334849987203912E-2</v>
      </c>
      <c r="H209" s="18">
        <v>3.5485779701303233E-2</v>
      </c>
      <c r="I209" s="18">
        <v>5.1247710468841787E-2</v>
      </c>
    </row>
    <row r="210" spans="1:9" x14ac:dyDescent="0.35">
      <c r="A210" s="14" t="s">
        <v>213</v>
      </c>
      <c r="B210" s="1">
        <v>47.822557448553269</v>
      </c>
      <c r="C210" s="1">
        <v>80.551329655448967</v>
      </c>
      <c r="D210" s="1">
        <v>52.458761867619593</v>
      </c>
      <c r="E210" s="1">
        <v>52.458761867619593</v>
      </c>
      <c r="F210" s="1">
        <v>47.822557448553269</v>
      </c>
      <c r="G210" s="1">
        <v>28.2191267205522</v>
      </c>
      <c r="H210" s="1">
        <v>29.440897260241162</v>
      </c>
      <c r="I210" s="1">
        <v>8.9584127787912724</v>
      </c>
    </row>
    <row r="212" spans="1:9" x14ac:dyDescent="0.35">
      <c r="C212" s="187"/>
      <c r="D212" s="187"/>
      <c r="E212" s="187"/>
      <c r="F212" s="187"/>
      <c r="G212" s="170"/>
      <c r="H212" s="170"/>
      <c r="I212" s="170"/>
    </row>
    <row r="213" spans="1:9" ht="29" x14ac:dyDescent="0.35">
      <c r="A213" s="12" t="s">
        <v>486</v>
      </c>
      <c r="B213" s="13" t="s">
        <v>208</v>
      </c>
      <c r="C213" s="13" t="s">
        <v>458</v>
      </c>
      <c r="D213" s="13" t="s">
        <v>466</v>
      </c>
      <c r="E213" s="13" t="s">
        <v>467</v>
      </c>
      <c r="F213" s="13" t="s">
        <v>468</v>
      </c>
      <c r="G213" s="13" t="s">
        <v>634</v>
      </c>
      <c r="H213" s="13" t="s">
        <v>641</v>
      </c>
      <c r="I213" s="13" t="s">
        <v>647</v>
      </c>
    </row>
    <row r="214" spans="1:9" x14ac:dyDescent="0.35">
      <c r="A214" s="14" t="s">
        <v>209</v>
      </c>
      <c r="B214" s="15">
        <v>0</v>
      </c>
      <c r="C214" s="15">
        <v>0</v>
      </c>
      <c r="D214" s="15">
        <v>0</v>
      </c>
      <c r="E214" s="15">
        <v>0</v>
      </c>
      <c r="F214" s="15">
        <v>0</v>
      </c>
      <c r="G214" s="15">
        <v>0</v>
      </c>
      <c r="H214" s="15">
        <v>0</v>
      </c>
      <c r="I214" s="15">
        <v>0</v>
      </c>
    </row>
    <row r="215" spans="1:9" x14ac:dyDescent="0.35">
      <c r="A215" s="16" t="s">
        <v>336</v>
      </c>
      <c r="B215" s="17" t="s">
        <v>214</v>
      </c>
      <c r="C215" s="168" t="s">
        <v>214</v>
      </c>
      <c r="D215" s="168" t="s">
        <v>214</v>
      </c>
      <c r="E215" s="168" t="s">
        <v>214</v>
      </c>
      <c r="F215" s="168" t="s">
        <v>214</v>
      </c>
      <c r="G215" s="168" t="s">
        <v>214</v>
      </c>
      <c r="H215" s="168" t="s">
        <v>214</v>
      </c>
      <c r="I215" s="168" t="s">
        <v>214</v>
      </c>
    </row>
    <row r="216" spans="1:9" x14ac:dyDescent="0.35">
      <c r="A216" s="16" t="s">
        <v>194</v>
      </c>
      <c r="B216" s="17" t="s">
        <v>214</v>
      </c>
      <c r="C216" s="168" t="s">
        <v>214</v>
      </c>
      <c r="D216" s="168" t="s">
        <v>214</v>
      </c>
      <c r="E216" s="168" t="s">
        <v>214</v>
      </c>
      <c r="F216" s="168" t="s">
        <v>214</v>
      </c>
      <c r="G216" s="168" t="s">
        <v>214</v>
      </c>
      <c r="H216" s="168" t="s">
        <v>214</v>
      </c>
      <c r="I216" s="168" t="s">
        <v>214</v>
      </c>
    </row>
    <row r="217" spans="1:9" x14ac:dyDescent="0.35">
      <c r="A217" s="16" t="s">
        <v>195</v>
      </c>
      <c r="B217" s="17" t="s">
        <v>214</v>
      </c>
      <c r="C217" s="168" t="s">
        <v>214</v>
      </c>
      <c r="D217" s="168" t="s">
        <v>214</v>
      </c>
      <c r="E217" s="168" t="s">
        <v>214</v>
      </c>
      <c r="F217" s="168" t="s">
        <v>214</v>
      </c>
      <c r="G217" s="168" t="s">
        <v>214</v>
      </c>
      <c r="H217" s="168" t="s">
        <v>214</v>
      </c>
      <c r="I217" s="168" t="s">
        <v>214</v>
      </c>
    </row>
    <row r="218" spans="1:9" x14ac:dyDescent="0.35">
      <c r="A218" s="14" t="s">
        <v>210</v>
      </c>
      <c r="B218" s="18" t="s">
        <v>214</v>
      </c>
      <c r="C218" s="18" t="s">
        <v>214</v>
      </c>
      <c r="D218" s="18" t="s">
        <v>214</v>
      </c>
      <c r="E218" s="18" t="s">
        <v>214</v>
      </c>
      <c r="F218" s="18" t="s">
        <v>214</v>
      </c>
      <c r="G218" s="18" t="s">
        <v>214</v>
      </c>
      <c r="H218" s="18" t="s">
        <v>214</v>
      </c>
      <c r="I218" s="18" t="s">
        <v>214</v>
      </c>
    </row>
    <row r="219" spans="1:9" x14ac:dyDescent="0.35">
      <c r="A219" s="14" t="s">
        <v>197</v>
      </c>
      <c r="B219" s="18" t="s">
        <v>214</v>
      </c>
      <c r="C219" s="18" t="s">
        <v>214</v>
      </c>
      <c r="D219" s="18" t="s">
        <v>214</v>
      </c>
      <c r="E219" s="18" t="s">
        <v>214</v>
      </c>
      <c r="F219" s="18" t="s">
        <v>214</v>
      </c>
      <c r="G219" s="18" t="s">
        <v>214</v>
      </c>
      <c r="H219" s="18" t="s">
        <v>214</v>
      </c>
      <c r="I219" s="18" t="s">
        <v>214</v>
      </c>
    </row>
    <row r="220" spans="1:9" x14ac:dyDescent="0.35">
      <c r="A220" s="14" t="s">
        <v>198</v>
      </c>
      <c r="B220" s="18" t="s">
        <v>214</v>
      </c>
      <c r="C220" s="18" t="s">
        <v>214</v>
      </c>
      <c r="D220" s="18" t="s">
        <v>214</v>
      </c>
      <c r="E220" s="18" t="s">
        <v>214</v>
      </c>
      <c r="F220" s="18" t="s">
        <v>214</v>
      </c>
      <c r="G220" s="18" t="s">
        <v>214</v>
      </c>
      <c r="H220" s="18" t="s">
        <v>214</v>
      </c>
      <c r="I220" s="18" t="s">
        <v>214</v>
      </c>
    </row>
    <row r="221" spans="1:9" x14ac:dyDescent="0.35">
      <c r="A221" s="14" t="s">
        <v>199</v>
      </c>
      <c r="B221" s="18" t="s">
        <v>214</v>
      </c>
      <c r="C221" s="18" t="s">
        <v>214</v>
      </c>
      <c r="D221" s="18" t="s">
        <v>214</v>
      </c>
      <c r="E221" s="18" t="s">
        <v>214</v>
      </c>
      <c r="F221" s="18" t="s">
        <v>214</v>
      </c>
      <c r="G221" s="18" t="s">
        <v>214</v>
      </c>
      <c r="H221" s="18" t="s">
        <v>214</v>
      </c>
      <c r="I221" s="18" t="s">
        <v>214</v>
      </c>
    </row>
    <row r="222" spans="1:9" x14ac:dyDescent="0.35">
      <c r="A222" s="14" t="s">
        <v>200</v>
      </c>
      <c r="B222" s="18" t="s">
        <v>214</v>
      </c>
      <c r="C222" s="18" t="s">
        <v>214</v>
      </c>
      <c r="D222" s="18" t="s">
        <v>214</v>
      </c>
      <c r="E222" s="18" t="s">
        <v>214</v>
      </c>
      <c r="F222" s="18" t="s">
        <v>214</v>
      </c>
      <c r="G222" s="18" t="s">
        <v>214</v>
      </c>
      <c r="H222" s="18" t="s">
        <v>214</v>
      </c>
      <c r="I222" s="18" t="s">
        <v>214</v>
      </c>
    </row>
    <row r="223" spans="1:9" x14ac:dyDescent="0.35">
      <c r="A223" s="14" t="s">
        <v>201</v>
      </c>
      <c r="B223" s="18" t="s">
        <v>214</v>
      </c>
      <c r="C223" s="18" t="s">
        <v>214</v>
      </c>
      <c r="D223" s="18" t="s">
        <v>214</v>
      </c>
      <c r="E223" s="18" t="s">
        <v>214</v>
      </c>
      <c r="F223" s="18" t="s">
        <v>214</v>
      </c>
      <c r="G223" s="18" t="s">
        <v>214</v>
      </c>
      <c r="H223" s="18" t="s">
        <v>214</v>
      </c>
      <c r="I223" s="18" t="s">
        <v>214</v>
      </c>
    </row>
    <row r="224" spans="1:9" x14ac:dyDescent="0.35">
      <c r="A224" s="14" t="s">
        <v>202</v>
      </c>
      <c r="B224" s="18" t="s">
        <v>214</v>
      </c>
      <c r="C224" s="18" t="s">
        <v>214</v>
      </c>
      <c r="D224" s="18" t="s">
        <v>214</v>
      </c>
      <c r="E224" s="18" t="s">
        <v>214</v>
      </c>
      <c r="F224" s="18" t="s">
        <v>214</v>
      </c>
      <c r="G224" s="18" t="s">
        <v>214</v>
      </c>
      <c r="H224" s="18" t="s">
        <v>214</v>
      </c>
      <c r="I224" s="18" t="s">
        <v>214</v>
      </c>
    </row>
    <row r="225" spans="1:9" x14ac:dyDescent="0.35">
      <c r="A225" s="14" t="s">
        <v>211</v>
      </c>
      <c r="B225" s="18" t="s">
        <v>214</v>
      </c>
      <c r="C225" s="18" t="s">
        <v>214</v>
      </c>
      <c r="D225" s="18" t="s">
        <v>214</v>
      </c>
      <c r="E225" s="18" t="s">
        <v>214</v>
      </c>
      <c r="F225" s="18" t="s">
        <v>214</v>
      </c>
      <c r="G225" s="18" t="s">
        <v>214</v>
      </c>
      <c r="H225" s="18" t="s">
        <v>214</v>
      </c>
      <c r="I225" s="18" t="s">
        <v>214</v>
      </c>
    </row>
    <row r="226" spans="1:9" x14ac:dyDescent="0.35">
      <c r="A226" s="14" t="s">
        <v>212</v>
      </c>
      <c r="B226" s="18" t="s">
        <v>214</v>
      </c>
      <c r="C226" s="18" t="s">
        <v>214</v>
      </c>
      <c r="D226" s="18" t="s">
        <v>214</v>
      </c>
      <c r="E226" s="18" t="s">
        <v>214</v>
      </c>
      <c r="F226" s="18" t="s">
        <v>214</v>
      </c>
      <c r="G226" s="18" t="s">
        <v>214</v>
      </c>
      <c r="H226" s="18" t="s">
        <v>214</v>
      </c>
      <c r="I226" s="18" t="s">
        <v>214</v>
      </c>
    </row>
    <row r="227" spans="1:9" x14ac:dyDescent="0.35">
      <c r="A227" s="14" t="s">
        <v>203</v>
      </c>
      <c r="B227" s="18" t="s">
        <v>214</v>
      </c>
      <c r="C227" s="18" t="s">
        <v>214</v>
      </c>
      <c r="D227" s="18" t="s">
        <v>214</v>
      </c>
      <c r="E227" s="18" t="s">
        <v>214</v>
      </c>
      <c r="F227" s="18" t="s">
        <v>214</v>
      </c>
      <c r="G227" s="18" t="s">
        <v>214</v>
      </c>
      <c r="H227" s="18" t="s">
        <v>214</v>
      </c>
      <c r="I227" s="18" t="s">
        <v>214</v>
      </c>
    </row>
    <row r="228" spans="1:9" x14ac:dyDescent="0.35">
      <c r="A228" s="14" t="s">
        <v>204</v>
      </c>
      <c r="B228" s="18" t="s">
        <v>214</v>
      </c>
      <c r="C228" s="18" t="s">
        <v>214</v>
      </c>
      <c r="D228" s="18" t="s">
        <v>214</v>
      </c>
      <c r="E228" s="18" t="s">
        <v>214</v>
      </c>
      <c r="F228" s="18" t="s">
        <v>214</v>
      </c>
      <c r="G228" s="18" t="s">
        <v>214</v>
      </c>
      <c r="H228" s="18" t="s">
        <v>214</v>
      </c>
      <c r="I228" s="18" t="s">
        <v>214</v>
      </c>
    </row>
    <row r="230" spans="1:9" x14ac:dyDescent="0.35">
      <c r="C230" s="187"/>
      <c r="D230" s="187"/>
      <c r="E230" s="187"/>
      <c r="F230" s="187"/>
      <c r="G230" s="170"/>
      <c r="H230" s="170"/>
      <c r="I230" s="170"/>
    </row>
    <row r="231" spans="1:9" ht="29" x14ac:dyDescent="0.35">
      <c r="A231" s="12" t="s">
        <v>578</v>
      </c>
      <c r="B231" s="13" t="s">
        <v>208</v>
      </c>
      <c r="C231" s="13" t="s">
        <v>458</v>
      </c>
      <c r="D231" s="13" t="s">
        <v>466</v>
      </c>
      <c r="E231" s="13" t="s">
        <v>467</v>
      </c>
      <c r="F231" s="13" t="s">
        <v>468</v>
      </c>
      <c r="G231" s="13" t="s">
        <v>634</v>
      </c>
      <c r="H231" s="13" t="s">
        <v>641</v>
      </c>
      <c r="I231" s="13" t="s">
        <v>647</v>
      </c>
    </row>
    <row r="232" spans="1:9" x14ac:dyDescent="0.35">
      <c r="A232" s="14" t="s">
        <v>209</v>
      </c>
      <c r="B232" s="15">
        <v>3</v>
      </c>
      <c r="C232" s="15">
        <v>1</v>
      </c>
      <c r="D232" s="15">
        <v>3</v>
      </c>
      <c r="E232" s="15">
        <v>3</v>
      </c>
      <c r="F232" s="15">
        <v>3</v>
      </c>
      <c r="G232" s="15">
        <v>4</v>
      </c>
      <c r="H232" s="15">
        <v>6</v>
      </c>
      <c r="I232" s="15">
        <v>6</v>
      </c>
    </row>
    <row r="233" spans="1:9" x14ac:dyDescent="0.35">
      <c r="A233" s="16" t="s">
        <v>336</v>
      </c>
      <c r="B233" s="17">
        <v>0.76721846793129134</v>
      </c>
      <c r="C233" s="17">
        <v>1</v>
      </c>
      <c r="D233" s="17">
        <v>0.76721846793129134</v>
      </c>
      <c r="E233" s="17">
        <v>0.76721846793129134</v>
      </c>
      <c r="F233" s="17">
        <v>0.76721846793129134</v>
      </c>
      <c r="G233" s="17">
        <v>0.80488793664954772</v>
      </c>
      <c r="H233" s="17">
        <v>0.54917685914353342</v>
      </c>
      <c r="I233" s="17">
        <v>0.35171098238512921</v>
      </c>
    </row>
    <row r="234" spans="1:9" x14ac:dyDescent="0.35">
      <c r="A234" s="16" t="s">
        <v>194</v>
      </c>
      <c r="B234" s="17">
        <v>0.23278153206870861</v>
      </c>
      <c r="C234" s="17">
        <v>0</v>
      </c>
      <c r="D234" s="17">
        <v>0.23278153206870861</v>
      </c>
      <c r="E234" s="17">
        <v>0.23278153206870861</v>
      </c>
      <c r="F234" s="17">
        <v>0.23278153206870861</v>
      </c>
      <c r="G234" s="152">
        <v>0.1951120633504522</v>
      </c>
      <c r="H234" s="17">
        <v>0.45082314085646658</v>
      </c>
      <c r="I234" s="17">
        <v>0.46711817098906649</v>
      </c>
    </row>
    <row r="235" spans="1:9" x14ac:dyDescent="0.35">
      <c r="A235" s="16" t="s">
        <v>195</v>
      </c>
      <c r="B235" s="17">
        <v>0</v>
      </c>
      <c r="C235" s="17">
        <v>0</v>
      </c>
      <c r="D235" s="17">
        <v>0</v>
      </c>
      <c r="E235" s="17">
        <v>0</v>
      </c>
      <c r="F235" s="17">
        <v>0</v>
      </c>
      <c r="G235" s="17">
        <v>0</v>
      </c>
      <c r="H235" s="17">
        <v>0</v>
      </c>
      <c r="I235" s="17">
        <v>0.1811708466258044</v>
      </c>
    </row>
    <row r="236" spans="1:9" x14ac:dyDescent="0.35">
      <c r="A236" s="14" t="s">
        <v>210</v>
      </c>
      <c r="B236" s="18">
        <v>0.40047824254315351</v>
      </c>
      <c r="C236" s="18">
        <v>0</v>
      </c>
      <c r="D236" s="18">
        <v>0.40047824254315351</v>
      </c>
      <c r="E236" s="18">
        <v>0.40047824254315351</v>
      </c>
      <c r="F236" s="18">
        <v>0.40047824254315351</v>
      </c>
      <c r="G236" s="18">
        <v>0.49749481377943577</v>
      </c>
      <c r="H236" s="18">
        <v>0.33944183634913361</v>
      </c>
      <c r="I236" s="18">
        <v>0.35171098238512921</v>
      </c>
    </row>
    <row r="237" spans="1:9" x14ac:dyDescent="0.35">
      <c r="A237" s="14" t="s">
        <v>197</v>
      </c>
      <c r="B237" s="18">
        <v>0.36674022538813789</v>
      </c>
      <c r="C237" s="18">
        <v>1</v>
      </c>
      <c r="D237" s="18">
        <v>0.36674022538813789</v>
      </c>
      <c r="E237" s="18">
        <v>0.36674022538813789</v>
      </c>
      <c r="F237" s="18">
        <v>0.36674022538813789</v>
      </c>
      <c r="G237" s="18">
        <v>0.30739312287011211</v>
      </c>
      <c r="H237" s="18">
        <v>0.2097350227943999</v>
      </c>
      <c r="I237" s="21">
        <v>0</v>
      </c>
    </row>
    <row r="238" spans="1:9" x14ac:dyDescent="0.35">
      <c r="A238" s="14" t="s">
        <v>198</v>
      </c>
      <c r="B238" s="18">
        <v>0</v>
      </c>
      <c r="C238" s="18">
        <v>0</v>
      </c>
      <c r="D238" s="18">
        <v>0</v>
      </c>
      <c r="E238" s="18">
        <v>0</v>
      </c>
      <c r="F238" s="18">
        <v>0</v>
      </c>
      <c r="G238" s="18">
        <v>0</v>
      </c>
      <c r="H238" s="18">
        <v>0.15730713249161199</v>
      </c>
      <c r="I238" s="18">
        <v>0.16299300846318249</v>
      </c>
    </row>
    <row r="239" spans="1:9" x14ac:dyDescent="0.35">
      <c r="A239" s="14" t="s">
        <v>199</v>
      </c>
      <c r="B239" s="18">
        <v>0.23278153206870861</v>
      </c>
      <c r="C239" s="18">
        <v>0</v>
      </c>
      <c r="D239" s="18">
        <v>0.23278153206870861</v>
      </c>
      <c r="E239" s="18">
        <v>0.23278153206870861</v>
      </c>
      <c r="F239" s="18">
        <v>0.23278153206870861</v>
      </c>
      <c r="G239" s="25">
        <v>0.1951120633504522</v>
      </c>
      <c r="H239" s="18">
        <v>0.29351600836485459</v>
      </c>
      <c r="I239" s="18">
        <v>0.30412516252588401</v>
      </c>
    </row>
    <row r="240" spans="1:9" x14ac:dyDescent="0.35">
      <c r="A240" s="14" t="s">
        <v>200</v>
      </c>
      <c r="B240" s="18">
        <v>0</v>
      </c>
      <c r="C240" s="18">
        <v>0</v>
      </c>
      <c r="D240" s="18">
        <v>0</v>
      </c>
      <c r="E240" s="18">
        <v>0</v>
      </c>
      <c r="F240" s="18">
        <v>0</v>
      </c>
      <c r="G240" s="18">
        <v>0</v>
      </c>
      <c r="H240" s="18">
        <v>0</v>
      </c>
      <c r="I240" s="18">
        <v>0</v>
      </c>
    </row>
    <row r="241" spans="1:9" x14ac:dyDescent="0.35">
      <c r="A241" s="14" t="s">
        <v>201</v>
      </c>
      <c r="B241" s="18">
        <v>0</v>
      </c>
      <c r="C241" s="18">
        <v>0</v>
      </c>
      <c r="D241" s="18">
        <v>0</v>
      </c>
      <c r="E241" s="18">
        <v>0</v>
      </c>
      <c r="F241" s="18">
        <v>0</v>
      </c>
      <c r="G241" s="18">
        <v>0</v>
      </c>
      <c r="H241" s="18">
        <v>0</v>
      </c>
      <c r="I241" s="18">
        <v>0</v>
      </c>
    </row>
    <row r="242" spans="1:9" x14ac:dyDescent="0.35">
      <c r="A242" s="14" t="s">
        <v>202</v>
      </c>
      <c r="B242" s="18">
        <v>0</v>
      </c>
      <c r="C242" s="18">
        <v>0</v>
      </c>
      <c r="D242" s="18">
        <v>0</v>
      </c>
      <c r="E242" s="18">
        <v>0</v>
      </c>
      <c r="F242" s="18">
        <v>0</v>
      </c>
      <c r="G242" s="18">
        <v>0</v>
      </c>
      <c r="H242" s="18">
        <v>0</v>
      </c>
      <c r="I242" s="18">
        <v>0.1811708466258044</v>
      </c>
    </row>
    <row r="243" spans="1:9" x14ac:dyDescent="0.35">
      <c r="A243" s="14" t="s">
        <v>211</v>
      </c>
      <c r="B243" s="18">
        <v>0</v>
      </c>
      <c r="C243" s="18">
        <v>0</v>
      </c>
      <c r="D243" s="18">
        <v>0</v>
      </c>
      <c r="E243" s="18">
        <v>0</v>
      </c>
      <c r="F243" s="18">
        <v>0</v>
      </c>
      <c r="G243" s="18">
        <v>0</v>
      </c>
      <c r="H243" s="18">
        <v>0</v>
      </c>
      <c r="I243" s="18">
        <v>0</v>
      </c>
    </row>
    <row r="244" spans="1:9" x14ac:dyDescent="0.35">
      <c r="A244" s="14" t="s">
        <v>212</v>
      </c>
      <c r="B244" s="18">
        <v>0</v>
      </c>
      <c r="C244" s="18">
        <v>0</v>
      </c>
      <c r="D244" s="18">
        <v>0</v>
      </c>
      <c r="E244" s="18">
        <v>0</v>
      </c>
      <c r="F244" s="18">
        <v>0</v>
      </c>
      <c r="G244" s="18">
        <v>0</v>
      </c>
      <c r="H244" s="18">
        <v>0</v>
      </c>
      <c r="I244" s="18">
        <v>0</v>
      </c>
    </row>
    <row r="245" spans="1:9" x14ac:dyDescent="0.35">
      <c r="A245" s="14" t="s">
        <v>203</v>
      </c>
      <c r="B245" s="18">
        <v>0</v>
      </c>
      <c r="C245" s="18">
        <v>0</v>
      </c>
      <c r="D245" s="18">
        <v>0</v>
      </c>
      <c r="E245" s="18">
        <v>0</v>
      </c>
      <c r="F245" s="18">
        <v>0</v>
      </c>
      <c r="G245" s="18">
        <v>0</v>
      </c>
      <c r="H245" s="18">
        <v>0</v>
      </c>
      <c r="I245" s="18">
        <v>0</v>
      </c>
    </row>
    <row r="246" spans="1:9" x14ac:dyDescent="0.35">
      <c r="A246" s="14" t="s">
        <v>204</v>
      </c>
      <c r="B246" s="18">
        <v>0</v>
      </c>
      <c r="C246" s="18">
        <v>0</v>
      </c>
      <c r="D246" s="18">
        <v>0</v>
      </c>
      <c r="E246" s="18">
        <v>0</v>
      </c>
      <c r="F246" s="18">
        <v>0</v>
      </c>
      <c r="G246" s="18">
        <v>0</v>
      </c>
      <c r="H246" s="18">
        <v>0</v>
      </c>
      <c r="I246" s="18">
        <v>0</v>
      </c>
    </row>
    <row r="247" spans="1:9" x14ac:dyDescent="0.35">
      <c r="A247" s="14" t="s">
        <v>213</v>
      </c>
      <c r="B247" s="1">
        <v>76.721846793129131</v>
      </c>
      <c r="C247" s="1">
        <v>100</v>
      </c>
      <c r="D247" s="1">
        <v>76.721846793129131</v>
      </c>
      <c r="E247" s="1">
        <v>76.721846793129131</v>
      </c>
      <c r="F247" s="1">
        <v>76.721846793129131</v>
      </c>
      <c r="G247" s="1">
        <v>80.488793664954784</v>
      </c>
      <c r="H247" s="1">
        <v>54.917685914353349</v>
      </c>
      <c r="I247" s="1">
        <v>17.05401357593248</v>
      </c>
    </row>
    <row r="249" spans="1:9" x14ac:dyDescent="0.35">
      <c r="C249" s="187"/>
      <c r="D249" s="187"/>
      <c r="E249" s="187"/>
      <c r="F249" s="187"/>
      <c r="G249" s="170"/>
      <c r="H249" s="170"/>
      <c r="I249" s="170"/>
    </row>
    <row r="250" spans="1:9" ht="29" x14ac:dyDescent="0.35">
      <c r="A250" s="12" t="s">
        <v>552</v>
      </c>
      <c r="B250" s="13" t="s">
        <v>208</v>
      </c>
      <c r="C250" s="13" t="s">
        <v>458</v>
      </c>
      <c r="D250" s="13" t="s">
        <v>466</v>
      </c>
      <c r="E250" s="13" t="s">
        <v>467</v>
      </c>
      <c r="F250" s="13" t="s">
        <v>468</v>
      </c>
      <c r="G250" s="13" t="s">
        <v>634</v>
      </c>
      <c r="H250" s="13" t="s">
        <v>641</v>
      </c>
      <c r="I250" s="13" t="s">
        <v>647</v>
      </c>
    </row>
    <row r="251" spans="1:9" x14ac:dyDescent="0.35">
      <c r="A251" s="14" t="s">
        <v>209</v>
      </c>
      <c r="B251" s="15">
        <v>2</v>
      </c>
      <c r="C251" s="15">
        <v>0</v>
      </c>
      <c r="D251" s="15">
        <v>1</v>
      </c>
      <c r="E251" s="15">
        <v>1</v>
      </c>
      <c r="F251" s="15">
        <v>2</v>
      </c>
      <c r="G251" s="15">
        <v>3</v>
      </c>
      <c r="H251" s="15">
        <v>4</v>
      </c>
      <c r="I251" s="15">
        <v>5</v>
      </c>
    </row>
    <row r="252" spans="1:9" x14ac:dyDescent="0.35">
      <c r="A252" s="16" t="s">
        <v>336</v>
      </c>
      <c r="B252" s="17">
        <v>0.42882176683581352</v>
      </c>
      <c r="C252" s="168" t="s">
        <v>214</v>
      </c>
      <c r="D252" s="17">
        <v>0</v>
      </c>
      <c r="E252" s="17">
        <v>0</v>
      </c>
      <c r="F252" s="17">
        <v>0.42882176683581352</v>
      </c>
      <c r="G252" s="17">
        <v>0.26670250744987112</v>
      </c>
      <c r="H252" s="17">
        <v>0.20241175218852989</v>
      </c>
      <c r="I252" s="17">
        <v>0.36839244356729478</v>
      </c>
    </row>
    <row r="253" spans="1:9" x14ac:dyDescent="0.35">
      <c r="A253" s="16" t="s">
        <v>194</v>
      </c>
      <c r="B253" s="17">
        <v>0.57117823316418648</v>
      </c>
      <c r="C253" s="168" t="s">
        <v>214</v>
      </c>
      <c r="D253" s="17">
        <v>1</v>
      </c>
      <c r="E253" s="17">
        <v>1</v>
      </c>
      <c r="F253" s="17">
        <v>0.57117823316418648</v>
      </c>
      <c r="G253" s="17">
        <v>0.73329749255012888</v>
      </c>
      <c r="H253" s="17">
        <v>0.79758824781147009</v>
      </c>
      <c r="I253" s="17">
        <v>0.63160755643270516</v>
      </c>
    </row>
    <row r="254" spans="1:9" x14ac:dyDescent="0.35">
      <c r="A254" s="16" t="s">
        <v>195</v>
      </c>
      <c r="B254" s="17">
        <v>0</v>
      </c>
      <c r="C254" s="168" t="s">
        <v>214</v>
      </c>
      <c r="D254" s="17">
        <v>0</v>
      </c>
      <c r="E254" s="17">
        <v>0</v>
      </c>
      <c r="F254" s="17">
        <v>0</v>
      </c>
      <c r="G254" s="17">
        <v>0</v>
      </c>
      <c r="H254" s="17">
        <v>0</v>
      </c>
      <c r="I254" s="17">
        <v>0</v>
      </c>
    </row>
    <row r="255" spans="1:9" x14ac:dyDescent="0.35">
      <c r="A255" s="14" t="s">
        <v>210</v>
      </c>
      <c r="B255" s="18">
        <v>0</v>
      </c>
      <c r="C255" s="18" t="s">
        <v>214</v>
      </c>
      <c r="D255" s="18">
        <v>0</v>
      </c>
      <c r="E255" s="18">
        <v>0</v>
      </c>
      <c r="F255" s="18">
        <v>0</v>
      </c>
      <c r="G255" s="18">
        <v>0</v>
      </c>
      <c r="H255" s="18">
        <v>0</v>
      </c>
      <c r="I255" s="18">
        <v>0.20810323100196759</v>
      </c>
    </row>
    <row r="256" spans="1:9" x14ac:dyDescent="0.35">
      <c r="A256" s="14" t="s">
        <v>197</v>
      </c>
      <c r="B256" s="18">
        <v>0.42882176683581352</v>
      </c>
      <c r="C256" s="18" t="s">
        <v>214</v>
      </c>
      <c r="D256" s="18">
        <v>0</v>
      </c>
      <c r="E256" s="18">
        <v>0</v>
      </c>
      <c r="F256" s="18">
        <v>0.42882176683581352</v>
      </c>
      <c r="G256" s="18">
        <v>0.26670250744987112</v>
      </c>
      <c r="H256" s="18">
        <v>0.20241175218852989</v>
      </c>
      <c r="I256" s="18">
        <v>0.16028921256532719</v>
      </c>
    </row>
    <row r="257" spans="1:9" x14ac:dyDescent="0.35">
      <c r="A257" s="14" t="s">
        <v>198</v>
      </c>
      <c r="B257" s="18">
        <v>0</v>
      </c>
      <c r="C257" s="18" t="s">
        <v>214</v>
      </c>
      <c r="D257" s="18">
        <v>0</v>
      </c>
      <c r="E257" s="18">
        <v>0</v>
      </c>
      <c r="F257" s="18">
        <v>0</v>
      </c>
      <c r="G257" s="18">
        <v>0.37805743999934199</v>
      </c>
      <c r="H257" s="18">
        <v>0.28692369483087821</v>
      </c>
      <c r="I257" s="18">
        <v>0.22721394688554991</v>
      </c>
    </row>
    <row r="258" spans="1:9" x14ac:dyDescent="0.35">
      <c r="A258" s="14" t="s">
        <v>199</v>
      </c>
      <c r="B258" s="18">
        <v>0.57117823316418648</v>
      </c>
      <c r="C258" s="18" t="s">
        <v>214</v>
      </c>
      <c r="D258" s="18">
        <v>1</v>
      </c>
      <c r="E258" s="18">
        <v>1</v>
      </c>
      <c r="F258" s="18">
        <v>0.57117823316418648</v>
      </c>
      <c r="G258" s="18">
        <v>0.35524005255078689</v>
      </c>
      <c r="H258" s="18">
        <v>0.51066455298059188</v>
      </c>
      <c r="I258" s="18">
        <v>0.40439360954715531</v>
      </c>
    </row>
    <row r="259" spans="1:9" x14ac:dyDescent="0.35">
      <c r="A259" s="14" t="s">
        <v>200</v>
      </c>
      <c r="B259" s="18">
        <v>0</v>
      </c>
      <c r="C259" s="18" t="s">
        <v>214</v>
      </c>
      <c r="D259" s="18">
        <v>0</v>
      </c>
      <c r="E259" s="18">
        <v>0</v>
      </c>
      <c r="F259" s="18">
        <v>0</v>
      </c>
      <c r="G259" s="18">
        <v>0</v>
      </c>
      <c r="H259" s="18">
        <v>0</v>
      </c>
      <c r="I259" s="18">
        <v>0</v>
      </c>
    </row>
    <row r="260" spans="1:9" x14ac:dyDescent="0.35">
      <c r="A260" s="14" t="s">
        <v>201</v>
      </c>
      <c r="B260" s="18">
        <v>0</v>
      </c>
      <c r="C260" s="18" t="s">
        <v>214</v>
      </c>
      <c r="D260" s="18">
        <v>0</v>
      </c>
      <c r="E260" s="18">
        <v>0</v>
      </c>
      <c r="F260" s="18">
        <v>0</v>
      </c>
      <c r="G260" s="18">
        <v>0</v>
      </c>
      <c r="H260" s="18">
        <v>0</v>
      </c>
      <c r="I260" s="18">
        <v>0</v>
      </c>
    </row>
    <row r="261" spans="1:9" x14ac:dyDescent="0.35">
      <c r="A261" s="14" t="s">
        <v>202</v>
      </c>
      <c r="B261" s="18">
        <v>0</v>
      </c>
      <c r="C261" s="18" t="s">
        <v>214</v>
      </c>
      <c r="D261" s="18">
        <v>0</v>
      </c>
      <c r="E261" s="18">
        <v>0</v>
      </c>
      <c r="F261" s="18">
        <v>0</v>
      </c>
      <c r="G261" s="18">
        <v>0</v>
      </c>
      <c r="H261" s="18">
        <v>0</v>
      </c>
      <c r="I261" s="18">
        <v>0</v>
      </c>
    </row>
    <row r="262" spans="1:9" x14ac:dyDescent="0.35">
      <c r="A262" s="14" t="s">
        <v>211</v>
      </c>
      <c r="B262" s="18">
        <v>0</v>
      </c>
      <c r="C262" s="18" t="s">
        <v>214</v>
      </c>
      <c r="D262" s="18">
        <v>0</v>
      </c>
      <c r="E262" s="18">
        <v>0</v>
      </c>
      <c r="F262" s="18">
        <v>0</v>
      </c>
      <c r="G262" s="18">
        <v>0</v>
      </c>
      <c r="H262" s="18">
        <v>0</v>
      </c>
      <c r="I262" s="18">
        <v>0</v>
      </c>
    </row>
    <row r="263" spans="1:9" x14ac:dyDescent="0.35">
      <c r="A263" s="14" t="s">
        <v>212</v>
      </c>
      <c r="B263" s="18">
        <v>0</v>
      </c>
      <c r="C263" s="18" t="s">
        <v>214</v>
      </c>
      <c r="D263" s="18">
        <v>0</v>
      </c>
      <c r="E263" s="18">
        <v>0</v>
      </c>
      <c r="F263" s="18">
        <v>0</v>
      </c>
      <c r="G263" s="18">
        <v>0</v>
      </c>
      <c r="H263" s="18">
        <v>0</v>
      </c>
      <c r="I263" s="18">
        <v>0</v>
      </c>
    </row>
    <row r="264" spans="1:9" x14ac:dyDescent="0.35">
      <c r="A264" s="14" t="s">
        <v>203</v>
      </c>
      <c r="B264" s="18">
        <v>0</v>
      </c>
      <c r="C264" s="18" t="s">
        <v>214</v>
      </c>
      <c r="D264" s="18">
        <v>0</v>
      </c>
      <c r="E264" s="18">
        <v>0</v>
      </c>
      <c r="F264" s="18">
        <v>0</v>
      </c>
      <c r="G264" s="18">
        <v>0</v>
      </c>
      <c r="H264" s="18">
        <v>0</v>
      </c>
      <c r="I264" s="18">
        <v>0</v>
      </c>
    </row>
    <row r="265" spans="1:9" x14ac:dyDescent="0.35">
      <c r="A265" s="14" t="s">
        <v>204</v>
      </c>
      <c r="B265" s="18">
        <v>0</v>
      </c>
      <c r="C265" s="18" t="s">
        <v>214</v>
      </c>
      <c r="D265" s="18">
        <v>0</v>
      </c>
      <c r="E265" s="18">
        <v>0</v>
      </c>
      <c r="F265" s="18">
        <v>0</v>
      </c>
      <c r="G265" s="18">
        <v>0</v>
      </c>
      <c r="H265" s="18">
        <v>0</v>
      </c>
      <c r="I265" s="18">
        <v>0</v>
      </c>
    </row>
    <row r="266" spans="1:9" x14ac:dyDescent="0.35">
      <c r="A266" s="14" t="s">
        <v>213</v>
      </c>
      <c r="B266" s="1">
        <v>42.882176683581349</v>
      </c>
      <c r="C266" s="1" t="s">
        <v>214</v>
      </c>
      <c r="D266" s="1">
        <v>0</v>
      </c>
      <c r="E266" s="1">
        <v>0</v>
      </c>
      <c r="F266" s="1">
        <v>42.882176683581349</v>
      </c>
      <c r="G266" s="1">
        <v>26.670250744987111</v>
      </c>
      <c r="H266" s="1">
        <v>20.241175218852991</v>
      </c>
      <c r="I266" s="1">
        <v>36.839244356729481</v>
      </c>
    </row>
    <row r="268" spans="1:9" x14ac:dyDescent="0.35">
      <c r="C268" s="187"/>
      <c r="D268" s="187"/>
      <c r="E268" s="187"/>
      <c r="F268" s="187"/>
      <c r="G268" s="170"/>
      <c r="H268" s="170"/>
      <c r="I268" s="170"/>
    </row>
    <row r="269" spans="1:9" ht="29" x14ac:dyDescent="0.35">
      <c r="A269" s="12" t="s">
        <v>579</v>
      </c>
      <c r="B269" s="13" t="s">
        <v>208</v>
      </c>
      <c r="C269" s="13" t="s">
        <v>458</v>
      </c>
      <c r="D269" s="13" t="s">
        <v>466</v>
      </c>
      <c r="E269" s="13" t="s">
        <v>467</v>
      </c>
      <c r="F269" s="13" t="s">
        <v>468</v>
      </c>
      <c r="G269" s="13" t="s">
        <v>634</v>
      </c>
      <c r="H269" s="13" t="s">
        <v>641</v>
      </c>
      <c r="I269" s="13" t="s">
        <v>647</v>
      </c>
    </row>
    <row r="270" spans="1:9" x14ac:dyDescent="0.35">
      <c r="A270" s="14" t="s">
        <v>209</v>
      </c>
      <c r="B270" s="15">
        <v>14</v>
      </c>
      <c r="C270" s="15">
        <v>3</v>
      </c>
      <c r="D270" s="15">
        <v>8</v>
      </c>
      <c r="E270" s="15">
        <v>11</v>
      </c>
      <c r="F270" s="15">
        <v>14</v>
      </c>
      <c r="G270" s="15">
        <v>20</v>
      </c>
      <c r="H270" s="15">
        <v>20</v>
      </c>
      <c r="I270" s="15">
        <v>22</v>
      </c>
    </row>
    <row r="271" spans="1:9" x14ac:dyDescent="0.35">
      <c r="A271" s="16" t="s">
        <v>336</v>
      </c>
      <c r="B271" s="17">
        <v>0.56297286232184618</v>
      </c>
      <c r="C271" s="17">
        <v>0.68379384542206589</v>
      </c>
      <c r="D271" s="17">
        <v>0.48518527659591709</v>
      </c>
      <c r="E271" s="155">
        <v>0.38802705498671969</v>
      </c>
      <c r="F271" s="17">
        <v>0.56297286232184618</v>
      </c>
      <c r="G271" s="17">
        <v>0.59957553515218776</v>
      </c>
      <c r="H271" s="17">
        <v>0.59957553515218776</v>
      </c>
      <c r="I271" s="17">
        <v>0.58368460274889977</v>
      </c>
    </row>
    <row r="272" spans="1:9" x14ac:dyDescent="0.35">
      <c r="A272" s="16" t="s">
        <v>194</v>
      </c>
      <c r="B272" s="17">
        <v>0.14002098485107681</v>
      </c>
      <c r="C272" s="17">
        <v>0.31620615457793411</v>
      </c>
      <c r="D272" s="17">
        <v>6.2839225870451335E-2</v>
      </c>
      <c r="E272" s="17">
        <v>0.19607261672175291</v>
      </c>
      <c r="F272" s="17">
        <v>0.14002098485107681</v>
      </c>
      <c r="G272" s="152">
        <v>0.19157699734398059</v>
      </c>
      <c r="H272" s="152">
        <v>0.19157699734398059</v>
      </c>
      <c r="I272" s="17">
        <v>0.22697625167069399</v>
      </c>
    </row>
    <row r="273" spans="1:9" x14ac:dyDescent="0.35">
      <c r="A273" s="16" t="s">
        <v>195</v>
      </c>
      <c r="B273" s="17">
        <v>0.29700615282707699</v>
      </c>
      <c r="C273" s="17">
        <v>0</v>
      </c>
      <c r="D273" s="17">
        <v>0.45197549753363148</v>
      </c>
      <c r="E273" s="17">
        <v>0.4159003282915274</v>
      </c>
      <c r="F273" s="17">
        <v>0.29700615282707699</v>
      </c>
      <c r="G273" s="17">
        <v>0.2088474675038316</v>
      </c>
      <c r="H273" s="17">
        <v>0.2088474675038316</v>
      </c>
      <c r="I273" s="17">
        <v>0.18933914558040621</v>
      </c>
    </row>
    <row r="274" spans="1:9" x14ac:dyDescent="0.35">
      <c r="A274" s="14" t="s">
        <v>210</v>
      </c>
      <c r="B274" s="18">
        <v>0.48536311445701069</v>
      </c>
      <c r="C274" s="18">
        <v>0</v>
      </c>
      <c r="D274" s="18">
        <v>0.34929584092488791</v>
      </c>
      <c r="E274" s="21">
        <v>0.27934944239059067</v>
      </c>
      <c r="F274" s="18">
        <v>0.48536311445701069</v>
      </c>
      <c r="G274" s="18">
        <v>0.54500225732309593</v>
      </c>
      <c r="H274" s="18">
        <v>0.54500225732309593</v>
      </c>
      <c r="I274" s="18">
        <v>0.58368460274889977</v>
      </c>
    </row>
    <row r="275" spans="1:9" x14ac:dyDescent="0.35">
      <c r="A275" s="14" t="s">
        <v>197</v>
      </c>
      <c r="B275" s="18">
        <v>7.7609747864835474E-2</v>
      </c>
      <c r="C275" s="22">
        <v>0.68379384542206589</v>
      </c>
      <c r="D275" s="18">
        <v>0.13588943567102921</v>
      </c>
      <c r="E275" s="18">
        <v>0.108677612596129</v>
      </c>
      <c r="F275" s="18">
        <v>7.7609747864835474E-2</v>
      </c>
      <c r="G275" s="18">
        <v>5.4573277829091868E-2</v>
      </c>
      <c r="H275" s="18">
        <v>5.4573277829091868E-2</v>
      </c>
      <c r="I275" s="25">
        <v>0</v>
      </c>
    </row>
    <row r="276" spans="1:9" x14ac:dyDescent="0.35">
      <c r="A276" s="14" t="s">
        <v>198</v>
      </c>
      <c r="B276" s="18">
        <v>0.1041319810315775</v>
      </c>
      <c r="C276" s="18">
        <v>0</v>
      </c>
      <c r="D276" s="18">
        <v>0</v>
      </c>
      <c r="E276" s="18">
        <v>0.14581692899101409</v>
      </c>
      <c r="F276" s="25">
        <v>0.1041319810315775</v>
      </c>
      <c r="G276" s="18">
        <v>7.3223063958758924E-2</v>
      </c>
      <c r="H276" s="18">
        <v>7.3223063958758924E-2</v>
      </c>
      <c r="I276" s="18">
        <v>9.8389916938817698E-2</v>
      </c>
    </row>
    <row r="277" spans="1:9" x14ac:dyDescent="0.35">
      <c r="A277" s="14" t="s">
        <v>199</v>
      </c>
      <c r="B277" s="18">
        <v>3.5889003819499332E-2</v>
      </c>
      <c r="C277" s="19">
        <v>0.31620615457793411</v>
      </c>
      <c r="D277" s="18">
        <v>6.2839225870451335E-2</v>
      </c>
      <c r="E277" s="18">
        <v>5.0255687730738748E-2</v>
      </c>
      <c r="F277" s="18">
        <v>3.5889003819499332E-2</v>
      </c>
      <c r="G277" s="18">
        <v>0.1183539333852217</v>
      </c>
      <c r="H277" s="18">
        <v>0.1183539333852217</v>
      </c>
      <c r="I277" s="18">
        <v>0.12858633473187631</v>
      </c>
    </row>
    <row r="278" spans="1:9" x14ac:dyDescent="0.35">
      <c r="A278" s="14" t="s">
        <v>200</v>
      </c>
      <c r="B278" s="18">
        <v>8.2601261730376574E-2</v>
      </c>
      <c r="C278" s="18">
        <v>0</v>
      </c>
      <c r="D278" s="18">
        <v>7.6566989481511569E-2</v>
      </c>
      <c r="E278" s="18">
        <v>0.115667273367766</v>
      </c>
      <c r="F278" s="18">
        <v>8.2601261730376574E-2</v>
      </c>
      <c r="G278" s="18">
        <v>5.8083188381131717E-2</v>
      </c>
      <c r="H278" s="18">
        <v>5.8083188381131717E-2</v>
      </c>
      <c r="I278" s="18">
        <v>5.2657671132485692E-2</v>
      </c>
    </row>
    <row r="279" spans="1:9" x14ac:dyDescent="0.35">
      <c r="A279" s="14" t="s">
        <v>201</v>
      </c>
      <c r="B279" s="18">
        <v>0.21440489109670041</v>
      </c>
      <c r="C279" s="18">
        <v>0</v>
      </c>
      <c r="D279" s="20">
        <v>0.37540850805211989</v>
      </c>
      <c r="E279" s="18">
        <v>0.3002330549237614</v>
      </c>
      <c r="F279" s="18">
        <v>0.21440489109670041</v>
      </c>
      <c r="G279" s="18">
        <v>0.15076427912269991</v>
      </c>
      <c r="H279" s="18">
        <v>0.15076427912269991</v>
      </c>
      <c r="I279" s="18">
        <v>0.1366814744479205</v>
      </c>
    </row>
    <row r="280" spans="1:9" x14ac:dyDescent="0.35">
      <c r="A280" s="14" t="s">
        <v>202</v>
      </c>
      <c r="B280" s="18">
        <v>0</v>
      </c>
      <c r="C280" s="18">
        <v>0</v>
      </c>
      <c r="D280" s="18">
        <v>0</v>
      </c>
      <c r="E280" s="18">
        <v>0</v>
      </c>
      <c r="F280" s="18">
        <v>0</v>
      </c>
      <c r="G280" s="18">
        <v>0</v>
      </c>
      <c r="H280" s="18">
        <v>0</v>
      </c>
      <c r="I280" s="18">
        <v>0</v>
      </c>
    </row>
    <row r="281" spans="1:9" x14ac:dyDescent="0.35">
      <c r="A281" s="14" t="s">
        <v>211</v>
      </c>
      <c r="B281" s="18">
        <v>0</v>
      </c>
      <c r="C281" s="18">
        <v>0</v>
      </c>
      <c r="D281" s="18">
        <v>0</v>
      </c>
      <c r="E281" s="18">
        <v>0</v>
      </c>
      <c r="F281" s="18">
        <v>0</v>
      </c>
      <c r="G281" s="18">
        <v>0</v>
      </c>
      <c r="H281" s="18">
        <v>0</v>
      </c>
      <c r="I281" s="18">
        <v>0</v>
      </c>
    </row>
    <row r="282" spans="1:9" x14ac:dyDescent="0.35">
      <c r="A282" s="14" t="s">
        <v>212</v>
      </c>
      <c r="B282" s="18">
        <v>0</v>
      </c>
      <c r="C282" s="18">
        <v>0</v>
      </c>
      <c r="D282" s="18">
        <v>0</v>
      </c>
      <c r="E282" s="18">
        <v>0</v>
      </c>
      <c r="F282" s="18">
        <v>0</v>
      </c>
      <c r="G282" s="18">
        <v>0</v>
      </c>
      <c r="H282" s="18">
        <v>0</v>
      </c>
      <c r="I282" s="18">
        <v>0</v>
      </c>
    </row>
    <row r="283" spans="1:9" x14ac:dyDescent="0.35">
      <c r="A283" s="14" t="s">
        <v>203</v>
      </c>
      <c r="B283" s="18">
        <v>0</v>
      </c>
      <c r="C283" s="18">
        <v>0</v>
      </c>
      <c r="D283" s="18">
        <v>0</v>
      </c>
      <c r="E283" s="18">
        <v>0</v>
      </c>
      <c r="F283" s="18">
        <v>0</v>
      </c>
      <c r="G283" s="18">
        <v>0</v>
      </c>
      <c r="H283" s="18">
        <v>0</v>
      </c>
      <c r="I283" s="18">
        <v>0</v>
      </c>
    </row>
    <row r="284" spans="1:9" x14ac:dyDescent="0.35">
      <c r="A284" s="14" t="s">
        <v>204</v>
      </c>
      <c r="B284" s="18">
        <v>0</v>
      </c>
      <c r="C284" s="18">
        <v>0</v>
      </c>
      <c r="D284" s="18">
        <v>0</v>
      </c>
      <c r="E284" s="18">
        <v>0</v>
      </c>
      <c r="F284" s="18">
        <v>0</v>
      </c>
      <c r="G284" s="18">
        <v>0</v>
      </c>
      <c r="H284" s="18">
        <v>0</v>
      </c>
      <c r="I284" s="18">
        <v>0</v>
      </c>
    </row>
    <row r="285" spans="1:9" x14ac:dyDescent="0.35">
      <c r="A285" s="14" t="s">
        <v>213</v>
      </c>
      <c r="B285" s="1">
        <v>26.59667094947692</v>
      </c>
      <c r="C285" s="1">
        <v>68.379384542206594</v>
      </c>
      <c r="D285" s="1">
        <v>3.32097790622855</v>
      </c>
      <c r="E285" s="1">
        <v>-2.787327330480764</v>
      </c>
      <c r="F285" s="1">
        <v>26.59667094947692</v>
      </c>
      <c r="G285" s="1">
        <v>39.072806764835633</v>
      </c>
      <c r="H285" s="1">
        <v>39.072806764835633</v>
      </c>
      <c r="I285" s="1">
        <v>39.434545716849357</v>
      </c>
    </row>
    <row r="287" spans="1:9" x14ac:dyDescent="0.35">
      <c r="C287" s="187"/>
      <c r="D287" s="187"/>
      <c r="E287" s="187"/>
      <c r="F287" s="187"/>
      <c r="G287" s="170"/>
      <c r="H287" s="170"/>
      <c r="I287" s="170"/>
    </row>
    <row r="288" spans="1:9" ht="29" x14ac:dyDescent="0.35">
      <c r="A288" s="12" t="s">
        <v>488</v>
      </c>
      <c r="B288" s="13" t="s">
        <v>208</v>
      </c>
      <c r="C288" s="13" t="s">
        <v>458</v>
      </c>
      <c r="D288" s="13" t="s">
        <v>466</v>
      </c>
      <c r="E288" s="13" t="s">
        <v>467</v>
      </c>
      <c r="F288" s="13" t="s">
        <v>468</v>
      </c>
      <c r="G288" s="13" t="s">
        <v>634</v>
      </c>
      <c r="H288" s="13" t="s">
        <v>641</v>
      </c>
      <c r="I288" s="13" t="s">
        <v>647</v>
      </c>
    </row>
    <row r="289" spans="1:9" x14ac:dyDescent="0.35">
      <c r="A289" s="14" t="s">
        <v>209</v>
      </c>
      <c r="B289" s="15">
        <v>0</v>
      </c>
      <c r="C289" s="15">
        <v>0</v>
      </c>
      <c r="D289" s="15">
        <v>0</v>
      </c>
      <c r="E289" s="15">
        <v>0</v>
      </c>
      <c r="F289" s="15">
        <v>0</v>
      </c>
      <c r="G289" s="15">
        <v>0</v>
      </c>
      <c r="H289" s="15">
        <v>0</v>
      </c>
      <c r="I289" s="15">
        <v>0</v>
      </c>
    </row>
    <row r="290" spans="1:9" x14ac:dyDescent="0.35">
      <c r="A290" s="16" t="s">
        <v>336</v>
      </c>
      <c r="B290" s="17" t="s">
        <v>214</v>
      </c>
      <c r="C290" s="168" t="s">
        <v>214</v>
      </c>
      <c r="D290" s="168" t="s">
        <v>214</v>
      </c>
      <c r="E290" s="168" t="s">
        <v>214</v>
      </c>
      <c r="F290" s="168" t="s">
        <v>214</v>
      </c>
      <c r="G290" s="168" t="s">
        <v>214</v>
      </c>
      <c r="H290" s="168" t="s">
        <v>214</v>
      </c>
      <c r="I290" s="168" t="s">
        <v>214</v>
      </c>
    </row>
    <row r="291" spans="1:9" x14ac:dyDescent="0.35">
      <c r="A291" s="16" t="s">
        <v>194</v>
      </c>
      <c r="B291" s="17" t="s">
        <v>214</v>
      </c>
      <c r="C291" s="168" t="s">
        <v>214</v>
      </c>
      <c r="D291" s="168" t="s">
        <v>214</v>
      </c>
      <c r="E291" s="168" t="s">
        <v>214</v>
      </c>
      <c r="F291" s="168" t="s">
        <v>214</v>
      </c>
      <c r="G291" s="168" t="s">
        <v>214</v>
      </c>
      <c r="H291" s="168" t="s">
        <v>214</v>
      </c>
      <c r="I291" s="168" t="s">
        <v>214</v>
      </c>
    </row>
    <row r="292" spans="1:9" x14ac:dyDescent="0.35">
      <c r="A292" s="16" t="s">
        <v>195</v>
      </c>
      <c r="B292" s="17" t="s">
        <v>214</v>
      </c>
      <c r="C292" s="168" t="s">
        <v>214</v>
      </c>
      <c r="D292" s="168" t="s">
        <v>214</v>
      </c>
      <c r="E292" s="168" t="s">
        <v>214</v>
      </c>
      <c r="F292" s="168" t="s">
        <v>214</v>
      </c>
      <c r="G292" s="168" t="s">
        <v>214</v>
      </c>
      <c r="H292" s="168" t="s">
        <v>214</v>
      </c>
      <c r="I292" s="168" t="s">
        <v>214</v>
      </c>
    </row>
    <row r="293" spans="1:9" x14ac:dyDescent="0.35">
      <c r="A293" s="14" t="s">
        <v>210</v>
      </c>
      <c r="B293" s="18" t="s">
        <v>214</v>
      </c>
      <c r="C293" s="18" t="s">
        <v>214</v>
      </c>
      <c r="D293" s="18" t="s">
        <v>214</v>
      </c>
      <c r="E293" s="18" t="s">
        <v>214</v>
      </c>
      <c r="F293" s="18" t="s">
        <v>214</v>
      </c>
      <c r="G293" s="18" t="s">
        <v>214</v>
      </c>
      <c r="H293" s="18" t="s">
        <v>214</v>
      </c>
      <c r="I293" s="18" t="s">
        <v>214</v>
      </c>
    </row>
    <row r="294" spans="1:9" x14ac:dyDescent="0.35">
      <c r="A294" s="14" t="s">
        <v>197</v>
      </c>
      <c r="B294" s="18" t="s">
        <v>214</v>
      </c>
      <c r="C294" s="18" t="s">
        <v>214</v>
      </c>
      <c r="D294" s="18" t="s">
        <v>214</v>
      </c>
      <c r="E294" s="18" t="s">
        <v>214</v>
      </c>
      <c r="F294" s="18" t="s">
        <v>214</v>
      </c>
      <c r="G294" s="18" t="s">
        <v>214</v>
      </c>
      <c r="H294" s="18" t="s">
        <v>214</v>
      </c>
      <c r="I294" s="18" t="s">
        <v>214</v>
      </c>
    </row>
    <row r="295" spans="1:9" x14ac:dyDescent="0.35">
      <c r="A295" s="14" t="s">
        <v>198</v>
      </c>
      <c r="B295" s="18" t="s">
        <v>214</v>
      </c>
      <c r="C295" s="18" t="s">
        <v>214</v>
      </c>
      <c r="D295" s="18" t="s">
        <v>214</v>
      </c>
      <c r="E295" s="18" t="s">
        <v>214</v>
      </c>
      <c r="F295" s="18" t="s">
        <v>214</v>
      </c>
      <c r="G295" s="18" t="s">
        <v>214</v>
      </c>
      <c r="H295" s="18" t="s">
        <v>214</v>
      </c>
      <c r="I295" s="18" t="s">
        <v>214</v>
      </c>
    </row>
    <row r="296" spans="1:9" x14ac:dyDescent="0.35">
      <c r="A296" s="14" t="s">
        <v>199</v>
      </c>
      <c r="B296" s="18" t="s">
        <v>214</v>
      </c>
      <c r="C296" s="18" t="s">
        <v>214</v>
      </c>
      <c r="D296" s="18" t="s">
        <v>214</v>
      </c>
      <c r="E296" s="18" t="s">
        <v>214</v>
      </c>
      <c r="F296" s="18" t="s">
        <v>214</v>
      </c>
      <c r="G296" s="18" t="s">
        <v>214</v>
      </c>
      <c r="H296" s="18" t="s">
        <v>214</v>
      </c>
      <c r="I296" s="18" t="s">
        <v>214</v>
      </c>
    </row>
    <row r="297" spans="1:9" x14ac:dyDescent="0.35">
      <c r="A297" s="14" t="s">
        <v>200</v>
      </c>
      <c r="B297" s="18" t="s">
        <v>214</v>
      </c>
      <c r="C297" s="18" t="s">
        <v>214</v>
      </c>
      <c r="D297" s="18" t="s">
        <v>214</v>
      </c>
      <c r="E297" s="18" t="s">
        <v>214</v>
      </c>
      <c r="F297" s="18" t="s">
        <v>214</v>
      </c>
      <c r="G297" s="18" t="s">
        <v>214</v>
      </c>
      <c r="H297" s="18" t="s">
        <v>214</v>
      </c>
      <c r="I297" s="18" t="s">
        <v>214</v>
      </c>
    </row>
    <row r="298" spans="1:9" x14ac:dyDescent="0.35">
      <c r="A298" s="14" t="s">
        <v>201</v>
      </c>
      <c r="B298" s="18" t="s">
        <v>214</v>
      </c>
      <c r="C298" s="18" t="s">
        <v>214</v>
      </c>
      <c r="D298" s="18" t="s">
        <v>214</v>
      </c>
      <c r="E298" s="18" t="s">
        <v>214</v>
      </c>
      <c r="F298" s="18" t="s">
        <v>214</v>
      </c>
      <c r="G298" s="18" t="s">
        <v>214</v>
      </c>
      <c r="H298" s="18" t="s">
        <v>214</v>
      </c>
      <c r="I298" s="18" t="s">
        <v>214</v>
      </c>
    </row>
    <row r="299" spans="1:9" x14ac:dyDescent="0.35">
      <c r="A299" s="14" t="s">
        <v>202</v>
      </c>
      <c r="B299" s="18" t="s">
        <v>214</v>
      </c>
      <c r="C299" s="18" t="s">
        <v>214</v>
      </c>
      <c r="D299" s="18" t="s">
        <v>214</v>
      </c>
      <c r="E299" s="18" t="s">
        <v>214</v>
      </c>
      <c r="F299" s="18" t="s">
        <v>214</v>
      </c>
      <c r="G299" s="18" t="s">
        <v>214</v>
      </c>
      <c r="H299" s="18" t="s">
        <v>214</v>
      </c>
      <c r="I299" s="18" t="s">
        <v>214</v>
      </c>
    </row>
    <row r="300" spans="1:9" x14ac:dyDescent="0.35">
      <c r="A300" s="14" t="s">
        <v>211</v>
      </c>
      <c r="B300" s="18" t="s">
        <v>214</v>
      </c>
      <c r="C300" s="18" t="s">
        <v>214</v>
      </c>
      <c r="D300" s="18" t="s">
        <v>214</v>
      </c>
      <c r="E300" s="18" t="s">
        <v>214</v>
      </c>
      <c r="F300" s="18" t="s">
        <v>214</v>
      </c>
      <c r="G300" s="18" t="s">
        <v>214</v>
      </c>
      <c r="H300" s="18" t="s">
        <v>214</v>
      </c>
      <c r="I300" s="18" t="s">
        <v>214</v>
      </c>
    </row>
    <row r="301" spans="1:9" x14ac:dyDescent="0.35">
      <c r="A301" s="14" t="s">
        <v>212</v>
      </c>
      <c r="B301" s="18" t="s">
        <v>214</v>
      </c>
      <c r="C301" s="18" t="s">
        <v>214</v>
      </c>
      <c r="D301" s="18" t="s">
        <v>214</v>
      </c>
      <c r="E301" s="18" t="s">
        <v>214</v>
      </c>
      <c r="F301" s="18" t="s">
        <v>214</v>
      </c>
      <c r="G301" s="18" t="s">
        <v>214</v>
      </c>
      <c r="H301" s="18" t="s">
        <v>214</v>
      </c>
      <c r="I301" s="18" t="s">
        <v>214</v>
      </c>
    </row>
    <row r="302" spans="1:9" x14ac:dyDescent="0.35">
      <c r="A302" s="14" t="s">
        <v>203</v>
      </c>
      <c r="B302" s="18" t="s">
        <v>214</v>
      </c>
      <c r="C302" s="18" t="s">
        <v>214</v>
      </c>
      <c r="D302" s="18" t="s">
        <v>214</v>
      </c>
      <c r="E302" s="18" t="s">
        <v>214</v>
      </c>
      <c r="F302" s="18" t="s">
        <v>214</v>
      </c>
      <c r="G302" s="18" t="s">
        <v>214</v>
      </c>
      <c r="H302" s="18" t="s">
        <v>214</v>
      </c>
      <c r="I302" s="18" t="s">
        <v>214</v>
      </c>
    </row>
    <row r="303" spans="1:9" x14ac:dyDescent="0.35">
      <c r="A303" s="14" t="s">
        <v>204</v>
      </c>
      <c r="B303" s="18" t="s">
        <v>214</v>
      </c>
      <c r="C303" s="18" t="s">
        <v>214</v>
      </c>
      <c r="D303" s="18" t="s">
        <v>214</v>
      </c>
      <c r="E303" s="18" t="s">
        <v>214</v>
      </c>
      <c r="F303" s="18" t="s">
        <v>214</v>
      </c>
      <c r="G303" s="18" t="s">
        <v>214</v>
      </c>
      <c r="H303" s="18" t="s">
        <v>214</v>
      </c>
      <c r="I303" s="18" t="s">
        <v>214</v>
      </c>
    </row>
    <row r="305" spans="1:9" x14ac:dyDescent="0.35">
      <c r="C305" s="187"/>
      <c r="D305" s="187"/>
      <c r="E305" s="187"/>
      <c r="F305" s="187"/>
      <c r="G305" s="170"/>
      <c r="H305" s="170"/>
      <c r="I305" s="170"/>
    </row>
    <row r="306" spans="1:9" ht="29" x14ac:dyDescent="0.35">
      <c r="A306" s="12" t="s">
        <v>502</v>
      </c>
      <c r="B306" s="13" t="s">
        <v>208</v>
      </c>
      <c r="C306" s="13" t="s">
        <v>458</v>
      </c>
      <c r="D306" s="13" t="s">
        <v>466</v>
      </c>
      <c r="E306" s="13" t="s">
        <v>467</v>
      </c>
      <c r="F306" s="13" t="s">
        <v>468</v>
      </c>
      <c r="G306" s="13" t="s">
        <v>634</v>
      </c>
      <c r="H306" s="13" t="s">
        <v>641</v>
      </c>
      <c r="I306" s="13" t="s">
        <v>647</v>
      </c>
    </row>
    <row r="307" spans="1:9" x14ac:dyDescent="0.35">
      <c r="A307" s="14" t="s">
        <v>209</v>
      </c>
      <c r="B307" s="15">
        <v>0</v>
      </c>
      <c r="C307" s="15">
        <v>0</v>
      </c>
      <c r="D307" s="15">
        <v>0</v>
      </c>
      <c r="E307" s="15">
        <v>0</v>
      </c>
      <c r="F307" s="15">
        <v>0</v>
      </c>
      <c r="G307" s="15">
        <v>0</v>
      </c>
      <c r="H307" s="15">
        <v>0</v>
      </c>
      <c r="I307" s="15">
        <v>0</v>
      </c>
    </row>
    <row r="308" spans="1:9" x14ac:dyDescent="0.35">
      <c r="A308" s="16" t="s">
        <v>336</v>
      </c>
      <c r="B308" s="17" t="s">
        <v>214</v>
      </c>
      <c r="C308" s="168" t="s">
        <v>214</v>
      </c>
      <c r="D308" s="168" t="s">
        <v>214</v>
      </c>
      <c r="E308" s="168" t="s">
        <v>214</v>
      </c>
      <c r="F308" s="168" t="s">
        <v>214</v>
      </c>
      <c r="G308" s="168" t="s">
        <v>214</v>
      </c>
      <c r="H308" s="168" t="s">
        <v>214</v>
      </c>
      <c r="I308" s="168" t="s">
        <v>214</v>
      </c>
    </row>
    <row r="309" spans="1:9" x14ac:dyDescent="0.35">
      <c r="A309" s="16" t="s">
        <v>194</v>
      </c>
      <c r="B309" s="17" t="s">
        <v>214</v>
      </c>
      <c r="C309" s="168" t="s">
        <v>214</v>
      </c>
      <c r="D309" s="168" t="s">
        <v>214</v>
      </c>
      <c r="E309" s="168" t="s">
        <v>214</v>
      </c>
      <c r="F309" s="168" t="s">
        <v>214</v>
      </c>
      <c r="G309" s="168" t="s">
        <v>214</v>
      </c>
      <c r="H309" s="168" t="s">
        <v>214</v>
      </c>
      <c r="I309" s="168" t="s">
        <v>214</v>
      </c>
    </row>
    <row r="310" spans="1:9" x14ac:dyDescent="0.35">
      <c r="A310" s="16" t="s">
        <v>195</v>
      </c>
      <c r="B310" s="17" t="s">
        <v>214</v>
      </c>
      <c r="C310" s="168" t="s">
        <v>214</v>
      </c>
      <c r="D310" s="168" t="s">
        <v>214</v>
      </c>
      <c r="E310" s="168" t="s">
        <v>214</v>
      </c>
      <c r="F310" s="168" t="s">
        <v>214</v>
      </c>
      <c r="G310" s="168" t="s">
        <v>214</v>
      </c>
      <c r="H310" s="168" t="s">
        <v>214</v>
      </c>
      <c r="I310" s="168" t="s">
        <v>214</v>
      </c>
    </row>
    <row r="311" spans="1:9" x14ac:dyDescent="0.35">
      <c r="A311" s="14" t="s">
        <v>210</v>
      </c>
      <c r="B311" s="18" t="s">
        <v>214</v>
      </c>
      <c r="C311" s="18" t="s">
        <v>214</v>
      </c>
      <c r="D311" s="18" t="s">
        <v>214</v>
      </c>
      <c r="E311" s="18" t="s">
        <v>214</v>
      </c>
      <c r="F311" s="18" t="s">
        <v>214</v>
      </c>
      <c r="G311" s="18" t="s">
        <v>214</v>
      </c>
      <c r="H311" s="18" t="s">
        <v>214</v>
      </c>
      <c r="I311" s="18" t="s">
        <v>214</v>
      </c>
    </row>
    <row r="312" spans="1:9" x14ac:dyDescent="0.35">
      <c r="A312" s="14" t="s">
        <v>197</v>
      </c>
      <c r="B312" s="18" t="s">
        <v>214</v>
      </c>
      <c r="C312" s="18" t="s">
        <v>214</v>
      </c>
      <c r="D312" s="18" t="s">
        <v>214</v>
      </c>
      <c r="E312" s="18" t="s">
        <v>214</v>
      </c>
      <c r="F312" s="18" t="s">
        <v>214</v>
      </c>
      <c r="G312" s="18" t="s">
        <v>214</v>
      </c>
      <c r="H312" s="18" t="s">
        <v>214</v>
      </c>
      <c r="I312" s="18" t="s">
        <v>214</v>
      </c>
    </row>
    <row r="313" spans="1:9" x14ac:dyDescent="0.35">
      <c r="A313" s="14" t="s">
        <v>198</v>
      </c>
      <c r="B313" s="18" t="s">
        <v>214</v>
      </c>
      <c r="C313" s="18" t="s">
        <v>214</v>
      </c>
      <c r="D313" s="18" t="s">
        <v>214</v>
      </c>
      <c r="E313" s="18" t="s">
        <v>214</v>
      </c>
      <c r="F313" s="18" t="s">
        <v>214</v>
      </c>
      <c r="G313" s="18" t="s">
        <v>214</v>
      </c>
      <c r="H313" s="18" t="s">
        <v>214</v>
      </c>
      <c r="I313" s="18" t="s">
        <v>214</v>
      </c>
    </row>
    <row r="314" spans="1:9" x14ac:dyDescent="0.35">
      <c r="A314" s="14" t="s">
        <v>199</v>
      </c>
      <c r="B314" s="18" t="s">
        <v>214</v>
      </c>
      <c r="C314" s="18" t="s">
        <v>214</v>
      </c>
      <c r="D314" s="18" t="s">
        <v>214</v>
      </c>
      <c r="E314" s="18" t="s">
        <v>214</v>
      </c>
      <c r="F314" s="18" t="s">
        <v>214</v>
      </c>
      <c r="G314" s="18" t="s">
        <v>214</v>
      </c>
      <c r="H314" s="18" t="s">
        <v>214</v>
      </c>
      <c r="I314" s="18" t="s">
        <v>214</v>
      </c>
    </row>
    <row r="315" spans="1:9" x14ac:dyDescent="0.35">
      <c r="A315" s="14" t="s">
        <v>200</v>
      </c>
      <c r="B315" s="18" t="s">
        <v>214</v>
      </c>
      <c r="C315" s="18" t="s">
        <v>214</v>
      </c>
      <c r="D315" s="18" t="s">
        <v>214</v>
      </c>
      <c r="E315" s="18" t="s">
        <v>214</v>
      </c>
      <c r="F315" s="18" t="s">
        <v>214</v>
      </c>
      <c r="G315" s="18" t="s">
        <v>214</v>
      </c>
      <c r="H315" s="18" t="s">
        <v>214</v>
      </c>
      <c r="I315" s="18" t="s">
        <v>214</v>
      </c>
    </row>
    <row r="316" spans="1:9" x14ac:dyDescent="0.35">
      <c r="A316" s="14" t="s">
        <v>201</v>
      </c>
      <c r="B316" s="18" t="s">
        <v>214</v>
      </c>
      <c r="C316" s="18" t="s">
        <v>214</v>
      </c>
      <c r="D316" s="18" t="s">
        <v>214</v>
      </c>
      <c r="E316" s="18" t="s">
        <v>214</v>
      </c>
      <c r="F316" s="18" t="s">
        <v>214</v>
      </c>
      <c r="G316" s="18" t="s">
        <v>214</v>
      </c>
      <c r="H316" s="18" t="s">
        <v>214</v>
      </c>
      <c r="I316" s="18" t="s">
        <v>214</v>
      </c>
    </row>
    <row r="317" spans="1:9" x14ac:dyDescent="0.35">
      <c r="A317" s="14" t="s">
        <v>202</v>
      </c>
      <c r="B317" s="18" t="s">
        <v>214</v>
      </c>
      <c r="C317" s="18" t="s">
        <v>214</v>
      </c>
      <c r="D317" s="18" t="s">
        <v>214</v>
      </c>
      <c r="E317" s="18" t="s">
        <v>214</v>
      </c>
      <c r="F317" s="18" t="s">
        <v>214</v>
      </c>
      <c r="G317" s="18" t="s">
        <v>214</v>
      </c>
      <c r="H317" s="18" t="s">
        <v>214</v>
      </c>
      <c r="I317" s="18" t="s">
        <v>214</v>
      </c>
    </row>
    <row r="318" spans="1:9" x14ac:dyDescent="0.35">
      <c r="A318" s="14" t="s">
        <v>211</v>
      </c>
      <c r="B318" s="18" t="s">
        <v>214</v>
      </c>
      <c r="C318" s="18" t="s">
        <v>214</v>
      </c>
      <c r="D318" s="18" t="s">
        <v>214</v>
      </c>
      <c r="E318" s="18" t="s">
        <v>214</v>
      </c>
      <c r="F318" s="18" t="s">
        <v>214</v>
      </c>
      <c r="G318" s="18" t="s">
        <v>214</v>
      </c>
      <c r="H318" s="18" t="s">
        <v>214</v>
      </c>
      <c r="I318" s="18" t="s">
        <v>214</v>
      </c>
    </row>
    <row r="319" spans="1:9" x14ac:dyDescent="0.35">
      <c r="A319" s="14" t="s">
        <v>212</v>
      </c>
      <c r="B319" s="18" t="s">
        <v>214</v>
      </c>
      <c r="C319" s="18" t="s">
        <v>214</v>
      </c>
      <c r="D319" s="18" t="s">
        <v>214</v>
      </c>
      <c r="E319" s="18" t="s">
        <v>214</v>
      </c>
      <c r="F319" s="18" t="s">
        <v>214</v>
      </c>
      <c r="G319" s="18" t="s">
        <v>214</v>
      </c>
      <c r="H319" s="18" t="s">
        <v>214</v>
      </c>
      <c r="I319" s="18" t="s">
        <v>214</v>
      </c>
    </row>
    <row r="320" spans="1:9" x14ac:dyDescent="0.35">
      <c r="A320" s="14" t="s">
        <v>203</v>
      </c>
      <c r="B320" s="18" t="s">
        <v>214</v>
      </c>
      <c r="C320" s="18" t="s">
        <v>214</v>
      </c>
      <c r="D320" s="18" t="s">
        <v>214</v>
      </c>
      <c r="E320" s="18" t="s">
        <v>214</v>
      </c>
      <c r="F320" s="18" t="s">
        <v>214</v>
      </c>
      <c r="G320" s="18" t="s">
        <v>214</v>
      </c>
      <c r="H320" s="18" t="s">
        <v>214</v>
      </c>
      <c r="I320" s="18" t="s">
        <v>214</v>
      </c>
    </row>
    <row r="321" spans="1:9" x14ac:dyDescent="0.35">
      <c r="A321" s="14" t="s">
        <v>204</v>
      </c>
      <c r="B321" s="18" t="s">
        <v>214</v>
      </c>
      <c r="C321" s="18" t="s">
        <v>214</v>
      </c>
      <c r="D321" s="18" t="s">
        <v>214</v>
      </c>
      <c r="E321" s="18" t="s">
        <v>214</v>
      </c>
      <c r="F321" s="18" t="s">
        <v>214</v>
      </c>
      <c r="G321" s="18" t="s">
        <v>214</v>
      </c>
      <c r="H321" s="18" t="s">
        <v>214</v>
      </c>
      <c r="I321" s="18" t="s">
        <v>214</v>
      </c>
    </row>
    <row r="323" spans="1:9" x14ac:dyDescent="0.35">
      <c r="C323" s="187"/>
      <c r="D323" s="187"/>
      <c r="E323" s="187"/>
      <c r="F323" s="187"/>
      <c r="G323" s="170"/>
      <c r="H323" s="170"/>
      <c r="I323" s="170"/>
    </row>
    <row r="324" spans="1:9" ht="29" x14ac:dyDescent="0.35">
      <c r="A324" s="12" t="s">
        <v>492</v>
      </c>
      <c r="B324" s="13" t="s">
        <v>208</v>
      </c>
      <c r="C324" s="13" t="s">
        <v>458</v>
      </c>
      <c r="D324" s="13" t="s">
        <v>466</v>
      </c>
      <c r="E324" s="13" t="s">
        <v>467</v>
      </c>
      <c r="F324" s="13" t="s">
        <v>468</v>
      </c>
      <c r="G324" s="13" t="s">
        <v>634</v>
      </c>
      <c r="H324" s="13" t="s">
        <v>641</v>
      </c>
      <c r="I324" s="13" t="s">
        <v>647</v>
      </c>
    </row>
    <row r="325" spans="1:9" x14ac:dyDescent="0.35">
      <c r="A325" s="14" t="s">
        <v>209</v>
      </c>
      <c r="B325" s="15">
        <v>108</v>
      </c>
      <c r="C325" s="15">
        <v>31</v>
      </c>
      <c r="D325" s="15">
        <v>56</v>
      </c>
      <c r="E325" s="15">
        <v>82</v>
      </c>
      <c r="F325" s="15">
        <v>108</v>
      </c>
      <c r="G325" s="15">
        <v>132</v>
      </c>
      <c r="H325" s="15">
        <v>158</v>
      </c>
      <c r="I325" s="15">
        <v>151</v>
      </c>
    </row>
    <row r="326" spans="1:9" x14ac:dyDescent="0.35">
      <c r="A326" s="16" t="s">
        <v>336</v>
      </c>
      <c r="B326" s="17">
        <v>0.65266985938723165</v>
      </c>
      <c r="C326" s="149">
        <v>0.83294695590045276</v>
      </c>
      <c r="D326" s="17">
        <v>0.72248299601060206</v>
      </c>
      <c r="E326" s="153">
        <v>0.70264475602995025</v>
      </c>
      <c r="F326" s="17">
        <v>0.65266985938723165</v>
      </c>
      <c r="G326" s="17">
        <v>0.68032753588035211</v>
      </c>
      <c r="H326" s="17">
        <v>0.646643172332526</v>
      </c>
      <c r="I326" s="155">
        <v>0.58758273715416653</v>
      </c>
    </row>
    <row r="327" spans="1:9" x14ac:dyDescent="0.35">
      <c r="A327" s="16" t="s">
        <v>194</v>
      </c>
      <c r="B327" s="17">
        <v>0.26008208762834828</v>
      </c>
      <c r="C327" s="148">
        <v>6.2842927792034375E-2</v>
      </c>
      <c r="D327" s="17">
        <v>0.21791306411625999</v>
      </c>
      <c r="E327" s="17">
        <v>0.23815112546212561</v>
      </c>
      <c r="F327" s="17">
        <v>0.26008208762834828</v>
      </c>
      <c r="G327" s="17">
        <v>0.23161435551291609</v>
      </c>
      <c r="H327" s="17">
        <v>0.27180368091927831</v>
      </c>
      <c r="I327" s="151">
        <v>0.33993509151117912</v>
      </c>
    </row>
    <row r="328" spans="1:9" x14ac:dyDescent="0.35">
      <c r="A328" s="16" t="s">
        <v>195</v>
      </c>
      <c r="B328" s="17">
        <v>8.7248052984420177E-2</v>
      </c>
      <c r="C328" s="17">
        <v>0.1042101163075129</v>
      </c>
      <c r="D328" s="17">
        <v>5.9603939873138008E-2</v>
      </c>
      <c r="E328" s="154">
        <v>5.9204118507924237E-2</v>
      </c>
      <c r="F328" s="17">
        <v>8.7248052984420177E-2</v>
      </c>
      <c r="G328" s="17">
        <v>8.8058108606731952E-2</v>
      </c>
      <c r="H328" s="17">
        <v>8.1553146748195582E-2</v>
      </c>
      <c r="I328" s="17">
        <v>7.2482171334654052E-2</v>
      </c>
    </row>
    <row r="329" spans="1:9" x14ac:dyDescent="0.35">
      <c r="A329" s="14" t="s">
        <v>210</v>
      </c>
      <c r="B329" s="18">
        <v>0.43295327517876392</v>
      </c>
      <c r="C329" s="19">
        <v>0.5798547270144484</v>
      </c>
      <c r="D329" s="18">
        <v>0.46604462852920392</v>
      </c>
      <c r="E329" s="18">
        <v>0.41664958981016381</v>
      </c>
      <c r="F329" s="18">
        <v>0.43295327517876397</v>
      </c>
      <c r="G329" s="18">
        <v>0.46590062120848019</v>
      </c>
      <c r="H329" s="18">
        <v>0.43168553988084368</v>
      </c>
      <c r="I329" s="23">
        <v>0.39216226894860229</v>
      </c>
    </row>
    <row r="330" spans="1:9" x14ac:dyDescent="0.35">
      <c r="A330" s="14" t="s">
        <v>197</v>
      </c>
      <c r="B330" s="18">
        <v>0.21971658420846771</v>
      </c>
      <c r="C330" s="18">
        <v>0.2530922288860043</v>
      </c>
      <c r="D330" s="18">
        <v>0.25643836748139809</v>
      </c>
      <c r="E330" s="22">
        <v>0.28599516621978649</v>
      </c>
      <c r="F330" s="18">
        <v>0.2197165842084676</v>
      </c>
      <c r="G330" s="18">
        <v>0.21442691467187189</v>
      </c>
      <c r="H330" s="18">
        <v>0.2149576324516824</v>
      </c>
      <c r="I330" s="18">
        <v>0.19542046820556419</v>
      </c>
    </row>
    <row r="331" spans="1:9" x14ac:dyDescent="0.35">
      <c r="A331" s="14" t="s">
        <v>198</v>
      </c>
      <c r="B331" s="18">
        <v>0.1772621692915004</v>
      </c>
      <c r="C331" s="21">
        <v>4.8799782130778332E-2</v>
      </c>
      <c r="D331" s="18">
        <v>0.13163097491707801</v>
      </c>
      <c r="E331" s="18">
        <v>0.14757780953615809</v>
      </c>
      <c r="F331" s="18">
        <v>0.1772621692915004</v>
      </c>
      <c r="G331" s="18">
        <v>0.15268453361079379</v>
      </c>
      <c r="H331" s="18">
        <v>0.1851774998987227</v>
      </c>
      <c r="I331" s="19">
        <v>0.2251686410627409</v>
      </c>
    </row>
    <row r="332" spans="1:9" x14ac:dyDescent="0.35">
      <c r="A332" s="14" t="s">
        <v>199</v>
      </c>
      <c r="B332" s="18">
        <v>8.2819918336847931E-2</v>
      </c>
      <c r="C332" s="23">
        <v>1.404314566125605E-2</v>
      </c>
      <c r="D332" s="18">
        <v>8.6282089199182052E-2</v>
      </c>
      <c r="E332" s="18">
        <v>9.0573315925967485E-2</v>
      </c>
      <c r="F332" s="18">
        <v>8.2819918336847903E-2</v>
      </c>
      <c r="G332" s="18">
        <v>7.8929821902122291E-2</v>
      </c>
      <c r="H332" s="18">
        <v>8.6626181020555582E-2</v>
      </c>
      <c r="I332" s="20">
        <v>0.11476645044843831</v>
      </c>
    </row>
    <row r="333" spans="1:9" x14ac:dyDescent="0.35">
      <c r="A333" s="14" t="s">
        <v>200</v>
      </c>
      <c r="B333" s="18">
        <v>4.5030061679868352E-2</v>
      </c>
      <c r="C333" s="18">
        <v>8.1722795348831465E-2</v>
      </c>
      <c r="D333" s="18">
        <v>4.6742108663066002E-2</v>
      </c>
      <c r="E333" s="18">
        <v>4.9990552711694197E-2</v>
      </c>
      <c r="F333" s="18">
        <v>4.5030061679868352E-2</v>
      </c>
      <c r="G333" s="18">
        <v>4.2492557807070203E-2</v>
      </c>
      <c r="H333" s="18">
        <v>3.586359671643749E-2</v>
      </c>
      <c r="I333" s="23">
        <v>2.0159984985015238E-2</v>
      </c>
    </row>
    <row r="334" spans="1:9" x14ac:dyDescent="0.35">
      <c r="A334" s="14" t="s">
        <v>201</v>
      </c>
      <c r="B334" s="18">
        <v>6.2384861440008014E-3</v>
      </c>
      <c r="C334" s="18">
        <v>0</v>
      </c>
      <c r="D334" s="18">
        <v>0</v>
      </c>
      <c r="E334" s="18">
        <v>0</v>
      </c>
      <c r="F334" s="18">
        <v>6.2384861440008014E-3</v>
      </c>
      <c r="G334" s="18">
        <v>1.256766184125223E-2</v>
      </c>
      <c r="H334" s="18">
        <v>1.7839426547281038E-2</v>
      </c>
      <c r="I334" s="18">
        <v>1.9499097324286899E-2</v>
      </c>
    </row>
    <row r="335" spans="1:9" x14ac:dyDescent="0.35">
      <c r="A335" s="14" t="s">
        <v>202</v>
      </c>
      <c r="B335" s="18">
        <v>0</v>
      </c>
      <c r="C335" s="18">
        <v>0</v>
      </c>
      <c r="D335" s="18">
        <v>0</v>
      </c>
      <c r="E335" s="18">
        <v>0</v>
      </c>
      <c r="F335" s="18">
        <v>0</v>
      </c>
      <c r="G335" s="18">
        <v>3.189902040625379E-3</v>
      </c>
      <c r="H335" s="18">
        <v>2.692268158329003E-3</v>
      </c>
      <c r="I335" s="18">
        <v>2.9427402670820211E-3</v>
      </c>
    </row>
    <row r="336" spans="1:9" x14ac:dyDescent="0.35">
      <c r="A336" s="14" t="s">
        <v>211</v>
      </c>
      <c r="B336" s="18">
        <v>0</v>
      </c>
      <c r="C336" s="18">
        <v>0</v>
      </c>
      <c r="D336" s="18">
        <v>0</v>
      </c>
      <c r="E336" s="18">
        <v>0</v>
      </c>
      <c r="F336" s="18">
        <v>0</v>
      </c>
      <c r="G336" s="18">
        <v>0</v>
      </c>
      <c r="H336" s="18">
        <v>0</v>
      </c>
      <c r="I336" s="18">
        <v>7.6211571027027828E-3</v>
      </c>
    </row>
    <row r="337" spans="1:9" x14ac:dyDescent="0.35">
      <c r="A337" s="14" t="s">
        <v>212</v>
      </c>
      <c r="B337" s="18">
        <v>3.5979505160551033E-2</v>
      </c>
      <c r="C337" s="18">
        <v>2.2487320958681431E-2</v>
      </c>
      <c r="D337" s="18">
        <v>1.2861831210072011E-2</v>
      </c>
      <c r="E337" s="21">
        <v>9.2135657962300471E-3</v>
      </c>
      <c r="F337" s="18">
        <v>3.5979505160551033E-2</v>
      </c>
      <c r="G337" s="18">
        <v>2.9807986917784138E-2</v>
      </c>
      <c r="H337" s="18">
        <v>2.515785532614806E-2</v>
      </c>
      <c r="I337" s="18">
        <v>2.2259191655567102E-2</v>
      </c>
    </row>
    <row r="338" spans="1:9" x14ac:dyDescent="0.35">
      <c r="A338" s="14" t="s">
        <v>203</v>
      </c>
      <c r="B338" s="18">
        <v>0</v>
      </c>
      <c r="C338" s="18">
        <v>0</v>
      </c>
      <c r="D338" s="18">
        <v>0</v>
      </c>
      <c r="E338" s="18">
        <v>0</v>
      </c>
      <c r="F338" s="18">
        <v>0</v>
      </c>
      <c r="G338" s="18">
        <v>0</v>
      </c>
      <c r="H338" s="18">
        <v>0</v>
      </c>
      <c r="I338" s="18">
        <v>0</v>
      </c>
    </row>
    <row r="339" spans="1:9" x14ac:dyDescent="0.35">
      <c r="A339" s="14" t="s">
        <v>204</v>
      </c>
      <c r="B339" s="18">
        <v>0</v>
      </c>
      <c r="C339" s="18">
        <v>0</v>
      </c>
      <c r="D339" s="18">
        <v>0</v>
      </c>
      <c r="E339" s="18">
        <v>0</v>
      </c>
      <c r="F339" s="18">
        <v>0</v>
      </c>
      <c r="G339" s="18">
        <v>0</v>
      </c>
      <c r="H339" s="18">
        <v>0</v>
      </c>
      <c r="I339" s="18">
        <v>0</v>
      </c>
    </row>
    <row r="340" spans="1:9" x14ac:dyDescent="0.35">
      <c r="A340" s="14" t="s">
        <v>213</v>
      </c>
      <c r="B340" s="1">
        <v>56.542180640281153</v>
      </c>
      <c r="C340" s="1">
        <v>72.873683959293984</v>
      </c>
      <c r="D340" s="1">
        <v>66.287905613746403</v>
      </c>
      <c r="E340" s="1">
        <v>64.344063752202601</v>
      </c>
      <c r="F340" s="1">
        <v>56.542180640281138</v>
      </c>
      <c r="G340" s="1">
        <v>59.226942727362001</v>
      </c>
      <c r="H340" s="1">
        <v>56.509002558433053</v>
      </c>
      <c r="I340" s="1">
        <v>51.510056581951261</v>
      </c>
    </row>
    <row r="342" spans="1:9" x14ac:dyDescent="0.35">
      <c r="C342" s="187"/>
      <c r="D342" s="187"/>
      <c r="E342" s="187"/>
      <c r="F342" s="187"/>
      <c r="G342" s="170"/>
      <c r="H342" s="170"/>
      <c r="I342" s="170"/>
    </row>
    <row r="343" spans="1:9" ht="29" x14ac:dyDescent="0.35">
      <c r="A343" s="12" t="s">
        <v>504</v>
      </c>
      <c r="B343" s="13" t="s">
        <v>208</v>
      </c>
      <c r="C343" s="13" t="s">
        <v>458</v>
      </c>
      <c r="D343" s="13" t="s">
        <v>466</v>
      </c>
      <c r="E343" s="13" t="s">
        <v>467</v>
      </c>
      <c r="F343" s="13" t="s">
        <v>468</v>
      </c>
      <c r="G343" s="13" t="s">
        <v>634</v>
      </c>
      <c r="H343" s="13" t="s">
        <v>641</v>
      </c>
      <c r="I343" s="13" t="s">
        <v>647</v>
      </c>
    </row>
    <row r="344" spans="1:9" x14ac:dyDescent="0.35">
      <c r="A344" s="14" t="s">
        <v>209</v>
      </c>
      <c r="B344" s="15">
        <v>0</v>
      </c>
      <c r="C344" s="15">
        <v>0</v>
      </c>
      <c r="D344" s="15">
        <v>0</v>
      </c>
      <c r="E344" s="15">
        <v>0</v>
      </c>
      <c r="F344" s="15">
        <v>0</v>
      </c>
      <c r="G344" s="15">
        <v>0</v>
      </c>
      <c r="H344" s="15">
        <v>0</v>
      </c>
      <c r="I344" s="15">
        <v>0</v>
      </c>
    </row>
    <row r="345" spans="1:9" x14ac:dyDescent="0.35">
      <c r="A345" s="16" t="s">
        <v>336</v>
      </c>
      <c r="B345" s="17" t="s">
        <v>214</v>
      </c>
      <c r="C345" s="168" t="s">
        <v>214</v>
      </c>
      <c r="D345" s="168" t="s">
        <v>214</v>
      </c>
      <c r="E345" s="168" t="s">
        <v>214</v>
      </c>
      <c r="F345" s="168" t="s">
        <v>214</v>
      </c>
      <c r="G345" s="168" t="s">
        <v>214</v>
      </c>
      <c r="H345" s="168" t="s">
        <v>214</v>
      </c>
      <c r="I345" s="168" t="s">
        <v>214</v>
      </c>
    </row>
    <row r="346" spans="1:9" x14ac:dyDescent="0.35">
      <c r="A346" s="16" t="s">
        <v>194</v>
      </c>
      <c r="B346" s="17" t="s">
        <v>214</v>
      </c>
      <c r="C346" s="168" t="s">
        <v>214</v>
      </c>
      <c r="D346" s="168" t="s">
        <v>214</v>
      </c>
      <c r="E346" s="168" t="s">
        <v>214</v>
      </c>
      <c r="F346" s="168" t="s">
        <v>214</v>
      </c>
      <c r="G346" s="168" t="s">
        <v>214</v>
      </c>
      <c r="H346" s="168" t="s">
        <v>214</v>
      </c>
      <c r="I346" s="168" t="s">
        <v>214</v>
      </c>
    </row>
    <row r="347" spans="1:9" x14ac:dyDescent="0.35">
      <c r="A347" s="16" t="s">
        <v>195</v>
      </c>
      <c r="B347" s="17" t="s">
        <v>214</v>
      </c>
      <c r="C347" s="168" t="s">
        <v>214</v>
      </c>
      <c r="D347" s="168" t="s">
        <v>214</v>
      </c>
      <c r="E347" s="168" t="s">
        <v>214</v>
      </c>
      <c r="F347" s="168" t="s">
        <v>214</v>
      </c>
      <c r="G347" s="168" t="s">
        <v>214</v>
      </c>
      <c r="H347" s="168" t="s">
        <v>214</v>
      </c>
      <c r="I347" s="168" t="s">
        <v>214</v>
      </c>
    </row>
    <row r="348" spans="1:9" x14ac:dyDescent="0.35">
      <c r="A348" s="14" t="s">
        <v>210</v>
      </c>
      <c r="B348" s="18" t="s">
        <v>214</v>
      </c>
      <c r="C348" s="18" t="s">
        <v>214</v>
      </c>
      <c r="D348" s="18" t="s">
        <v>214</v>
      </c>
      <c r="E348" s="18" t="s">
        <v>214</v>
      </c>
      <c r="F348" s="18" t="s">
        <v>214</v>
      </c>
      <c r="G348" s="18" t="s">
        <v>214</v>
      </c>
      <c r="H348" s="18" t="s">
        <v>214</v>
      </c>
      <c r="I348" s="18" t="s">
        <v>214</v>
      </c>
    </row>
    <row r="349" spans="1:9" x14ac:dyDescent="0.35">
      <c r="A349" s="14" t="s">
        <v>197</v>
      </c>
      <c r="B349" s="18" t="s">
        <v>214</v>
      </c>
      <c r="C349" s="18" t="s">
        <v>214</v>
      </c>
      <c r="D349" s="18" t="s">
        <v>214</v>
      </c>
      <c r="E349" s="18" t="s">
        <v>214</v>
      </c>
      <c r="F349" s="18" t="s">
        <v>214</v>
      </c>
      <c r="G349" s="18" t="s">
        <v>214</v>
      </c>
      <c r="H349" s="18" t="s">
        <v>214</v>
      </c>
      <c r="I349" s="18" t="s">
        <v>214</v>
      </c>
    </row>
    <row r="350" spans="1:9" x14ac:dyDescent="0.35">
      <c r="A350" s="14" t="s">
        <v>198</v>
      </c>
      <c r="B350" s="18" t="s">
        <v>214</v>
      </c>
      <c r="C350" s="18" t="s">
        <v>214</v>
      </c>
      <c r="D350" s="18" t="s">
        <v>214</v>
      </c>
      <c r="E350" s="18" t="s">
        <v>214</v>
      </c>
      <c r="F350" s="18" t="s">
        <v>214</v>
      </c>
      <c r="G350" s="18" t="s">
        <v>214</v>
      </c>
      <c r="H350" s="18" t="s">
        <v>214</v>
      </c>
      <c r="I350" s="18" t="s">
        <v>214</v>
      </c>
    </row>
    <row r="351" spans="1:9" x14ac:dyDescent="0.35">
      <c r="A351" s="14" t="s">
        <v>199</v>
      </c>
      <c r="B351" s="18" t="s">
        <v>214</v>
      </c>
      <c r="C351" s="18" t="s">
        <v>214</v>
      </c>
      <c r="D351" s="18" t="s">
        <v>214</v>
      </c>
      <c r="E351" s="18" t="s">
        <v>214</v>
      </c>
      <c r="F351" s="18" t="s">
        <v>214</v>
      </c>
      <c r="G351" s="18" t="s">
        <v>214</v>
      </c>
      <c r="H351" s="18" t="s">
        <v>214</v>
      </c>
      <c r="I351" s="18" t="s">
        <v>214</v>
      </c>
    </row>
    <row r="352" spans="1:9" x14ac:dyDescent="0.35">
      <c r="A352" s="14" t="s">
        <v>200</v>
      </c>
      <c r="B352" s="18" t="s">
        <v>214</v>
      </c>
      <c r="C352" s="18" t="s">
        <v>214</v>
      </c>
      <c r="D352" s="18" t="s">
        <v>214</v>
      </c>
      <c r="E352" s="18" t="s">
        <v>214</v>
      </c>
      <c r="F352" s="18" t="s">
        <v>214</v>
      </c>
      <c r="G352" s="18" t="s">
        <v>214</v>
      </c>
      <c r="H352" s="18" t="s">
        <v>214</v>
      </c>
      <c r="I352" s="18" t="s">
        <v>214</v>
      </c>
    </row>
    <row r="353" spans="1:9" x14ac:dyDescent="0.35">
      <c r="A353" s="14" t="s">
        <v>201</v>
      </c>
      <c r="B353" s="18" t="s">
        <v>214</v>
      </c>
      <c r="C353" s="18" t="s">
        <v>214</v>
      </c>
      <c r="D353" s="18" t="s">
        <v>214</v>
      </c>
      <c r="E353" s="18" t="s">
        <v>214</v>
      </c>
      <c r="F353" s="18" t="s">
        <v>214</v>
      </c>
      <c r="G353" s="18" t="s">
        <v>214</v>
      </c>
      <c r="H353" s="18" t="s">
        <v>214</v>
      </c>
      <c r="I353" s="18" t="s">
        <v>214</v>
      </c>
    </row>
    <row r="354" spans="1:9" x14ac:dyDescent="0.35">
      <c r="A354" s="14" t="s">
        <v>202</v>
      </c>
      <c r="B354" s="18" t="s">
        <v>214</v>
      </c>
      <c r="C354" s="18" t="s">
        <v>214</v>
      </c>
      <c r="D354" s="18" t="s">
        <v>214</v>
      </c>
      <c r="E354" s="18" t="s">
        <v>214</v>
      </c>
      <c r="F354" s="18" t="s">
        <v>214</v>
      </c>
      <c r="G354" s="18" t="s">
        <v>214</v>
      </c>
      <c r="H354" s="18" t="s">
        <v>214</v>
      </c>
      <c r="I354" s="18" t="s">
        <v>214</v>
      </c>
    </row>
    <row r="355" spans="1:9" x14ac:dyDescent="0.35">
      <c r="A355" s="14" t="s">
        <v>211</v>
      </c>
      <c r="B355" s="18" t="s">
        <v>214</v>
      </c>
      <c r="C355" s="18" t="s">
        <v>214</v>
      </c>
      <c r="D355" s="18" t="s">
        <v>214</v>
      </c>
      <c r="E355" s="18" t="s">
        <v>214</v>
      </c>
      <c r="F355" s="18" t="s">
        <v>214</v>
      </c>
      <c r="G355" s="18" t="s">
        <v>214</v>
      </c>
      <c r="H355" s="18" t="s">
        <v>214</v>
      </c>
      <c r="I355" s="18" t="s">
        <v>214</v>
      </c>
    </row>
    <row r="356" spans="1:9" x14ac:dyDescent="0.35">
      <c r="A356" s="14" t="s">
        <v>212</v>
      </c>
      <c r="B356" s="18" t="s">
        <v>214</v>
      </c>
      <c r="C356" s="18" t="s">
        <v>214</v>
      </c>
      <c r="D356" s="18" t="s">
        <v>214</v>
      </c>
      <c r="E356" s="18" t="s">
        <v>214</v>
      </c>
      <c r="F356" s="18" t="s">
        <v>214</v>
      </c>
      <c r="G356" s="18" t="s">
        <v>214</v>
      </c>
      <c r="H356" s="18" t="s">
        <v>214</v>
      </c>
      <c r="I356" s="18" t="s">
        <v>214</v>
      </c>
    </row>
    <row r="357" spans="1:9" x14ac:dyDescent="0.35">
      <c r="A357" s="14" t="s">
        <v>203</v>
      </c>
      <c r="B357" s="18" t="s">
        <v>214</v>
      </c>
      <c r="C357" s="18" t="s">
        <v>214</v>
      </c>
      <c r="D357" s="18" t="s">
        <v>214</v>
      </c>
      <c r="E357" s="18" t="s">
        <v>214</v>
      </c>
      <c r="F357" s="18" t="s">
        <v>214</v>
      </c>
      <c r="G357" s="18" t="s">
        <v>214</v>
      </c>
      <c r="H357" s="18" t="s">
        <v>214</v>
      </c>
      <c r="I357" s="18" t="s">
        <v>214</v>
      </c>
    </row>
    <row r="358" spans="1:9" x14ac:dyDescent="0.35">
      <c r="A358" s="14" t="s">
        <v>204</v>
      </c>
      <c r="B358" s="18" t="s">
        <v>214</v>
      </c>
      <c r="C358" s="18" t="s">
        <v>214</v>
      </c>
      <c r="D358" s="18" t="s">
        <v>214</v>
      </c>
      <c r="E358" s="18" t="s">
        <v>214</v>
      </c>
      <c r="F358" s="18" t="s">
        <v>214</v>
      </c>
      <c r="G358" s="18" t="s">
        <v>214</v>
      </c>
      <c r="H358" s="18" t="s">
        <v>214</v>
      </c>
      <c r="I358" s="18" t="s">
        <v>214</v>
      </c>
    </row>
    <row r="360" spans="1:9" x14ac:dyDescent="0.35">
      <c r="C360" s="187"/>
      <c r="D360" s="187"/>
      <c r="E360" s="187"/>
      <c r="F360" s="187"/>
      <c r="G360" s="170"/>
      <c r="H360" s="170"/>
      <c r="I360" s="170"/>
    </row>
    <row r="361" spans="1:9" ht="29" x14ac:dyDescent="0.35">
      <c r="A361" s="12" t="s">
        <v>580</v>
      </c>
      <c r="B361" s="13" t="s">
        <v>208</v>
      </c>
      <c r="C361" s="13" t="s">
        <v>458</v>
      </c>
      <c r="D361" s="13" t="s">
        <v>466</v>
      </c>
      <c r="E361" s="13" t="s">
        <v>467</v>
      </c>
      <c r="F361" s="13" t="s">
        <v>468</v>
      </c>
      <c r="G361" s="13" t="s">
        <v>634</v>
      </c>
      <c r="H361" s="13" t="s">
        <v>641</v>
      </c>
      <c r="I361" s="13" t="s">
        <v>647</v>
      </c>
    </row>
    <row r="362" spans="1:9" x14ac:dyDescent="0.35">
      <c r="A362" s="14" t="s">
        <v>209</v>
      </c>
      <c r="B362" s="15">
        <v>7</v>
      </c>
      <c r="C362" s="15">
        <v>1</v>
      </c>
      <c r="D362" s="15">
        <v>1</v>
      </c>
      <c r="E362" s="15">
        <v>3</v>
      </c>
      <c r="F362" s="15">
        <v>7</v>
      </c>
      <c r="G362" s="15">
        <v>7</v>
      </c>
      <c r="H362" s="15">
        <v>9</v>
      </c>
      <c r="I362" s="15">
        <v>11</v>
      </c>
    </row>
    <row r="363" spans="1:9" x14ac:dyDescent="0.35">
      <c r="A363" s="16" t="s">
        <v>336</v>
      </c>
      <c r="B363" s="17">
        <v>0.57498801826653612</v>
      </c>
      <c r="C363" s="17">
        <v>0</v>
      </c>
      <c r="D363" s="17">
        <v>0</v>
      </c>
      <c r="E363" s="155">
        <v>0</v>
      </c>
      <c r="F363" s="17">
        <v>0.57498801826653612</v>
      </c>
      <c r="G363" s="17">
        <v>0.57498801826653612</v>
      </c>
      <c r="H363" s="17">
        <v>0.38364678811484371</v>
      </c>
      <c r="I363" s="17">
        <v>0.32170292215141488</v>
      </c>
    </row>
    <row r="364" spans="1:9" x14ac:dyDescent="0.35">
      <c r="A364" s="16" t="s">
        <v>194</v>
      </c>
      <c r="B364" s="17">
        <v>0.27762722738354051</v>
      </c>
      <c r="C364" s="17">
        <v>0</v>
      </c>
      <c r="D364" s="17">
        <v>0</v>
      </c>
      <c r="E364" s="17">
        <v>0.56535602736639867</v>
      </c>
      <c r="F364" s="17">
        <v>0.27762722738354051</v>
      </c>
      <c r="G364" s="17">
        <v>0.27762722738354051</v>
      </c>
      <c r="H364" s="152">
        <v>0.51801431467837578</v>
      </c>
      <c r="I364" s="17">
        <v>0.37308693868838738</v>
      </c>
    </row>
    <row r="365" spans="1:9" x14ac:dyDescent="0.35">
      <c r="A365" s="16" t="s">
        <v>195</v>
      </c>
      <c r="B365" s="17">
        <v>0.1473847543499234</v>
      </c>
      <c r="C365" s="151">
        <v>1</v>
      </c>
      <c r="D365" s="151">
        <v>1</v>
      </c>
      <c r="E365" s="17">
        <v>0.43464397263360133</v>
      </c>
      <c r="F365" s="152">
        <v>0.1473847543499234</v>
      </c>
      <c r="G365" s="152">
        <v>0.1473847543499234</v>
      </c>
      <c r="H365" s="17">
        <v>9.8338897206780532E-2</v>
      </c>
      <c r="I365" s="17">
        <v>0.30521013916019768</v>
      </c>
    </row>
    <row r="366" spans="1:9" x14ac:dyDescent="0.35">
      <c r="A366" s="14" t="s">
        <v>210</v>
      </c>
      <c r="B366" s="18">
        <v>0.46876092905439348</v>
      </c>
      <c r="C366" s="18">
        <v>0</v>
      </c>
      <c r="D366" s="18">
        <v>0</v>
      </c>
      <c r="E366" s="23">
        <v>0</v>
      </c>
      <c r="F366" s="18">
        <v>0.46876092905439348</v>
      </c>
      <c r="G366" s="18">
        <v>0.46876092905439348</v>
      </c>
      <c r="H366" s="18">
        <v>0.31276934320757238</v>
      </c>
      <c r="I366" s="18">
        <v>0.22526434784981039</v>
      </c>
    </row>
    <row r="367" spans="1:9" x14ac:dyDescent="0.35">
      <c r="A367" s="14" t="s">
        <v>197</v>
      </c>
      <c r="B367" s="18">
        <v>0.10622708921214261</v>
      </c>
      <c r="C367" s="18">
        <v>0</v>
      </c>
      <c r="D367" s="18">
        <v>0</v>
      </c>
      <c r="E367" s="18">
        <v>0</v>
      </c>
      <c r="F367" s="18">
        <v>0.10622708921214261</v>
      </c>
      <c r="G367" s="18">
        <v>0.10622708921214261</v>
      </c>
      <c r="H367" s="25">
        <v>7.0877444907271242E-2</v>
      </c>
      <c r="I367" s="18">
        <v>9.6438574301604491E-2</v>
      </c>
    </row>
    <row r="368" spans="1:9" x14ac:dyDescent="0.35">
      <c r="A368" s="14" t="s">
        <v>198</v>
      </c>
      <c r="B368" s="18">
        <v>9.3083519574289508E-2</v>
      </c>
      <c r="C368" s="18">
        <v>0</v>
      </c>
      <c r="D368" s="18">
        <v>0</v>
      </c>
      <c r="E368" s="18">
        <v>0.27450729834939552</v>
      </c>
      <c r="F368" s="18">
        <v>9.3083519574289508E-2</v>
      </c>
      <c r="G368" s="18">
        <v>9.3083519574289508E-2</v>
      </c>
      <c r="H368" s="18">
        <v>0.32729675520741031</v>
      </c>
      <c r="I368" s="18">
        <v>0.23572735537007469</v>
      </c>
    </row>
    <row r="369" spans="1:9" x14ac:dyDescent="0.35">
      <c r="A369" s="14" t="s">
        <v>199</v>
      </c>
      <c r="B369" s="18">
        <v>0.18454370780925089</v>
      </c>
      <c r="C369" s="18">
        <v>0</v>
      </c>
      <c r="D369" s="18">
        <v>0</v>
      </c>
      <c r="E369" s="18">
        <v>0.29084872901700332</v>
      </c>
      <c r="F369" s="18">
        <v>0.18454370780925089</v>
      </c>
      <c r="G369" s="18">
        <v>0.18454370780925089</v>
      </c>
      <c r="H369" s="18">
        <v>0.19071755947096561</v>
      </c>
      <c r="I369" s="18">
        <v>0.13735958331831269</v>
      </c>
    </row>
    <row r="370" spans="1:9" x14ac:dyDescent="0.35">
      <c r="A370" s="14" t="s">
        <v>200</v>
      </c>
      <c r="B370" s="18">
        <v>0.1473847543499234</v>
      </c>
      <c r="C370" s="22">
        <v>1</v>
      </c>
      <c r="D370" s="22">
        <v>1</v>
      </c>
      <c r="E370" s="18">
        <v>0.43464397263360133</v>
      </c>
      <c r="F370" s="25">
        <v>0.1473847543499234</v>
      </c>
      <c r="G370" s="25">
        <v>0.1473847543499234</v>
      </c>
      <c r="H370" s="18">
        <v>9.8338897206780532E-2</v>
      </c>
      <c r="I370" s="25">
        <v>0</v>
      </c>
    </row>
    <row r="371" spans="1:9" x14ac:dyDescent="0.35">
      <c r="A371" s="14" t="s">
        <v>201</v>
      </c>
      <c r="B371" s="18">
        <v>0</v>
      </c>
      <c r="C371" s="18">
        <v>0</v>
      </c>
      <c r="D371" s="18">
        <v>0</v>
      </c>
      <c r="E371" s="18">
        <v>0</v>
      </c>
      <c r="F371" s="18">
        <v>0</v>
      </c>
      <c r="G371" s="18">
        <v>0</v>
      </c>
      <c r="H371" s="18">
        <v>0</v>
      </c>
      <c r="I371" s="18">
        <v>0</v>
      </c>
    </row>
    <row r="372" spans="1:9" x14ac:dyDescent="0.35">
      <c r="A372" s="14" t="s">
        <v>202</v>
      </c>
      <c r="B372" s="18">
        <v>0</v>
      </c>
      <c r="C372" s="18">
        <v>0</v>
      </c>
      <c r="D372" s="18">
        <v>0</v>
      </c>
      <c r="E372" s="18">
        <v>0</v>
      </c>
      <c r="F372" s="18">
        <v>0</v>
      </c>
      <c r="G372" s="18">
        <v>0</v>
      </c>
      <c r="H372" s="18">
        <v>0</v>
      </c>
      <c r="I372" s="18">
        <v>4.955954624569494E-2</v>
      </c>
    </row>
    <row r="373" spans="1:9" x14ac:dyDescent="0.35">
      <c r="A373" s="14" t="s">
        <v>211</v>
      </c>
      <c r="B373" s="18">
        <v>0</v>
      </c>
      <c r="C373" s="18">
        <v>0</v>
      </c>
      <c r="D373" s="18">
        <v>0</v>
      </c>
      <c r="E373" s="18">
        <v>0</v>
      </c>
      <c r="F373" s="18">
        <v>0</v>
      </c>
      <c r="G373" s="18">
        <v>0</v>
      </c>
      <c r="H373" s="18">
        <v>0</v>
      </c>
      <c r="I373" s="18">
        <v>0</v>
      </c>
    </row>
    <row r="374" spans="1:9" x14ac:dyDescent="0.35">
      <c r="A374" s="14" t="s">
        <v>212</v>
      </c>
      <c r="B374" s="18">
        <v>0</v>
      </c>
      <c r="C374" s="18">
        <v>0</v>
      </c>
      <c r="D374" s="18">
        <v>0</v>
      </c>
      <c r="E374" s="18">
        <v>0</v>
      </c>
      <c r="F374" s="18">
        <v>0</v>
      </c>
      <c r="G374" s="18">
        <v>0</v>
      </c>
      <c r="H374" s="18">
        <v>0</v>
      </c>
      <c r="I374" s="18">
        <v>0.25565059291450282</v>
      </c>
    </row>
    <row r="375" spans="1:9" x14ac:dyDescent="0.35">
      <c r="A375" s="14" t="s">
        <v>203</v>
      </c>
      <c r="B375" s="18">
        <v>0</v>
      </c>
      <c r="C375" s="18">
        <v>0</v>
      </c>
      <c r="D375" s="18">
        <v>0</v>
      </c>
      <c r="E375" s="18">
        <v>0</v>
      </c>
      <c r="F375" s="18">
        <v>0</v>
      </c>
      <c r="G375" s="18">
        <v>0</v>
      </c>
      <c r="H375" s="18">
        <v>0</v>
      </c>
      <c r="I375" s="18">
        <v>0</v>
      </c>
    </row>
    <row r="376" spans="1:9" x14ac:dyDescent="0.35">
      <c r="A376" s="14" t="s">
        <v>204</v>
      </c>
      <c r="B376" s="18">
        <v>0</v>
      </c>
      <c r="C376" s="18">
        <v>0</v>
      </c>
      <c r="D376" s="18">
        <v>0</v>
      </c>
      <c r="E376" s="18">
        <v>0</v>
      </c>
      <c r="F376" s="18">
        <v>0</v>
      </c>
      <c r="G376" s="18">
        <v>0</v>
      </c>
      <c r="H376" s="18">
        <v>0</v>
      </c>
      <c r="I376" s="18">
        <v>0</v>
      </c>
    </row>
    <row r="377" spans="1:9" x14ac:dyDescent="0.35">
      <c r="A377" s="14" t="s">
        <v>213</v>
      </c>
      <c r="B377" s="1">
        <v>42.760326391661273</v>
      </c>
      <c r="C377" s="1">
        <v>-100</v>
      </c>
      <c r="D377" s="1">
        <v>-100</v>
      </c>
      <c r="E377" s="1">
        <v>-43.464397263360127</v>
      </c>
      <c r="F377" s="1">
        <v>42.76032639166128</v>
      </c>
      <c r="G377" s="1">
        <v>42.76032639166128</v>
      </c>
      <c r="H377" s="1">
        <v>28.530789090806319</v>
      </c>
      <c r="I377" s="1">
        <v>1.649278299121711</v>
      </c>
    </row>
    <row r="379" spans="1:9" x14ac:dyDescent="0.35">
      <c r="C379" s="187"/>
      <c r="D379" s="187"/>
      <c r="E379" s="187"/>
      <c r="F379" s="187"/>
      <c r="G379" s="170"/>
      <c r="H379" s="170"/>
      <c r="I379" s="170"/>
    </row>
    <row r="380" spans="1:9" ht="29" x14ac:dyDescent="0.35">
      <c r="A380" s="12" t="s">
        <v>637</v>
      </c>
      <c r="B380" s="13" t="s">
        <v>208</v>
      </c>
      <c r="C380" s="13" t="s">
        <v>458</v>
      </c>
      <c r="D380" s="13" t="s">
        <v>466</v>
      </c>
      <c r="E380" s="13" t="s">
        <v>467</v>
      </c>
      <c r="F380" s="13" t="s">
        <v>468</v>
      </c>
      <c r="G380" s="13" t="s">
        <v>634</v>
      </c>
      <c r="H380" s="13" t="s">
        <v>641</v>
      </c>
      <c r="I380" s="13" t="s">
        <v>647</v>
      </c>
    </row>
    <row r="381" spans="1:9" x14ac:dyDescent="0.35">
      <c r="A381" s="14" t="s">
        <v>209</v>
      </c>
      <c r="B381" s="15">
        <v>3</v>
      </c>
      <c r="C381" s="15">
        <v>0</v>
      </c>
      <c r="D381" s="15">
        <v>0</v>
      </c>
      <c r="E381" s="15">
        <v>0</v>
      </c>
      <c r="F381" s="15">
        <v>1</v>
      </c>
      <c r="G381" s="15">
        <v>4</v>
      </c>
      <c r="H381" s="15">
        <v>5</v>
      </c>
      <c r="I381" s="15">
        <v>5</v>
      </c>
    </row>
    <row r="382" spans="1:9" x14ac:dyDescent="0.35">
      <c r="A382" s="16" t="s">
        <v>336</v>
      </c>
      <c r="B382" s="17">
        <v>0.72508891708391043</v>
      </c>
      <c r="C382" s="168" t="s">
        <v>214</v>
      </c>
      <c r="D382" s="168" t="s">
        <v>214</v>
      </c>
      <c r="E382" s="168" t="s">
        <v>214</v>
      </c>
      <c r="F382" s="17">
        <v>0</v>
      </c>
      <c r="G382" s="17">
        <v>0.203178765392653</v>
      </c>
      <c r="H382" s="17">
        <v>0.17050738377666799</v>
      </c>
      <c r="I382" s="17">
        <v>0.17050738377666799</v>
      </c>
    </row>
    <row r="383" spans="1:9" x14ac:dyDescent="0.35">
      <c r="A383" s="16" t="s">
        <v>194</v>
      </c>
      <c r="B383" s="17">
        <v>0</v>
      </c>
      <c r="C383" s="168" t="s">
        <v>214</v>
      </c>
      <c r="D383" s="168" t="s">
        <v>214</v>
      </c>
      <c r="E383" s="168" t="s">
        <v>214</v>
      </c>
      <c r="F383" s="149">
        <v>1</v>
      </c>
      <c r="G383" s="17">
        <v>0.57776624611090588</v>
      </c>
      <c r="H383" s="17">
        <v>0.64566192446981807</v>
      </c>
      <c r="I383" s="17">
        <v>0.64566192446981807</v>
      </c>
    </row>
    <row r="384" spans="1:9" x14ac:dyDescent="0.35">
      <c r="A384" s="16" t="s">
        <v>195</v>
      </c>
      <c r="B384" s="17">
        <v>0.27491108291608951</v>
      </c>
      <c r="C384" s="168" t="s">
        <v>214</v>
      </c>
      <c r="D384" s="168" t="s">
        <v>214</v>
      </c>
      <c r="E384" s="168" t="s">
        <v>214</v>
      </c>
      <c r="F384" s="17">
        <v>0</v>
      </c>
      <c r="G384" s="17">
        <v>0.21905498849644131</v>
      </c>
      <c r="H384" s="17">
        <v>0.18383069175351391</v>
      </c>
      <c r="I384" s="17">
        <v>0.18383069175351391</v>
      </c>
    </row>
    <row r="385" spans="1:9" x14ac:dyDescent="0.35">
      <c r="A385" s="14" t="s">
        <v>210</v>
      </c>
      <c r="B385" s="18">
        <v>0</v>
      </c>
      <c r="C385" s="18" t="s">
        <v>214</v>
      </c>
      <c r="D385" s="18" t="s">
        <v>214</v>
      </c>
      <c r="E385" s="18" t="s">
        <v>214</v>
      </c>
      <c r="F385" s="18">
        <v>0</v>
      </c>
      <c r="G385" s="18">
        <v>0</v>
      </c>
      <c r="H385" s="18">
        <v>0</v>
      </c>
      <c r="I385" s="18">
        <v>0</v>
      </c>
    </row>
    <row r="386" spans="1:9" x14ac:dyDescent="0.35">
      <c r="A386" s="14" t="s">
        <v>197</v>
      </c>
      <c r="B386" s="18">
        <v>0</v>
      </c>
      <c r="C386" s="18" t="s">
        <v>214</v>
      </c>
      <c r="D386" s="18" t="s">
        <v>214</v>
      </c>
      <c r="E386" s="18" t="s">
        <v>214</v>
      </c>
      <c r="F386" s="19">
        <v>1</v>
      </c>
      <c r="G386" s="18">
        <v>0.203178765392653</v>
      </c>
      <c r="H386" s="18">
        <v>0.17050738377666799</v>
      </c>
      <c r="I386" s="18">
        <v>0.17050738377666799</v>
      </c>
    </row>
    <row r="387" spans="1:9" x14ac:dyDescent="0.35">
      <c r="A387" s="14" t="s">
        <v>198</v>
      </c>
      <c r="B387" s="18">
        <v>0.248195089460479</v>
      </c>
      <c r="C387" s="18" t="s">
        <v>214</v>
      </c>
      <c r="D387" s="18" t="s">
        <v>214</v>
      </c>
      <c r="E387" s="18" t="s">
        <v>214</v>
      </c>
      <c r="F387" s="18">
        <v>0</v>
      </c>
      <c r="G387" s="18">
        <v>0.19776711760737989</v>
      </c>
      <c r="H387" s="18">
        <v>0.16596593524485659</v>
      </c>
      <c r="I387" s="18">
        <v>0.16596593524485659</v>
      </c>
    </row>
    <row r="388" spans="1:9" x14ac:dyDescent="0.35">
      <c r="A388" s="14" t="s">
        <v>199</v>
      </c>
      <c r="B388" s="18">
        <v>0.47689382762343141</v>
      </c>
      <c r="C388" s="18" t="s">
        <v>214</v>
      </c>
      <c r="D388" s="18" t="s">
        <v>214</v>
      </c>
      <c r="E388" s="18" t="s">
        <v>214</v>
      </c>
      <c r="F388" s="18">
        <v>0</v>
      </c>
      <c r="G388" s="18">
        <v>0.37999912850352602</v>
      </c>
      <c r="H388" s="18">
        <v>0.47969598922496132</v>
      </c>
      <c r="I388" s="18">
        <v>0.47969598922496132</v>
      </c>
    </row>
    <row r="389" spans="1:9" x14ac:dyDescent="0.35">
      <c r="A389" s="14" t="s">
        <v>200</v>
      </c>
      <c r="B389" s="18">
        <v>0</v>
      </c>
      <c r="C389" s="18" t="s">
        <v>214</v>
      </c>
      <c r="D389" s="18" t="s">
        <v>214</v>
      </c>
      <c r="E389" s="18" t="s">
        <v>214</v>
      </c>
      <c r="F389" s="18">
        <v>0</v>
      </c>
      <c r="G389" s="18">
        <v>0</v>
      </c>
      <c r="H389" s="18">
        <v>0</v>
      </c>
      <c r="I389" s="18">
        <v>0</v>
      </c>
    </row>
    <row r="390" spans="1:9" x14ac:dyDescent="0.35">
      <c r="A390" s="14" t="s">
        <v>201</v>
      </c>
      <c r="B390" s="18">
        <v>0.27491108291608951</v>
      </c>
      <c r="C390" s="18" t="s">
        <v>214</v>
      </c>
      <c r="D390" s="18" t="s">
        <v>214</v>
      </c>
      <c r="E390" s="18" t="s">
        <v>214</v>
      </c>
      <c r="F390" s="18">
        <v>0</v>
      </c>
      <c r="G390" s="18">
        <v>0.21905498849644131</v>
      </c>
      <c r="H390" s="18">
        <v>0.18383069175351391</v>
      </c>
      <c r="I390" s="18">
        <v>0.18383069175351391</v>
      </c>
    </row>
    <row r="391" spans="1:9" x14ac:dyDescent="0.35">
      <c r="A391" s="14" t="s">
        <v>202</v>
      </c>
      <c r="B391" s="18">
        <v>0</v>
      </c>
      <c r="C391" s="18" t="s">
        <v>214</v>
      </c>
      <c r="D391" s="18" t="s">
        <v>214</v>
      </c>
      <c r="E391" s="18" t="s">
        <v>214</v>
      </c>
      <c r="F391" s="18">
        <v>0</v>
      </c>
      <c r="G391" s="18">
        <v>0</v>
      </c>
      <c r="H391" s="18">
        <v>0</v>
      </c>
      <c r="I391" s="18">
        <v>0</v>
      </c>
    </row>
    <row r="392" spans="1:9" x14ac:dyDescent="0.35">
      <c r="A392" s="14" t="s">
        <v>211</v>
      </c>
      <c r="B392" s="18">
        <v>0</v>
      </c>
      <c r="C392" s="18" t="s">
        <v>214</v>
      </c>
      <c r="D392" s="18" t="s">
        <v>214</v>
      </c>
      <c r="E392" s="18" t="s">
        <v>214</v>
      </c>
      <c r="F392" s="18">
        <v>0</v>
      </c>
      <c r="G392" s="18">
        <v>0</v>
      </c>
      <c r="H392" s="18">
        <v>0</v>
      </c>
      <c r="I392" s="18">
        <v>0</v>
      </c>
    </row>
    <row r="393" spans="1:9" x14ac:dyDescent="0.35">
      <c r="A393" s="14" t="s">
        <v>212</v>
      </c>
      <c r="B393" s="18">
        <v>0</v>
      </c>
      <c r="C393" s="18" t="s">
        <v>214</v>
      </c>
      <c r="D393" s="18" t="s">
        <v>214</v>
      </c>
      <c r="E393" s="18" t="s">
        <v>214</v>
      </c>
      <c r="F393" s="18">
        <v>0</v>
      </c>
      <c r="G393" s="18">
        <v>0</v>
      </c>
      <c r="H393" s="18">
        <v>0</v>
      </c>
      <c r="I393" s="18">
        <v>0</v>
      </c>
    </row>
    <row r="394" spans="1:9" x14ac:dyDescent="0.35">
      <c r="A394" s="14" t="s">
        <v>203</v>
      </c>
      <c r="B394" s="18">
        <v>0</v>
      </c>
      <c r="C394" s="18" t="s">
        <v>214</v>
      </c>
      <c r="D394" s="18" t="s">
        <v>214</v>
      </c>
      <c r="E394" s="18" t="s">
        <v>214</v>
      </c>
      <c r="F394" s="18">
        <v>0</v>
      </c>
      <c r="G394" s="18">
        <v>0</v>
      </c>
      <c r="H394" s="18">
        <v>0</v>
      </c>
      <c r="I394" s="18">
        <v>0</v>
      </c>
    </row>
    <row r="395" spans="1:9" x14ac:dyDescent="0.35">
      <c r="A395" s="14" t="s">
        <v>204</v>
      </c>
      <c r="B395" s="18">
        <v>0</v>
      </c>
      <c r="C395" s="18" t="s">
        <v>214</v>
      </c>
      <c r="D395" s="18" t="s">
        <v>214</v>
      </c>
      <c r="E395" s="18" t="s">
        <v>214</v>
      </c>
      <c r="F395" s="18">
        <v>0</v>
      </c>
      <c r="G395" s="18">
        <v>0</v>
      </c>
      <c r="H395" s="18">
        <v>0</v>
      </c>
      <c r="I395" s="18">
        <v>0</v>
      </c>
    </row>
    <row r="396" spans="1:9" x14ac:dyDescent="0.35">
      <c r="A396" s="14" t="s">
        <v>213</v>
      </c>
      <c r="B396" s="1">
        <v>-27.491108291608949</v>
      </c>
      <c r="F396" s="1">
        <v>100</v>
      </c>
      <c r="G396" s="1">
        <v>-1.5876223103788261</v>
      </c>
      <c r="H396" s="1">
        <v>-1.3323307976845911</v>
      </c>
      <c r="I396" s="1">
        <v>-1.3323307976845911</v>
      </c>
    </row>
    <row r="398" spans="1:9" x14ac:dyDescent="0.35">
      <c r="A398" s="1" t="s">
        <v>215</v>
      </c>
    </row>
    <row r="400" spans="1:9" x14ac:dyDescent="0.35">
      <c r="B400" s="3" t="s">
        <v>216</v>
      </c>
    </row>
    <row r="401" spans="2:2" x14ac:dyDescent="0.35">
      <c r="B401" s="1" t="s">
        <v>217</v>
      </c>
    </row>
  </sheetData>
  <mergeCells count="21">
    <mergeCell ref="C323:F323"/>
    <mergeCell ref="C342:F342"/>
    <mergeCell ref="C360:F360"/>
    <mergeCell ref="C379:F379"/>
    <mergeCell ref="C230:F230"/>
    <mergeCell ref="C249:F249"/>
    <mergeCell ref="C268:F268"/>
    <mergeCell ref="C287:F287"/>
    <mergeCell ref="C305:F305"/>
    <mergeCell ref="C212:F212"/>
    <mergeCell ref="C4:F4"/>
    <mergeCell ref="C23:F23"/>
    <mergeCell ref="C42:F42"/>
    <mergeCell ref="C61:F61"/>
    <mergeCell ref="C80:F80"/>
    <mergeCell ref="C99:F99"/>
    <mergeCell ref="C118:F118"/>
    <mergeCell ref="C137:F137"/>
    <mergeCell ref="C155:F155"/>
    <mergeCell ref="C174:F174"/>
    <mergeCell ref="C193:F19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D73D-0CDB-47B4-A934-BEB86F8D69FE}">
  <sheetPr codeName="Sheet25">
    <tabColor theme="5" tint="0.59999389629810485"/>
  </sheetPr>
  <dimension ref="B1:C60"/>
  <sheetViews>
    <sheetView zoomScale="85" zoomScaleNormal="85" workbookViewId="0">
      <selection activeCell="C6" sqref="C6"/>
    </sheetView>
  </sheetViews>
  <sheetFormatPr defaultColWidth="9.453125" defaultRowHeight="14.5" x14ac:dyDescent="0.35"/>
  <cols>
    <col min="1" max="1" width="1.54296875" style="31" customWidth="1"/>
    <col min="2" max="2" width="76.81640625" style="8" customWidth="1"/>
    <col min="3" max="3" width="16.453125" style="31" customWidth="1"/>
    <col min="4" max="16384" width="9.453125" style="31"/>
  </cols>
  <sheetData>
    <row r="1" spans="2:3" ht="6.75" customHeight="1" thickBot="1" x14ac:dyDescent="0.4">
      <c r="B1" s="30"/>
    </row>
    <row r="2" spans="2:3" ht="41.25" customHeight="1" thickBot="1" x14ac:dyDescent="0.4">
      <c r="B2" s="55" t="s">
        <v>556</v>
      </c>
      <c r="C2" s="54" t="s">
        <v>469</v>
      </c>
    </row>
    <row r="3" spans="2:3" s="2" customFormat="1" ht="15" thickBot="1" x14ac:dyDescent="0.4">
      <c r="B3" s="29"/>
      <c r="C3" s="53"/>
    </row>
    <row r="4" spans="2:3" x14ac:dyDescent="0.35">
      <c r="B4" s="96" t="s">
        <v>139</v>
      </c>
      <c r="C4" s="98"/>
    </row>
    <row r="5" spans="2:3" x14ac:dyDescent="0.35">
      <c r="B5" s="163" t="s">
        <v>31</v>
      </c>
      <c r="C5" s="164"/>
    </row>
    <row r="6" spans="2:3" s="48" customFormat="1" x14ac:dyDescent="0.35">
      <c r="B6" s="49" t="s">
        <v>140</v>
      </c>
      <c r="C6" s="51" t="e">
        <f>'Romania (month)'!#REF!</f>
        <v>#REF!</v>
      </c>
    </row>
    <row r="7" spans="2:3" s="48" customFormat="1" x14ac:dyDescent="0.35">
      <c r="B7" s="49" t="s">
        <v>141</v>
      </c>
      <c r="C7" s="51" t="e">
        <f t="shared" ref="C7" si="0">C49</f>
        <v>#REF!</v>
      </c>
    </row>
    <row r="8" spans="2:3" x14ac:dyDescent="0.35">
      <c r="B8" s="28" t="s">
        <v>142</v>
      </c>
      <c r="C8" s="43" t="e">
        <f>'Romania (month)'!#REF!</f>
        <v>#REF!</v>
      </c>
    </row>
    <row r="9" spans="2:3" x14ac:dyDescent="0.35">
      <c r="B9" s="28" t="s">
        <v>143</v>
      </c>
      <c r="C9" s="43" t="e">
        <f>'Romania (month)'!#REF!</f>
        <v>#REF!</v>
      </c>
    </row>
    <row r="10" spans="2:3" x14ac:dyDescent="0.35">
      <c r="B10" s="28" t="s">
        <v>144</v>
      </c>
      <c r="C10" s="43" t="e">
        <f>'Romania (month)'!#REF!</f>
        <v>#REF!</v>
      </c>
    </row>
    <row r="11" spans="2:3" x14ac:dyDescent="0.35">
      <c r="B11" s="29"/>
      <c r="C11" s="53"/>
    </row>
    <row r="12" spans="2:3" x14ac:dyDescent="0.35">
      <c r="B12" s="90" t="s">
        <v>145</v>
      </c>
      <c r="C12" s="92"/>
    </row>
    <row r="13" spans="2:3" x14ac:dyDescent="0.35">
      <c r="B13" s="86" t="s">
        <v>63</v>
      </c>
      <c r="C13" s="88"/>
    </row>
    <row r="14" spans="2:3" x14ac:dyDescent="0.35">
      <c r="B14" s="28" t="s">
        <v>375</v>
      </c>
      <c r="C14" s="107" t="e">
        <f>'Romania (month)'!#REF!</f>
        <v>#REF!</v>
      </c>
    </row>
    <row r="15" spans="2:3" x14ac:dyDescent="0.35">
      <c r="B15" s="28" t="s">
        <v>376</v>
      </c>
      <c r="C15" s="51" t="e">
        <f t="shared" ref="C15" si="1">C50</f>
        <v>#REF!</v>
      </c>
    </row>
    <row r="16" spans="2:3" x14ac:dyDescent="0.35">
      <c r="B16" s="28" t="s">
        <v>377</v>
      </c>
      <c r="C16" s="43" t="e">
        <f>'Romania (month)'!#REF!</f>
        <v>#REF!</v>
      </c>
    </row>
    <row r="17" spans="2:3" x14ac:dyDescent="0.35">
      <c r="B17" s="28" t="s">
        <v>378</v>
      </c>
      <c r="C17" s="43" t="e">
        <f>'Romania (month)'!#REF!</f>
        <v>#REF!</v>
      </c>
    </row>
    <row r="18" spans="2:3" x14ac:dyDescent="0.35">
      <c r="B18" s="28" t="s">
        <v>379</v>
      </c>
      <c r="C18" s="43" t="e">
        <f>'Romania (month)'!#REF!</f>
        <v>#REF!</v>
      </c>
    </row>
    <row r="19" spans="2:3" x14ac:dyDescent="0.35">
      <c r="B19" s="27"/>
      <c r="C19" s="33"/>
    </row>
    <row r="20" spans="2:3" x14ac:dyDescent="0.35">
      <c r="B20" s="86" t="s">
        <v>64</v>
      </c>
      <c r="C20" s="88"/>
    </row>
    <row r="21" spans="2:3" x14ac:dyDescent="0.35">
      <c r="B21" s="28" t="s">
        <v>380</v>
      </c>
      <c r="C21" s="107" t="e">
        <f>'Romania (month)'!#REF!</f>
        <v>#REF!</v>
      </c>
    </row>
    <row r="22" spans="2:3" x14ac:dyDescent="0.35">
      <c r="B22" s="28" t="s">
        <v>381</v>
      </c>
      <c r="C22" s="51" t="e">
        <f t="shared" ref="C22" si="2">C51</f>
        <v>#REF!</v>
      </c>
    </row>
    <row r="23" spans="2:3" x14ac:dyDescent="0.35">
      <c r="B23" s="28" t="s">
        <v>382</v>
      </c>
      <c r="C23" s="43" t="e">
        <f>'Romania (month)'!#REF!</f>
        <v>#REF!</v>
      </c>
    </row>
    <row r="24" spans="2:3" x14ac:dyDescent="0.35">
      <c r="B24" s="28" t="s">
        <v>383</v>
      </c>
      <c r="C24" s="43" t="e">
        <f>'Romania (month)'!#REF!</f>
        <v>#REF!</v>
      </c>
    </row>
    <row r="25" spans="2:3" x14ac:dyDescent="0.35">
      <c r="B25" s="28" t="s">
        <v>384</v>
      </c>
      <c r="C25" s="43" t="e">
        <f>'Romania (month)'!#REF!</f>
        <v>#REF!</v>
      </c>
    </row>
    <row r="26" spans="2:3" x14ac:dyDescent="0.35">
      <c r="B26" s="27"/>
      <c r="C26" s="33"/>
    </row>
    <row r="27" spans="2:3" x14ac:dyDescent="0.35">
      <c r="B27" s="86" t="s">
        <v>65</v>
      </c>
      <c r="C27" s="88"/>
    </row>
    <row r="28" spans="2:3" x14ac:dyDescent="0.35">
      <c r="B28" s="28" t="s">
        <v>385</v>
      </c>
      <c r="C28" s="51" t="e">
        <f>'Romania (month)'!#REF!</f>
        <v>#REF!</v>
      </c>
    </row>
    <row r="29" spans="2:3" x14ac:dyDescent="0.35">
      <c r="B29" s="28" t="s">
        <v>386</v>
      </c>
      <c r="C29" s="51" t="e">
        <f>'Romania (quarter)'!C52</f>
        <v>#REF!</v>
      </c>
    </row>
    <row r="30" spans="2:3" x14ac:dyDescent="0.35">
      <c r="B30" s="28" t="s">
        <v>387</v>
      </c>
      <c r="C30" s="43" t="e">
        <f>'Romania (month)'!#REF!</f>
        <v>#REF!</v>
      </c>
    </row>
    <row r="31" spans="2:3" x14ac:dyDescent="0.35">
      <c r="B31" s="28" t="s">
        <v>388</v>
      </c>
      <c r="C31" s="43" t="e">
        <f>'Romania (month)'!#REF!</f>
        <v>#REF!</v>
      </c>
    </row>
    <row r="32" spans="2:3" x14ac:dyDescent="0.35">
      <c r="B32" s="28" t="s">
        <v>389</v>
      </c>
      <c r="C32" s="43" t="e">
        <f>'Romania (month)'!#REF!</f>
        <v>#REF!</v>
      </c>
    </row>
    <row r="33" spans="2:3" x14ac:dyDescent="0.35">
      <c r="B33" s="27"/>
      <c r="C33" s="33"/>
    </row>
    <row r="34" spans="2:3" x14ac:dyDescent="0.35">
      <c r="B34" s="86" t="s">
        <v>52</v>
      </c>
      <c r="C34" s="88"/>
    </row>
    <row r="35" spans="2:3" x14ac:dyDescent="0.35">
      <c r="B35" s="28" t="s">
        <v>308</v>
      </c>
      <c r="C35" s="51" t="e">
        <f>'Romania (month)'!#REF!</f>
        <v>#REF!</v>
      </c>
    </row>
    <row r="36" spans="2:3" x14ac:dyDescent="0.35">
      <c r="B36" s="28" t="s">
        <v>390</v>
      </c>
      <c r="C36" s="51" t="e">
        <f t="shared" ref="C36" si="3">C53</f>
        <v>#REF!</v>
      </c>
    </row>
    <row r="37" spans="2:3" x14ac:dyDescent="0.35">
      <c r="B37" s="28" t="s">
        <v>309</v>
      </c>
      <c r="C37" s="43" t="e">
        <f>'Romania (month)'!#REF!</f>
        <v>#REF!</v>
      </c>
    </row>
    <row r="38" spans="2:3" x14ac:dyDescent="0.35">
      <c r="B38" s="28" t="s">
        <v>310</v>
      </c>
      <c r="C38" s="43" t="e">
        <f>'Romania (month)'!#REF!</f>
        <v>#REF!</v>
      </c>
    </row>
    <row r="39" spans="2:3" x14ac:dyDescent="0.35">
      <c r="B39" s="28" t="s">
        <v>311</v>
      </c>
      <c r="C39" s="43" t="e">
        <f>'Romania (month)'!#REF!</f>
        <v>#REF!</v>
      </c>
    </row>
    <row r="40" spans="2:3" x14ac:dyDescent="0.35">
      <c r="B40" s="27"/>
      <c r="C40" s="33"/>
    </row>
    <row r="41" spans="2:3" x14ac:dyDescent="0.35">
      <c r="B41" s="93" t="s">
        <v>167</v>
      </c>
      <c r="C41" s="95"/>
    </row>
    <row r="42" spans="2:3" x14ac:dyDescent="0.35">
      <c r="B42" s="28" t="s">
        <v>25</v>
      </c>
      <c r="C42" s="51" t="e">
        <f t="shared" ref="C42" si="4">C6</f>
        <v>#REF!</v>
      </c>
    </row>
    <row r="43" spans="2:3" x14ac:dyDescent="0.35">
      <c r="B43" s="28" t="s">
        <v>63</v>
      </c>
      <c r="C43" s="51" t="e">
        <f t="shared" ref="C43" si="5">C14</f>
        <v>#REF!</v>
      </c>
    </row>
    <row r="44" spans="2:3" x14ac:dyDescent="0.35">
      <c r="B44" s="28" t="s">
        <v>64</v>
      </c>
      <c r="C44" s="51" t="e">
        <f t="shared" ref="C44" si="6">C21</f>
        <v>#REF!</v>
      </c>
    </row>
    <row r="45" spans="2:3" x14ac:dyDescent="0.35">
      <c r="B45" s="28" t="s">
        <v>65</v>
      </c>
      <c r="C45" s="51" t="e">
        <f t="shared" ref="C45" si="7">C28</f>
        <v>#REF!</v>
      </c>
    </row>
    <row r="46" spans="2:3" x14ac:dyDescent="0.35">
      <c r="B46" s="28" t="s">
        <v>52</v>
      </c>
      <c r="C46" s="51" t="e">
        <f t="shared" ref="C46" si="8">C35</f>
        <v>#REF!</v>
      </c>
    </row>
    <row r="47" spans="2:3" x14ac:dyDescent="0.35">
      <c r="B47" s="58"/>
      <c r="C47" s="33"/>
    </row>
    <row r="48" spans="2:3" x14ac:dyDescent="0.35">
      <c r="B48" s="93" t="s">
        <v>168</v>
      </c>
      <c r="C48" s="95"/>
    </row>
    <row r="49" spans="2:3" x14ac:dyDescent="0.35">
      <c r="B49" s="28" t="s">
        <v>25</v>
      </c>
      <c r="C49" s="51" t="e">
        <f t="shared" ref="C49" si="9">RANK(C42,C$42:C$46,0)</f>
        <v>#REF!</v>
      </c>
    </row>
    <row r="50" spans="2:3" x14ac:dyDescent="0.35">
      <c r="B50" s="28" t="s">
        <v>63</v>
      </c>
      <c r="C50" s="51" t="e">
        <f t="shared" ref="C50" si="10">RANK(C43,C$42:C$46,0)</f>
        <v>#REF!</v>
      </c>
    </row>
    <row r="51" spans="2:3" x14ac:dyDescent="0.35">
      <c r="B51" s="28" t="s">
        <v>64</v>
      </c>
      <c r="C51" s="51" t="e">
        <f t="shared" ref="C51" si="11">RANK(C44,C$42:C$46,0)</f>
        <v>#REF!</v>
      </c>
    </row>
    <row r="52" spans="2:3" x14ac:dyDescent="0.35">
      <c r="B52" s="28" t="s">
        <v>65</v>
      </c>
      <c r="C52" s="51" t="e">
        <f t="shared" ref="C52" si="12">RANK(C45,C$42:C$46,0)</f>
        <v>#REF!</v>
      </c>
    </row>
    <row r="53" spans="2:3" x14ac:dyDescent="0.35">
      <c r="B53" s="28" t="s">
        <v>52</v>
      </c>
      <c r="C53" s="51" t="e">
        <f t="shared" ref="C53" si="13">RANK(C46,C$42:C$46,0)</f>
        <v>#REF!</v>
      </c>
    </row>
    <row r="54" spans="2:3" x14ac:dyDescent="0.35">
      <c r="B54" s="58"/>
      <c r="C54" s="33"/>
    </row>
    <row r="55" spans="2:3" x14ac:dyDescent="0.35">
      <c r="B55" s="93" t="s">
        <v>169</v>
      </c>
      <c r="C55" s="95"/>
    </row>
    <row r="56" spans="2:3" x14ac:dyDescent="0.35">
      <c r="B56" s="28" t="s">
        <v>25</v>
      </c>
      <c r="C56" s="51" t="e">
        <f>'Romania (month)'!#REF!</f>
        <v>#REF!</v>
      </c>
    </row>
    <row r="57" spans="2:3" x14ac:dyDescent="0.35">
      <c r="B57" s="28" t="s">
        <v>63</v>
      </c>
      <c r="C57" s="51" t="e">
        <f>'Romania (month)'!#REF!</f>
        <v>#REF!</v>
      </c>
    </row>
    <row r="58" spans="2:3" x14ac:dyDescent="0.35">
      <c r="B58" s="28" t="s">
        <v>64</v>
      </c>
      <c r="C58" s="51" t="e">
        <f>'Romania (month)'!#REF!</f>
        <v>#REF!</v>
      </c>
    </row>
    <row r="59" spans="2:3" x14ac:dyDescent="0.35">
      <c r="B59" s="28" t="s">
        <v>65</v>
      </c>
      <c r="C59" s="51" t="e">
        <f>'Romania (month)'!#REF!</f>
        <v>#REF!</v>
      </c>
    </row>
    <row r="60" spans="2:3" x14ac:dyDescent="0.35">
      <c r="B60" s="28" t="s">
        <v>52</v>
      </c>
      <c r="C60" s="51" t="e">
        <f>'Romania (month)'!#REF!</f>
        <v>#REF!</v>
      </c>
    </row>
  </sheetData>
  <phoneticPr fontId="5"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5707-17C5-4B96-B830-7E9692CEAF4C}">
  <sheetPr codeName="Sheet26">
    <tabColor theme="8" tint="0.59999389629810485"/>
  </sheetPr>
  <dimension ref="B1:E291"/>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31" customWidth="1"/>
    <col min="6" max="16384" width="9.453125" style="31"/>
  </cols>
  <sheetData>
    <row r="1" spans="2:5" ht="6.7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47" t="s">
        <v>22</v>
      </c>
      <c r="D5" s="47" t="s">
        <v>22</v>
      </c>
      <c r="E5" s="47" t="s">
        <v>22</v>
      </c>
    </row>
    <row r="6" spans="2:5" x14ac:dyDescent="0.35">
      <c r="B6" s="163"/>
      <c r="C6" s="40">
        <f>'Romania Crunch Output'!G21</f>
        <v>60.449886013896752</v>
      </c>
      <c r="D6" s="40">
        <f>'Romania Crunch Output'!H21</f>
        <v>58.925512905423723</v>
      </c>
      <c r="E6" s="40">
        <f>'Romania Crunch Output'!I21</f>
        <v>57.968879925363957</v>
      </c>
    </row>
    <row r="7" spans="2:5" x14ac:dyDescent="0.35">
      <c r="B7" s="41" t="s">
        <v>336</v>
      </c>
      <c r="C7" s="42">
        <f>'Romania Crunch Output'!G7</f>
        <v>0.67423050681145502</v>
      </c>
      <c r="D7" s="42">
        <f>'Romania Crunch Output'!H7</f>
        <v>0.65924451984431398</v>
      </c>
      <c r="E7" s="42">
        <f>'Romania Crunch Output'!I7</f>
        <v>0.65519396953264497</v>
      </c>
    </row>
    <row r="8" spans="2:5" x14ac:dyDescent="0.35">
      <c r="B8" s="41" t="s">
        <v>194</v>
      </c>
      <c r="C8" s="42">
        <f>'Romania Crunch Output'!G8</f>
        <v>0.25603784651605721</v>
      </c>
      <c r="D8" s="42">
        <f>'Romania Crunch Output'!H8</f>
        <v>0.27076608936560909</v>
      </c>
      <c r="E8" s="42">
        <f>'Romania Crunch Output'!I8</f>
        <v>0.26930086018834981</v>
      </c>
    </row>
    <row r="9" spans="2:5" x14ac:dyDescent="0.35">
      <c r="B9" s="41" t="s">
        <v>195</v>
      </c>
      <c r="C9" s="42">
        <f>'Romania Crunch Output'!G9</f>
        <v>6.9731646672487629E-2</v>
      </c>
      <c r="D9" s="42">
        <f>'Romania Crunch Output'!H9</f>
        <v>6.9989390790076891E-2</v>
      </c>
      <c r="E9" s="42">
        <f>'Romania Crunch Output'!I9</f>
        <v>7.5505170279005426E-2</v>
      </c>
    </row>
    <row r="10" spans="2:5" x14ac:dyDescent="0.35">
      <c r="B10" s="28" t="s">
        <v>196</v>
      </c>
      <c r="C10" s="43">
        <f>'Romania Crunch Output'!G10</f>
        <v>0.46464640332741353</v>
      </c>
      <c r="D10" s="43">
        <f>'Romania Crunch Output'!H10</f>
        <v>0.45663873305552949</v>
      </c>
      <c r="E10" s="43">
        <f>'Romania Crunch Output'!I10</f>
        <v>0.4467519920708819</v>
      </c>
    </row>
    <row r="11" spans="2:5" x14ac:dyDescent="0.35">
      <c r="B11" s="28" t="s">
        <v>197</v>
      </c>
      <c r="C11" s="43">
        <f>'Romania Crunch Output'!G11</f>
        <v>0.20958410348404161</v>
      </c>
      <c r="D11" s="43">
        <f>'Romania Crunch Output'!H11</f>
        <v>0.20260578678878449</v>
      </c>
      <c r="E11" s="43">
        <f>'Romania Crunch Output'!I11</f>
        <v>0.2084419774617631</v>
      </c>
    </row>
    <row r="12" spans="2:5" x14ac:dyDescent="0.35">
      <c r="B12" s="28" t="s">
        <v>198</v>
      </c>
      <c r="C12" s="43">
        <f>'Romania Crunch Output'!G12</f>
        <v>0.1805512157362576</v>
      </c>
      <c r="D12" s="43">
        <f>'Romania Crunch Output'!H12</f>
        <v>0.2061691401799858</v>
      </c>
      <c r="E12" s="43">
        <f>'Romania Crunch Output'!I12</f>
        <v>0.20572617447065711</v>
      </c>
    </row>
    <row r="13" spans="2:5" x14ac:dyDescent="0.35">
      <c r="B13" s="28" t="s">
        <v>199</v>
      </c>
      <c r="C13" s="43">
        <f>'Romania Crunch Output'!G13</f>
        <v>7.548663077979953E-2</v>
      </c>
      <c r="D13" s="43">
        <f>'Romania Crunch Output'!H13</f>
        <v>6.4596949185623254E-2</v>
      </c>
      <c r="E13" s="43">
        <f>'Romania Crunch Output'!I13</f>
        <v>6.3574685717692717E-2</v>
      </c>
    </row>
    <row r="14" spans="2:5" s="34" customFormat="1" x14ac:dyDescent="0.35">
      <c r="B14" s="28" t="s">
        <v>200</v>
      </c>
      <c r="C14" s="43">
        <f>'Romania Crunch Output'!G14</f>
        <v>8.943408341671925E-3</v>
      </c>
      <c r="D14" s="43">
        <f>'Romania Crunch Output'!H14</f>
        <v>1.2461053368398039E-2</v>
      </c>
      <c r="E14" s="43">
        <f>'Romania Crunch Output'!I14</f>
        <v>1.161275546181444E-2</v>
      </c>
    </row>
    <row r="15" spans="2:5" s="35" customFormat="1" x14ac:dyDescent="0.3">
      <c r="B15" s="44" t="s">
        <v>201</v>
      </c>
      <c r="C15" s="43">
        <f>'Romania Crunch Output'!G15</f>
        <v>3.0444900425093881E-2</v>
      </c>
      <c r="D15" s="43">
        <f>'Romania Crunch Output'!H15</f>
        <v>3.1562321498464073E-2</v>
      </c>
      <c r="E15" s="43">
        <f>'Romania Crunch Output'!I15</f>
        <v>3.4493207548398783E-2</v>
      </c>
    </row>
    <row r="16" spans="2:5" s="36" customFormat="1" x14ac:dyDescent="0.3">
      <c r="B16" s="44" t="s">
        <v>202</v>
      </c>
      <c r="C16" s="43">
        <f>'Romania Crunch Output'!G16</f>
        <v>8.818643439389557E-3</v>
      </c>
      <c r="D16" s="43">
        <f>'Romania Crunch Output'!H16</f>
        <v>7.5464682455110904E-3</v>
      </c>
      <c r="E16" s="43">
        <f>'Romania Crunch Output'!I16</f>
        <v>1.0577335172133349E-2</v>
      </c>
    </row>
    <row r="17" spans="2:5" s="36" customFormat="1" x14ac:dyDescent="0.3">
      <c r="B17" s="44">
        <v>3</v>
      </c>
      <c r="C17" s="43">
        <f>'Romania Crunch Output'!G17</f>
        <v>7.9002407216250577E-3</v>
      </c>
      <c r="D17" s="43">
        <f>'Romania Crunch Output'!H17</f>
        <v>6.7605540633769003E-3</v>
      </c>
      <c r="E17" s="43">
        <f>'Romania Crunch Output'!I17</f>
        <v>6.3003229986539032E-3</v>
      </c>
    </row>
    <row r="18" spans="2:5" s="36" customFormat="1" x14ac:dyDescent="0.3">
      <c r="B18" s="44">
        <v>2</v>
      </c>
      <c r="C18" s="43">
        <f>'Romania Crunch Output'!G18</f>
        <v>0</v>
      </c>
      <c r="D18" s="43">
        <f>'Romania Crunch Output'!H18</f>
        <v>0</v>
      </c>
      <c r="E18" s="43">
        <f>'Romania Crunch Output'!I18</f>
        <v>0</v>
      </c>
    </row>
    <row r="19" spans="2:5" s="36" customFormat="1" x14ac:dyDescent="0.3">
      <c r="B19" s="44" t="s">
        <v>203</v>
      </c>
      <c r="C19" s="43">
        <f>'Romania Crunch Output'!G19</f>
        <v>3.9568255580050083E-3</v>
      </c>
      <c r="D19" s="43">
        <f>'Romania Crunch Output'!H19</f>
        <v>3.3860149388893379E-3</v>
      </c>
      <c r="E19" s="43">
        <f>'Romania Crunch Output'!I19</f>
        <v>4.8117612126320651E-3</v>
      </c>
    </row>
    <row r="20" spans="2:5" s="36" customFormat="1" x14ac:dyDescent="0.3">
      <c r="B20" s="44" t="s">
        <v>204</v>
      </c>
      <c r="C20" s="43">
        <f>'Romania Crunch Output'!G20</f>
        <v>9.6676281867021981E-3</v>
      </c>
      <c r="D20" s="43">
        <f>'Romania Crunch Output'!H20</f>
        <v>8.2729786754374406E-3</v>
      </c>
      <c r="E20" s="43">
        <f>'Romania Crunch Output'!I20</f>
        <v>7.7097878853729087E-3</v>
      </c>
    </row>
    <row r="21" spans="2:5" s="36" customFormat="1" x14ac:dyDescent="0.3">
      <c r="B21" s="56" t="s">
        <v>24</v>
      </c>
      <c r="C21" s="60">
        <f>'Romania Crunch Output'!G6</f>
        <v>277</v>
      </c>
      <c r="D21" s="60">
        <f>'Romania Crunch Output'!H6</f>
        <v>318</v>
      </c>
      <c r="E21" s="60">
        <f>'Romania Crunch Output'!I6</f>
        <v>333</v>
      </c>
    </row>
    <row r="22" spans="2:5" x14ac:dyDescent="0.35">
      <c r="B22" s="44"/>
      <c r="C22" s="109"/>
      <c r="D22" s="109"/>
      <c r="E22" s="109"/>
    </row>
    <row r="23" spans="2:5" x14ac:dyDescent="0.35">
      <c r="B23" s="99" t="s">
        <v>63</v>
      </c>
      <c r="C23" s="39" t="s">
        <v>22</v>
      </c>
      <c r="D23" s="39" t="s">
        <v>22</v>
      </c>
      <c r="E23" s="39" t="s">
        <v>22</v>
      </c>
    </row>
    <row r="24" spans="2:5" x14ac:dyDescent="0.35">
      <c r="B24" s="100"/>
      <c r="C24" s="40">
        <f>'Romania Crunch Output'!G97</f>
        <v>61.048679258289823</v>
      </c>
      <c r="D24" s="40">
        <f>'Romania Crunch Output'!H97</f>
        <v>62.95051657665568</v>
      </c>
      <c r="E24" s="40">
        <f>'Romania Crunch Output'!I97</f>
        <v>61.950271960642567</v>
      </c>
    </row>
    <row r="25" spans="2:5" x14ac:dyDescent="0.35">
      <c r="B25" s="41" t="s">
        <v>336</v>
      </c>
      <c r="C25" s="42">
        <f>'Romania Crunch Output'!G83</f>
        <v>0.70664771727602338</v>
      </c>
      <c r="D25" s="42">
        <f>'Romania Crunch Output'!H83</f>
        <v>0.71667179263792824</v>
      </c>
      <c r="E25" s="42">
        <f>'Romania Crunch Output'!I83</f>
        <v>0.70235014221661352</v>
      </c>
    </row>
    <row r="26" spans="2:5" x14ac:dyDescent="0.35">
      <c r="B26" s="41" t="s">
        <v>194</v>
      </c>
      <c r="C26" s="42">
        <f>'Romania Crunch Output'!G84</f>
        <v>0.19719135803085089</v>
      </c>
      <c r="D26" s="42">
        <f>'Romania Crunch Output'!H84</f>
        <v>0.19616158049069979</v>
      </c>
      <c r="E26" s="42">
        <f>'Romania Crunch Output'!I84</f>
        <v>0.21480243517319819</v>
      </c>
    </row>
    <row r="27" spans="2:5" x14ac:dyDescent="0.35">
      <c r="B27" s="41" t="s">
        <v>195</v>
      </c>
      <c r="C27" s="42">
        <f>'Romania Crunch Output'!G85</f>
        <v>9.6160924693125441E-2</v>
      </c>
      <c r="D27" s="42">
        <f>'Romania Crunch Output'!H85</f>
        <v>8.7166626871371722E-2</v>
      </c>
      <c r="E27" s="42">
        <f>'Romania Crunch Output'!I85</f>
        <v>8.2847422610187987E-2</v>
      </c>
    </row>
    <row r="28" spans="2:5" x14ac:dyDescent="0.35">
      <c r="B28" s="28" t="s">
        <v>196</v>
      </c>
      <c r="C28" s="43">
        <f>'Romania Crunch Output'!G86</f>
        <v>0.49441150330576489</v>
      </c>
      <c r="D28" s="43">
        <f>'Romania Crunch Output'!H86</f>
        <v>0.51267097610681756</v>
      </c>
      <c r="E28" s="43">
        <f>'Romania Crunch Output'!I86</f>
        <v>0.51927489551064665</v>
      </c>
    </row>
    <row r="29" spans="2:5" x14ac:dyDescent="0.35">
      <c r="B29" s="28" t="s">
        <v>197</v>
      </c>
      <c r="C29" s="43">
        <f>'Romania Crunch Output'!G87</f>
        <v>0.21223621397025849</v>
      </c>
      <c r="D29" s="43">
        <f>'Romania Crunch Output'!H87</f>
        <v>0.20400081653111071</v>
      </c>
      <c r="E29" s="43">
        <f>'Romania Crunch Output'!I87</f>
        <v>0.18307524670596689</v>
      </c>
    </row>
    <row r="30" spans="2:5" x14ac:dyDescent="0.35">
      <c r="B30" s="28" t="s">
        <v>198</v>
      </c>
      <c r="C30" s="43">
        <f>'Romania Crunch Output'!G88</f>
        <v>0.1123336301610699</v>
      </c>
      <c r="D30" s="43">
        <f>'Romania Crunch Output'!H88</f>
        <v>0.1201376615045167</v>
      </c>
      <c r="E30" s="43">
        <f>'Romania Crunch Output'!I88</f>
        <v>0.1445916612455096</v>
      </c>
    </row>
    <row r="31" spans="2:5" x14ac:dyDescent="0.35">
      <c r="B31" s="28" t="s">
        <v>199</v>
      </c>
      <c r="C31" s="43">
        <f>'Romania Crunch Output'!G89</f>
        <v>8.4857727869781005E-2</v>
      </c>
      <c r="D31" s="43">
        <f>'Romania Crunch Output'!H89</f>
        <v>7.6023918986183131E-2</v>
      </c>
      <c r="E31" s="43">
        <f>'Romania Crunch Output'!I89</f>
        <v>7.0210773927688611E-2</v>
      </c>
    </row>
    <row r="32" spans="2:5" x14ac:dyDescent="0.35">
      <c r="B32" s="28" t="s">
        <v>200</v>
      </c>
      <c r="C32" s="43">
        <f>'Romania Crunch Output'!G90</f>
        <v>1.8115538506700599E-2</v>
      </c>
      <c r="D32" s="43">
        <f>'Romania Crunch Output'!H90</f>
        <v>1.8676727794411461E-2</v>
      </c>
      <c r="E32" s="43">
        <f>'Romania Crunch Output'!I90</f>
        <v>1.9813682013148301E-2</v>
      </c>
    </row>
    <row r="33" spans="2:5" x14ac:dyDescent="0.35">
      <c r="B33" s="44" t="s">
        <v>201</v>
      </c>
      <c r="C33" s="43">
        <f>'Romania Crunch Output'!G91</f>
        <v>4.0285353941744373E-2</v>
      </c>
      <c r="D33" s="43">
        <f>'Romania Crunch Output'!H91</f>
        <v>3.7429179235367253E-2</v>
      </c>
      <c r="E33" s="43">
        <f>'Romania Crunch Output'!I91</f>
        <v>3.4399450691729158E-2</v>
      </c>
    </row>
    <row r="34" spans="2:5" x14ac:dyDescent="0.35">
      <c r="B34" s="44" t="s">
        <v>202</v>
      </c>
      <c r="C34" s="43">
        <f>'Romania Crunch Output'!G92</f>
        <v>6.8906379473568664E-3</v>
      </c>
      <c r="D34" s="43">
        <f>'Romania Crunch Output'!H92</f>
        <v>5.6681141961379741E-3</v>
      </c>
      <c r="E34" s="43">
        <f>'Romania Crunch Output'!I92</f>
        <v>7.8047931656291666E-3</v>
      </c>
    </row>
    <row r="35" spans="2:5" x14ac:dyDescent="0.35">
      <c r="B35" s="44">
        <v>3</v>
      </c>
      <c r="C35" s="43">
        <f>'Romania Crunch Output'!G93</f>
        <v>1.5573869041393219E-2</v>
      </c>
      <c r="D35" s="43">
        <f>'Romania Crunch Output'!H93</f>
        <v>1.2810783105528739E-2</v>
      </c>
      <c r="E35" s="43">
        <f>'Romania Crunch Output'!I93</f>
        <v>1.0392131228301391E-2</v>
      </c>
    </row>
    <row r="36" spans="2:5" x14ac:dyDescent="0.35">
      <c r="B36" s="44">
        <v>2</v>
      </c>
      <c r="C36" s="43">
        <f>'Romania Crunch Output'!G94</f>
        <v>0</v>
      </c>
      <c r="D36" s="43">
        <f>'Romania Crunch Output'!H94</f>
        <v>0</v>
      </c>
      <c r="E36" s="43">
        <f>'Romania Crunch Output'!I94</f>
        <v>0</v>
      </c>
    </row>
    <row r="37" spans="2:5" x14ac:dyDescent="0.35">
      <c r="B37" s="44" t="s">
        <v>203</v>
      </c>
      <c r="C37" s="43">
        <f>'Romania Crunch Output'!G95</f>
        <v>3.2150004070061991E-3</v>
      </c>
      <c r="D37" s="43">
        <f>'Romania Crunch Output'!H95</f>
        <v>2.6446012091712401E-3</v>
      </c>
      <c r="E37" s="43">
        <f>'Romania Crunch Output'!I95</f>
        <v>2.4452980665941771E-3</v>
      </c>
    </row>
    <row r="38" spans="2:5" x14ac:dyDescent="0.35">
      <c r="B38" s="44" t="s">
        <v>204</v>
      </c>
      <c r="C38" s="43">
        <f>'Romania Crunch Output'!G96</f>
        <v>1.2080524848924201E-2</v>
      </c>
      <c r="D38" s="43">
        <f>'Romania Crunch Output'!H96</f>
        <v>9.9372213307550496E-3</v>
      </c>
      <c r="E38" s="43">
        <f>'Romania Crunch Output'!I96</f>
        <v>7.992067444785797E-3</v>
      </c>
    </row>
    <row r="39" spans="2:5" s="36" customFormat="1" x14ac:dyDescent="0.3">
      <c r="B39" s="56" t="s">
        <v>24</v>
      </c>
      <c r="C39" s="60">
        <f>'Romania Crunch Output'!G82</f>
        <v>281</v>
      </c>
      <c r="D39" s="60">
        <f>'Romania Crunch Output'!H82</f>
        <v>340</v>
      </c>
      <c r="E39" s="60">
        <f>'Romania Crunch Output'!I82</f>
        <v>362</v>
      </c>
    </row>
    <row r="40" spans="2:5" x14ac:dyDescent="0.35">
      <c r="B40" s="45"/>
      <c r="C40" s="33"/>
      <c r="D40" s="33"/>
      <c r="E40" s="33"/>
    </row>
    <row r="41" spans="2:5" x14ac:dyDescent="0.35">
      <c r="B41" s="99" t="s">
        <v>64</v>
      </c>
      <c r="C41" s="39" t="s">
        <v>22</v>
      </c>
      <c r="D41" s="39" t="s">
        <v>22</v>
      </c>
      <c r="E41" s="39" t="s">
        <v>22</v>
      </c>
    </row>
    <row r="42" spans="2:5" x14ac:dyDescent="0.35">
      <c r="B42" s="100"/>
      <c r="C42" s="40">
        <f>'Romania Crunch Output'!G40</f>
        <v>44.706074558775143</v>
      </c>
      <c r="D42" s="40">
        <f>'Romania Crunch Output'!H40</f>
        <v>47.617589545401387</v>
      </c>
      <c r="E42" s="40">
        <f>'Romania Crunch Output'!I40</f>
        <v>45.87166139914379</v>
      </c>
    </row>
    <row r="43" spans="2:5" x14ac:dyDescent="0.35">
      <c r="B43" s="41" t="s">
        <v>336</v>
      </c>
      <c r="C43" s="42">
        <f>'Romania Crunch Output'!G26</f>
        <v>0.5559848673054586</v>
      </c>
      <c r="D43" s="42">
        <f>'Romania Crunch Output'!H26</f>
        <v>0.57723159634850718</v>
      </c>
      <c r="E43" s="42">
        <f>'Romania Crunch Output'!I26</f>
        <v>0.55482351377344685</v>
      </c>
    </row>
    <row r="44" spans="2:5" x14ac:dyDescent="0.35">
      <c r="B44" s="41" t="s">
        <v>194</v>
      </c>
      <c r="C44" s="42">
        <f>'Romania Crunch Output'!G27</f>
        <v>0.33509101097683419</v>
      </c>
      <c r="D44" s="42">
        <f>'Romania Crunch Output'!H27</f>
        <v>0.32171270275699959</v>
      </c>
      <c r="E44" s="42">
        <f>'Romania Crunch Output'!I27</f>
        <v>0.349069586444544</v>
      </c>
    </row>
    <row r="45" spans="2:5" x14ac:dyDescent="0.35">
      <c r="B45" s="41" t="s">
        <v>195</v>
      </c>
      <c r="C45" s="42">
        <f>'Romania Crunch Output'!G28</f>
        <v>0.1089241217177071</v>
      </c>
      <c r="D45" s="42">
        <f>'Romania Crunch Output'!H28</f>
        <v>0.1010557008944932</v>
      </c>
      <c r="E45" s="42">
        <f>'Romania Crunch Output'!I28</f>
        <v>9.6106899782009036E-2</v>
      </c>
    </row>
    <row r="46" spans="2:5" x14ac:dyDescent="0.35">
      <c r="B46" s="28" t="s">
        <v>196</v>
      </c>
      <c r="C46" s="43">
        <f>'Romania Crunch Output'!G29</f>
        <v>0.33113379805292398</v>
      </c>
      <c r="D46" s="43">
        <f>'Romania Crunch Output'!H29</f>
        <v>0.35611102471263428</v>
      </c>
      <c r="E46" s="43">
        <f>'Romania Crunch Output'!I29</f>
        <v>0.35158636002300581</v>
      </c>
    </row>
    <row r="47" spans="2:5" x14ac:dyDescent="0.35">
      <c r="B47" s="28" t="s">
        <v>197</v>
      </c>
      <c r="C47" s="43">
        <f>'Romania Crunch Output'!G30</f>
        <v>0.22485106925253459</v>
      </c>
      <c r="D47" s="43">
        <f>'Romania Crunch Output'!H30</f>
        <v>0.22112057163587279</v>
      </c>
      <c r="E47" s="43">
        <f>'Romania Crunch Output'!I30</f>
        <v>0.20323715375044099</v>
      </c>
    </row>
    <row r="48" spans="2:5" x14ac:dyDescent="0.35">
      <c r="B48" s="28" t="s">
        <v>198</v>
      </c>
      <c r="C48" s="43">
        <f>'Romania Crunch Output'!G31</f>
        <v>0.2320986096300679</v>
      </c>
      <c r="D48" s="43">
        <f>'Romania Crunch Output'!H31</f>
        <v>0.22915008027762521</v>
      </c>
      <c r="E48" s="43">
        <f>'Romania Crunch Output'!I31</f>
        <v>0.25603591556439947</v>
      </c>
    </row>
    <row r="49" spans="2:5" x14ac:dyDescent="0.35">
      <c r="B49" s="28" t="s">
        <v>199</v>
      </c>
      <c r="C49" s="43">
        <f>'Romania Crunch Output'!G32</f>
        <v>0.10299240134676629</v>
      </c>
      <c r="D49" s="43">
        <f>'Romania Crunch Output'!H32</f>
        <v>9.2562622479374537E-2</v>
      </c>
      <c r="E49" s="43">
        <f>'Romania Crunch Output'!I32</f>
        <v>9.3033670880144526E-2</v>
      </c>
    </row>
    <row r="50" spans="2:5" x14ac:dyDescent="0.35">
      <c r="B50" s="28" t="s">
        <v>200</v>
      </c>
      <c r="C50" s="43">
        <f>'Romania Crunch Output'!G33</f>
        <v>4.559580255464387E-2</v>
      </c>
      <c r="D50" s="43">
        <f>'Romania Crunch Output'!H33</f>
        <v>3.9259101654978541E-2</v>
      </c>
      <c r="E50" s="43">
        <f>'Romania Crunch Output'!I33</f>
        <v>2.8170347129234899E-2</v>
      </c>
    </row>
    <row r="51" spans="2:5" x14ac:dyDescent="0.35">
      <c r="B51" s="44" t="s">
        <v>201</v>
      </c>
      <c r="C51" s="43">
        <f>'Romania Crunch Output'!G34</f>
        <v>2.2094155449836329E-2</v>
      </c>
      <c r="D51" s="43">
        <f>'Romania Crunch Output'!H34</f>
        <v>1.9023608450503729E-2</v>
      </c>
      <c r="E51" s="43">
        <f>'Romania Crunch Output'!I34</f>
        <v>2.8313502138711678E-2</v>
      </c>
    </row>
    <row r="52" spans="2:5" x14ac:dyDescent="0.35">
      <c r="B52" s="44" t="s">
        <v>202</v>
      </c>
      <c r="C52" s="43">
        <f>'Romania Crunch Output'!G35</f>
        <v>5.0695797470437379E-3</v>
      </c>
      <c r="D52" s="43">
        <f>'Romania Crunch Output'!H35</f>
        <v>4.3650322066091114E-3</v>
      </c>
      <c r="E52" s="43">
        <f>'Romania Crunch Output'!I35</f>
        <v>4.0022879573474316E-3</v>
      </c>
    </row>
    <row r="53" spans="2:5" x14ac:dyDescent="0.35">
      <c r="B53" s="44">
        <v>3</v>
      </c>
      <c r="C53" s="43">
        <f>'Romania Crunch Output'!G36</f>
        <v>1.331598864229592E-2</v>
      </c>
      <c r="D53" s="43">
        <f>'Romania Crunch Output'!H36</f>
        <v>1.1465392041688959E-2</v>
      </c>
      <c r="E53" s="43">
        <f>'Romania Crunch Output'!I36</f>
        <v>5.2106185985205727E-3</v>
      </c>
    </row>
    <row r="54" spans="2:5" x14ac:dyDescent="0.35">
      <c r="B54" s="44">
        <v>2</v>
      </c>
      <c r="C54" s="43">
        <f>'Romania Crunch Output'!G37</f>
        <v>6.5277482170126161E-3</v>
      </c>
      <c r="D54" s="43">
        <f>'Romania Crunch Output'!H37</f>
        <v>5.6205509382727618E-3</v>
      </c>
      <c r="E54" s="43">
        <f>'Romania Crunch Output'!I37</f>
        <v>1.086003705570442E-2</v>
      </c>
    </row>
    <row r="55" spans="2:5" x14ac:dyDescent="0.35">
      <c r="B55" s="44" t="s">
        <v>203</v>
      </c>
      <c r="C55" s="43">
        <f>'Romania Crunch Output'!G38</f>
        <v>0</v>
      </c>
      <c r="D55" s="43">
        <f>'Romania Crunch Output'!H38</f>
        <v>2.9867572949639439E-3</v>
      </c>
      <c r="E55" s="43">
        <f>'Romania Crunch Output'!I38</f>
        <v>2.738550871412677E-3</v>
      </c>
    </row>
    <row r="56" spans="2:5" x14ac:dyDescent="0.35">
      <c r="B56" s="44" t="s">
        <v>204</v>
      </c>
      <c r="C56" s="43">
        <f>'Romania Crunch Output'!G39</f>
        <v>1.6320847106874689E-2</v>
      </c>
      <c r="D56" s="43">
        <f>'Romania Crunch Output'!H39</f>
        <v>1.833525830747617E-2</v>
      </c>
      <c r="E56" s="43">
        <f>'Romania Crunch Output'!I39</f>
        <v>1.6811556031077361E-2</v>
      </c>
    </row>
    <row r="57" spans="2:5" s="36" customFormat="1" x14ac:dyDescent="0.3">
      <c r="B57" s="56" t="s">
        <v>24</v>
      </c>
      <c r="C57" s="60">
        <f>'Romania Crunch Output'!G25</f>
        <v>174</v>
      </c>
      <c r="D57" s="60">
        <f>'Romania Crunch Output'!H25</f>
        <v>203</v>
      </c>
      <c r="E57" s="60">
        <f>'Romania Crunch Output'!I25</f>
        <v>215</v>
      </c>
    </row>
    <row r="58" spans="2:5" x14ac:dyDescent="0.35">
      <c r="B58" s="27"/>
      <c r="C58" s="33"/>
      <c r="D58" s="33"/>
      <c r="E58" s="33"/>
    </row>
    <row r="59" spans="2:5" x14ac:dyDescent="0.35">
      <c r="B59" s="99" t="s">
        <v>65</v>
      </c>
      <c r="C59" s="39" t="s">
        <v>22</v>
      </c>
      <c r="D59" s="39" t="s">
        <v>22</v>
      </c>
      <c r="E59" s="39" t="s">
        <v>22</v>
      </c>
    </row>
    <row r="60" spans="2:5" x14ac:dyDescent="0.35">
      <c r="B60" s="100"/>
      <c r="C60" s="40" t="s">
        <v>43</v>
      </c>
      <c r="D60" s="40">
        <f>'Romania Crunch Output'!H59</f>
        <v>59.697775920254408</v>
      </c>
      <c r="E60" s="40">
        <f>'Romania Crunch Output'!I59</f>
        <v>59.002595588108548</v>
      </c>
    </row>
    <row r="61" spans="2:5" x14ac:dyDescent="0.35">
      <c r="B61" s="41" t="s">
        <v>336</v>
      </c>
      <c r="C61" s="42" t="s">
        <v>43</v>
      </c>
      <c r="D61" s="42">
        <f>'Romania Crunch Output'!H45</f>
        <v>0.64871106511592924</v>
      </c>
      <c r="E61" s="42">
        <f>'Romania Crunch Output'!I45</f>
        <v>0.63464749839461143</v>
      </c>
    </row>
    <row r="62" spans="2:5" x14ac:dyDescent="0.35">
      <c r="B62" s="41" t="s">
        <v>194</v>
      </c>
      <c r="C62" s="42" t="s">
        <v>43</v>
      </c>
      <c r="D62" s="42">
        <f>'Romania Crunch Output'!H46</f>
        <v>0.29955562897068561</v>
      </c>
      <c r="E62" s="42">
        <f>'Romania Crunch Output'!I46</f>
        <v>0.32073095909186272</v>
      </c>
    </row>
    <row r="63" spans="2:5" x14ac:dyDescent="0.35">
      <c r="B63" s="41" t="s">
        <v>195</v>
      </c>
      <c r="C63" s="42" t="s">
        <v>43</v>
      </c>
      <c r="D63" s="42">
        <f>'Romania Crunch Output'!H47</f>
        <v>5.1733305913385208E-2</v>
      </c>
      <c r="E63" s="42">
        <f>'Romania Crunch Output'!I47</f>
        <v>4.4621542513525903E-2</v>
      </c>
    </row>
    <row r="64" spans="2:5" x14ac:dyDescent="0.35">
      <c r="B64" s="28" t="s">
        <v>196</v>
      </c>
      <c r="C64" s="43" t="s">
        <v>43</v>
      </c>
      <c r="D64" s="43">
        <f>'Romania Crunch Output'!H48</f>
        <v>0.35026753853237902</v>
      </c>
      <c r="E64" s="43">
        <f>'Romania Crunch Output'!I48</f>
        <v>0.36483522971482812</v>
      </c>
    </row>
    <row r="65" spans="2:5" x14ac:dyDescent="0.35">
      <c r="B65" s="28" t="s">
        <v>197</v>
      </c>
      <c r="C65" s="43" t="s">
        <v>43</v>
      </c>
      <c r="D65" s="43">
        <f>'Romania Crunch Output'!H49</f>
        <v>0.29844352658355022</v>
      </c>
      <c r="E65" s="43">
        <f>'Romania Crunch Output'!I49</f>
        <v>0.26981226867978331</v>
      </c>
    </row>
    <row r="66" spans="2:5" x14ac:dyDescent="0.35">
      <c r="B66" s="28" t="s">
        <v>198</v>
      </c>
      <c r="C66" s="43" t="s">
        <v>43</v>
      </c>
      <c r="D66" s="43">
        <f>'Romania Crunch Output'!H50</f>
        <v>0.23556269682387829</v>
      </c>
      <c r="E66" s="43">
        <f>'Romania Crunch Output'!I50</f>
        <v>0.2496321359265469</v>
      </c>
    </row>
    <row r="67" spans="2:5" x14ac:dyDescent="0.35">
      <c r="B67" s="28" t="s">
        <v>199</v>
      </c>
      <c r="C67" s="43" t="s">
        <v>43</v>
      </c>
      <c r="D67" s="43">
        <f>'Romania Crunch Output'!H51</f>
        <v>6.3992932146807346E-2</v>
      </c>
      <c r="E67" s="43">
        <f>'Romania Crunch Output'!I51</f>
        <v>7.109882316531578E-2</v>
      </c>
    </row>
    <row r="68" spans="2:5" x14ac:dyDescent="0.35">
      <c r="B68" s="28" t="s">
        <v>200</v>
      </c>
      <c r="C68" s="43" t="s">
        <v>43</v>
      </c>
      <c r="D68" s="43">
        <f>'Romania Crunch Output'!H52</f>
        <v>1.273836511378537E-2</v>
      </c>
      <c r="E68" s="43">
        <f>'Romania Crunch Output'!I52</f>
        <v>1.0987225549228289E-2</v>
      </c>
    </row>
    <row r="69" spans="2:5" x14ac:dyDescent="0.35">
      <c r="B69" s="44" t="s">
        <v>201</v>
      </c>
      <c r="C69" s="43" t="s">
        <v>43</v>
      </c>
      <c r="D69" s="43">
        <f>'Romania Crunch Output'!H53</f>
        <v>5.4998820196265341E-3</v>
      </c>
      <c r="E69" s="43">
        <f>'Romania Crunch Output'!I53</f>
        <v>4.7438147442003141E-3</v>
      </c>
    </row>
    <row r="70" spans="2:5" x14ac:dyDescent="0.35">
      <c r="B70" s="44" t="s">
        <v>202</v>
      </c>
      <c r="C70" s="43" t="s">
        <v>43</v>
      </c>
      <c r="D70" s="43">
        <f>'Romania Crunch Output'!H54</f>
        <v>2.6904760209401739E-2</v>
      </c>
      <c r="E70" s="43">
        <f>'Romania Crunch Output'!I54</f>
        <v>2.3206170189665379E-2</v>
      </c>
    </row>
    <row r="71" spans="2:5" x14ac:dyDescent="0.35">
      <c r="B71" s="44">
        <v>3</v>
      </c>
      <c r="C71" s="43" t="s">
        <v>43</v>
      </c>
      <c r="D71" s="43">
        <f>'Romania Crunch Output'!H55</f>
        <v>0</v>
      </c>
      <c r="E71" s="43">
        <f>'Romania Crunch Output'!I55</f>
        <v>0</v>
      </c>
    </row>
    <row r="72" spans="2:5" x14ac:dyDescent="0.35">
      <c r="B72" s="44">
        <v>2</v>
      </c>
      <c r="C72" s="43" t="s">
        <v>43</v>
      </c>
      <c r="D72" s="43">
        <f>'Romania Crunch Output'!H56</f>
        <v>0</v>
      </c>
      <c r="E72" s="43">
        <f>'Romania Crunch Output'!I56</f>
        <v>0</v>
      </c>
    </row>
    <row r="73" spans="2:5" x14ac:dyDescent="0.35">
      <c r="B73" s="44" t="s">
        <v>203</v>
      </c>
      <c r="C73" s="43" t="s">
        <v>43</v>
      </c>
      <c r="D73" s="43">
        <f>'Romania Crunch Output'!H57</f>
        <v>0</v>
      </c>
      <c r="E73" s="43">
        <f>'Romania Crunch Output'!I57</f>
        <v>0</v>
      </c>
    </row>
    <row r="74" spans="2:5" x14ac:dyDescent="0.35">
      <c r="B74" s="44" t="s">
        <v>204</v>
      </c>
      <c r="C74" s="43" t="s">
        <v>43</v>
      </c>
      <c r="D74" s="43">
        <f>'Romania Crunch Output'!H58</f>
        <v>6.5902985705715688E-3</v>
      </c>
      <c r="E74" s="43">
        <f>'Romania Crunch Output'!I58</f>
        <v>5.6843320304319116E-3</v>
      </c>
    </row>
    <row r="75" spans="2:5" s="36" customFormat="1" x14ac:dyDescent="0.3">
      <c r="B75" s="56" t="s">
        <v>24</v>
      </c>
      <c r="C75" s="60">
        <f>'Romania Crunch Output'!G44</f>
        <v>89</v>
      </c>
      <c r="D75" s="60">
        <f>'Romania Crunch Output'!H44</f>
        <v>105</v>
      </c>
      <c r="E75" s="60">
        <f>'Romania Crunch Output'!I44</f>
        <v>117</v>
      </c>
    </row>
    <row r="76" spans="2:5" x14ac:dyDescent="0.35">
      <c r="B76" s="27"/>
      <c r="C76" s="33"/>
      <c r="D76" s="33"/>
      <c r="E76" s="33"/>
    </row>
    <row r="77" spans="2:5" x14ac:dyDescent="0.35">
      <c r="B77" s="99" t="s">
        <v>66</v>
      </c>
      <c r="C77" s="39" t="s">
        <v>22</v>
      </c>
      <c r="D77" s="39" t="s">
        <v>22</v>
      </c>
      <c r="E77" s="39" t="s">
        <v>22</v>
      </c>
    </row>
    <row r="78" spans="2:5" x14ac:dyDescent="0.35">
      <c r="B78" s="100"/>
      <c r="C78" s="40">
        <f>'Romania Crunch Output'!G78</f>
        <v>64.142722766759235</v>
      </c>
      <c r="D78" s="40">
        <f>'Romania Crunch Output'!H78</f>
        <v>64.276973325640654</v>
      </c>
      <c r="E78" s="40">
        <f>'Romania Crunch Output'!I78</f>
        <v>58.52331896344419</v>
      </c>
    </row>
    <row r="79" spans="2:5" x14ac:dyDescent="0.35">
      <c r="B79" s="41" t="s">
        <v>336</v>
      </c>
      <c r="C79" s="42">
        <f>'Romania Crunch Output'!G64</f>
        <v>0.71123715906699203</v>
      </c>
      <c r="D79" s="42">
        <f>'Romania Crunch Output'!H64</f>
        <v>0.70529791896856586</v>
      </c>
      <c r="E79" s="42">
        <f>'Romania Crunch Output'!I64</f>
        <v>0.66123414957197824</v>
      </c>
    </row>
    <row r="80" spans="2:5" x14ac:dyDescent="0.35">
      <c r="B80" s="41" t="s">
        <v>194</v>
      </c>
      <c r="C80" s="42">
        <f>'Romania Crunch Output'!G65</f>
        <v>0.2189529095336086</v>
      </c>
      <c r="D80" s="42">
        <f>'Romania Crunch Output'!H65</f>
        <v>0.23217389531927521</v>
      </c>
      <c r="E80" s="42">
        <f>'Romania Crunch Output'!I65</f>
        <v>0.26276489049048568</v>
      </c>
    </row>
    <row r="81" spans="2:5" x14ac:dyDescent="0.35">
      <c r="B81" s="41" t="s">
        <v>195</v>
      </c>
      <c r="C81" s="42">
        <f>'Romania Crunch Output'!G66</f>
        <v>6.9809931399399394E-2</v>
      </c>
      <c r="D81" s="42">
        <f>'Romania Crunch Output'!H66</f>
        <v>6.252818571215904E-2</v>
      </c>
      <c r="E81" s="42">
        <f>'Romania Crunch Output'!I66</f>
        <v>7.6000959937536222E-2</v>
      </c>
    </row>
    <row r="82" spans="2:5" x14ac:dyDescent="0.35">
      <c r="B82" s="28" t="s">
        <v>196</v>
      </c>
      <c r="C82" s="43">
        <f>'Romania Crunch Output'!G67</f>
        <v>0.48446763878020799</v>
      </c>
      <c r="D82" s="43">
        <f>'Romania Crunch Output'!H67</f>
        <v>0.48788996415555319</v>
      </c>
      <c r="E82" s="43">
        <f>'Romania Crunch Output'!I67</f>
        <v>0.44956237576432317</v>
      </c>
    </row>
    <row r="83" spans="2:5" x14ac:dyDescent="0.35">
      <c r="B83" s="28" t="s">
        <v>197</v>
      </c>
      <c r="C83" s="43">
        <f>'Romania Crunch Output'!G68</f>
        <v>0.22676952028678421</v>
      </c>
      <c r="D83" s="43">
        <f>'Romania Crunch Output'!H68</f>
        <v>0.2174079548130127</v>
      </c>
      <c r="E83" s="43">
        <f>'Romania Crunch Output'!I68</f>
        <v>0.21167177380765509</v>
      </c>
    </row>
    <row r="84" spans="2:5" x14ac:dyDescent="0.35">
      <c r="B84" s="28" t="s">
        <v>198</v>
      </c>
      <c r="C84" s="43">
        <f>'Romania Crunch Output'!G69</f>
        <v>0.1517193360809509</v>
      </c>
      <c r="D84" s="43">
        <f>'Romania Crunch Output'!H69</f>
        <v>0.1655857126647059</v>
      </c>
      <c r="E84" s="43">
        <f>'Romania Crunch Output'!I69</f>
        <v>0.17324314015940989</v>
      </c>
    </row>
    <row r="85" spans="2:5" x14ac:dyDescent="0.35">
      <c r="B85" s="28" t="s">
        <v>199</v>
      </c>
      <c r="C85" s="43">
        <f>'Romania Crunch Output'!G70</f>
        <v>6.7233573452657736E-2</v>
      </c>
      <c r="D85" s="43">
        <f>'Romania Crunch Output'!H70</f>
        <v>6.6588182654569325E-2</v>
      </c>
      <c r="E85" s="43">
        <f>'Romania Crunch Output'!I70</f>
        <v>8.9521750331075844E-2</v>
      </c>
    </row>
    <row r="86" spans="2:5" x14ac:dyDescent="0.35">
      <c r="B86" s="28" t="s">
        <v>200</v>
      </c>
      <c r="C86" s="43">
        <f>'Romania Crunch Output'!G71</f>
        <v>0</v>
      </c>
      <c r="D86" s="43">
        <f>'Romania Crunch Output'!H71</f>
        <v>5.1014273416011176E-3</v>
      </c>
      <c r="E86" s="43">
        <f>'Romania Crunch Output'!I71</f>
        <v>2.198959157655159E-2</v>
      </c>
    </row>
    <row r="87" spans="2:5" x14ac:dyDescent="0.35">
      <c r="B87" s="44" t="s">
        <v>201</v>
      </c>
      <c r="C87" s="43">
        <f>'Romania Crunch Output'!G72</f>
        <v>2.3593731174954821E-2</v>
      </c>
      <c r="D87" s="43">
        <f>'Romania Crunch Output'!H72</f>
        <v>1.940857800722157E-2</v>
      </c>
      <c r="E87" s="43">
        <f>'Romania Crunch Output'!I72</f>
        <v>3.3224526522852182E-2</v>
      </c>
    </row>
    <row r="88" spans="2:5" x14ac:dyDescent="0.35">
      <c r="B88" s="44" t="s">
        <v>202</v>
      </c>
      <c r="C88" s="43">
        <f>'Romania Crunch Output'!G73</f>
        <v>6.6082369698111324E-3</v>
      </c>
      <c r="D88" s="43">
        <f>'Romania Crunch Output'!H73</f>
        <v>5.4360406909667383E-3</v>
      </c>
      <c r="E88" s="43">
        <f>'Romania Crunch Output'!I73</f>
        <v>4.9494582114283691E-3</v>
      </c>
    </row>
    <row r="89" spans="2:5" x14ac:dyDescent="0.35">
      <c r="B89" s="44">
        <v>3</v>
      </c>
      <c r="C89" s="43">
        <f>'Romania Crunch Output'!G74</f>
        <v>1.3172852085364679E-2</v>
      </c>
      <c r="D89" s="43">
        <f>'Romania Crunch Output'!H74</f>
        <v>1.0836197351768859E-2</v>
      </c>
      <c r="E89" s="43">
        <f>'Romania Crunch Output'!I74</f>
        <v>9.8662443885850788E-3</v>
      </c>
    </row>
    <row r="90" spans="2:5" x14ac:dyDescent="0.35">
      <c r="B90" s="44">
        <v>2</v>
      </c>
      <c r="C90" s="43">
        <f>'Romania Crunch Output'!G75</f>
        <v>7.9723277537967936E-3</v>
      </c>
      <c r="D90" s="43">
        <f>'Romania Crunch Output'!H75</f>
        <v>6.5581634359279713E-3</v>
      </c>
      <c r="E90" s="43">
        <f>'Romania Crunch Output'!I75</f>
        <v>5.9711392381189953E-3</v>
      </c>
    </row>
    <row r="91" spans="2:5" x14ac:dyDescent="0.35">
      <c r="B91" s="44" t="s">
        <v>203</v>
      </c>
      <c r="C91" s="43">
        <f>'Romania Crunch Output'!G76</f>
        <v>0</v>
      </c>
      <c r="D91" s="43">
        <f>'Romania Crunch Output'!H76</f>
        <v>0</v>
      </c>
      <c r="E91" s="43">
        <f>'Romania Crunch Output'!I76</f>
        <v>0</v>
      </c>
    </row>
    <row r="92" spans="2:5" x14ac:dyDescent="0.35">
      <c r="B92" s="44" t="s">
        <v>204</v>
      </c>
      <c r="C92" s="43">
        <f>'Romania Crunch Output'!G77</f>
        <v>1.846278341547198E-2</v>
      </c>
      <c r="D92" s="43">
        <f>'Romania Crunch Output'!H77</f>
        <v>1.518777888467278E-2</v>
      </c>
      <c r="E92" s="43">
        <f>'Romania Crunch Output'!I77</f>
        <v>0</v>
      </c>
    </row>
    <row r="93" spans="2:5" s="36" customFormat="1" x14ac:dyDescent="0.3">
      <c r="B93" s="56" t="s">
        <v>24</v>
      </c>
      <c r="C93" s="60">
        <f>'Romania Crunch Output'!G63</f>
        <v>124</v>
      </c>
      <c r="D93" s="60">
        <f>'Romania Crunch Output'!H63</f>
        <v>149</v>
      </c>
      <c r="E93" s="60">
        <f>'Romania Crunch Output'!I63</f>
        <v>161</v>
      </c>
    </row>
    <row r="94" spans="2:5" x14ac:dyDescent="0.35">
      <c r="B94" s="27"/>
      <c r="C94" s="133"/>
      <c r="D94" s="133"/>
      <c r="E94" s="133"/>
    </row>
    <row r="95" spans="2:5" x14ac:dyDescent="0.35">
      <c r="B95" s="99" t="s">
        <v>120</v>
      </c>
      <c r="C95" s="39" t="s">
        <v>22</v>
      </c>
      <c r="D95" s="39" t="s">
        <v>22</v>
      </c>
      <c r="E95" s="39" t="s">
        <v>22</v>
      </c>
    </row>
    <row r="96" spans="2:5" x14ac:dyDescent="0.35">
      <c r="B96" s="100"/>
      <c r="C96" s="40" t="s">
        <v>43</v>
      </c>
      <c r="D96" s="40" t="s">
        <v>43</v>
      </c>
      <c r="E96" s="40" t="s">
        <v>43</v>
      </c>
    </row>
    <row r="97" spans="2:5" x14ac:dyDescent="0.35">
      <c r="B97" s="41" t="s">
        <v>336</v>
      </c>
      <c r="C97" s="42" t="s">
        <v>43</v>
      </c>
      <c r="D97" s="42" t="s">
        <v>43</v>
      </c>
      <c r="E97" s="42" t="s">
        <v>43</v>
      </c>
    </row>
    <row r="98" spans="2:5" x14ac:dyDescent="0.35">
      <c r="B98" s="41" t="s">
        <v>194</v>
      </c>
      <c r="C98" s="42" t="s">
        <v>43</v>
      </c>
      <c r="D98" s="42" t="s">
        <v>43</v>
      </c>
      <c r="E98" s="42" t="s">
        <v>43</v>
      </c>
    </row>
    <row r="99" spans="2:5" x14ac:dyDescent="0.35">
      <c r="B99" s="41" t="s">
        <v>195</v>
      </c>
      <c r="C99" s="42" t="s">
        <v>43</v>
      </c>
      <c r="D99" s="42" t="s">
        <v>43</v>
      </c>
      <c r="E99" s="42" t="s">
        <v>43</v>
      </c>
    </row>
    <row r="100" spans="2:5" x14ac:dyDescent="0.35">
      <c r="B100" s="28" t="s">
        <v>196</v>
      </c>
      <c r="C100" s="43" t="s">
        <v>43</v>
      </c>
      <c r="D100" s="43" t="s">
        <v>43</v>
      </c>
      <c r="E100" s="43" t="s">
        <v>43</v>
      </c>
    </row>
    <row r="101" spans="2:5" x14ac:dyDescent="0.35">
      <c r="B101" s="44">
        <v>9</v>
      </c>
      <c r="C101" s="43" t="s">
        <v>43</v>
      </c>
      <c r="D101" s="43" t="s">
        <v>43</v>
      </c>
      <c r="E101" s="43" t="s">
        <v>43</v>
      </c>
    </row>
    <row r="102" spans="2:5" x14ac:dyDescent="0.35">
      <c r="B102" s="44">
        <v>8</v>
      </c>
      <c r="C102" s="43" t="s">
        <v>43</v>
      </c>
      <c r="D102" s="43" t="s">
        <v>43</v>
      </c>
      <c r="E102" s="43" t="s">
        <v>43</v>
      </c>
    </row>
    <row r="103" spans="2:5" x14ac:dyDescent="0.35">
      <c r="B103" s="44">
        <v>7</v>
      </c>
      <c r="C103" s="43" t="s">
        <v>43</v>
      </c>
      <c r="D103" s="43" t="s">
        <v>43</v>
      </c>
      <c r="E103" s="43" t="s">
        <v>43</v>
      </c>
    </row>
    <row r="104" spans="2:5" x14ac:dyDescent="0.35">
      <c r="B104" s="44">
        <v>6</v>
      </c>
      <c r="C104" s="43" t="s">
        <v>43</v>
      </c>
      <c r="D104" s="43" t="s">
        <v>43</v>
      </c>
      <c r="E104" s="43" t="s">
        <v>43</v>
      </c>
    </row>
    <row r="105" spans="2:5" x14ac:dyDescent="0.35">
      <c r="B105" s="44">
        <v>5</v>
      </c>
      <c r="C105" s="43" t="s">
        <v>43</v>
      </c>
      <c r="D105" s="43" t="s">
        <v>43</v>
      </c>
      <c r="E105" s="43" t="s">
        <v>43</v>
      </c>
    </row>
    <row r="106" spans="2:5" x14ac:dyDescent="0.35">
      <c r="B106" s="44">
        <v>4</v>
      </c>
      <c r="C106" s="43" t="s">
        <v>43</v>
      </c>
      <c r="D106" s="43" t="s">
        <v>43</v>
      </c>
      <c r="E106" s="43" t="s">
        <v>43</v>
      </c>
    </row>
    <row r="107" spans="2:5" x14ac:dyDescent="0.35">
      <c r="B107" s="44">
        <v>3</v>
      </c>
      <c r="C107" s="43" t="s">
        <v>43</v>
      </c>
      <c r="D107" s="43" t="s">
        <v>43</v>
      </c>
      <c r="E107" s="43" t="s">
        <v>43</v>
      </c>
    </row>
    <row r="108" spans="2:5" x14ac:dyDescent="0.35">
      <c r="B108" s="44">
        <v>2</v>
      </c>
      <c r="C108" s="43" t="s">
        <v>43</v>
      </c>
      <c r="D108" s="43" t="s">
        <v>43</v>
      </c>
      <c r="E108" s="43" t="s">
        <v>43</v>
      </c>
    </row>
    <row r="109" spans="2:5" x14ac:dyDescent="0.35">
      <c r="B109" s="44">
        <v>1</v>
      </c>
      <c r="C109" s="43" t="s">
        <v>43</v>
      </c>
      <c r="D109" s="43" t="s">
        <v>43</v>
      </c>
      <c r="E109" s="43" t="s">
        <v>43</v>
      </c>
    </row>
    <row r="110" spans="2:5" x14ac:dyDescent="0.35">
      <c r="B110" s="44" t="s">
        <v>204</v>
      </c>
      <c r="C110" s="43" t="s">
        <v>43</v>
      </c>
      <c r="D110" s="43" t="s">
        <v>43</v>
      </c>
      <c r="E110" s="43" t="s">
        <v>43</v>
      </c>
    </row>
    <row r="111" spans="2:5" s="36" customFormat="1" x14ac:dyDescent="0.3">
      <c r="B111" s="56" t="s">
        <v>24</v>
      </c>
      <c r="C111" s="60">
        <f>'Romania Crunch Output'!G101</f>
        <v>6</v>
      </c>
      <c r="D111" s="60">
        <f>'Romania Crunch Output'!H101</f>
        <v>7</v>
      </c>
      <c r="E111" s="60">
        <f>'Romania Crunch Output'!I101</f>
        <v>11</v>
      </c>
    </row>
    <row r="112" spans="2:5" x14ac:dyDescent="0.35">
      <c r="B112" s="27"/>
      <c r="C112" s="33"/>
      <c r="D112" s="33"/>
      <c r="E112" s="33"/>
    </row>
    <row r="113" spans="2:5" x14ac:dyDescent="0.35">
      <c r="B113" s="99" t="s">
        <v>121</v>
      </c>
      <c r="C113" s="39" t="s">
        <v>22</v>
      </c>
      <c r="D113" s="39" t="s">
        <v>22</v>
      </c>
      <c r="E113" s="39" t="s">
        <v>22</v>
      </c>
    </row>
    <row r="114" spans="2:5" x14ac:dyDescent="0.35">
      <c r="B114" s="100"/>
      <c r="C114" s="40" t="s">
        <v>43</v>
      </c>
      <c r="D114" s="40" t="s">
        <v>43</v>
      </c>
      <c r="E114" s="40" t="s">
        <v>43</v>
      </c>
    </row>
    <row r="115" spans="2:5" x14ac:dyDescent="0.35">
      <c r="B115" s="41" t="s">
        <v>336</v>
      </c>
      <c r="C115" s="42" t="s">
        <v>43</v>
      </c>
      <c r="D115" s="42" t="s">
        <v>43</v>
      </c>
      <c r="E115" s="42" t="s">
        <v>43</v>
      </c>
    </row>
    <row r="116" spans="2:5" x14ac:dyDescent="0.35">
      <c r="B116" s="41" t="s">
        <v>194</v>
      </c>
      <c r="C116" s="42" t="s">
        <v>43</v>
      </c>
      <c r="D116" s="42" t="s">
        <v>43</v>
      </c>
      <c r="E116" s="42" t="s">
        <v>43</v>
      </c>
    </row>
    <row r="117" spans="2:5" x14ac:dyDescent="0.35">
      <c r="B117" s="41" t="s">
        <v>195</v>
      </c>
      <c r="C117" s="42" t="s">
        <v>43</v>
      </c>
      <c r="D117" s="42" t="s">
        <v>43</v>
      </c>
      <c r="E117" s="42" t="s">
        <v>43</v>
      </c>
    </row>
    <row r="118" spans="2:5" x14ac:dyDescent="0.35">
      <c r="B118" s="28" t="s">
        <v>196</v>
      </c>
      <c r="C118" s="43" t="s">
        <v>43</v>
      </c>
      <c r="D118" s="43" t="s">
        <v>43</v>
      </c>
      <c r="E118" s="43" t="s">
        <v>43</v>
      </c>
    </row>
    <row r="119" spans="2:5" x14ac:dyDescent="0.35">
      <c r="B119" s="44">
        <v>9</v>
      </c>
      <c r="C119" s="43" t="s">
        <v>43</v>
      </c>
      <c r="D119" s="43" t="s">
        <v>43</v>
      </c>
      <c r="E119" s="43" t="s">
        <v>43</v>
      </c>
    </row>
    <row r="120" spans="2:5" x14ac:dyDescent="0.35">
      <c r="B120" s="44">
        <v>8</v>
      </c>
      <c r="C120" s="43" t="s">
        <v>43</v>
      </c>
      <c r="D120" s="43" t="s">
        <v>43</v>
      </c>
      <c r="E120" s="43" t="s">
        <v>43</v>
      </c>
    </row>
    <row r="121" spans="2:5" x14ac:dyDescent="0.35">
      <c r="B121" s="44">
        <v>7</v>
      </c>
      <c r="C121" s="43" t="s">
        <v>43</v>
      </c>
      <c r="D121" s="43" t="s">
        <v>43</v>
      </c>
      <c r="E121" s="43" t="s">
        <v>43</v>
      </c>
    </row>
    <row r="122" spans="2:5" x14ac:dyDescent="0.35">
      <c r="B122" s="44">
        <v>6</v>
      </c>
      <c r="C122" s="43" t="s">
        <v>43</v>
      </c>
      <c r="D122" s="43" t="s">
        <v>43</v>
      </c>
      <c r="E122" s="43" t="s">
        <v>43</v>
      </c>
    </row>
    <row r="123" spans="2:5" x14ac:dyDescent="0.35">
      <c r="B123" s="44">
        <v>5</v>
      </c>
      <c r="C123" s="43" t="s">
        <v>43</v>
      </c>
      <c r="D123" s="43" t="s">
        <v>43</v>
      </c>
      <c r="E123" s="43" t="s">
        <v>43</v>
      </c>
    </row>
    <row r="124" spans="2:5" x14ac:dyDescent="0.35">
      <c r="B124" s="44">
        <v>4</v>
      </c>
      <c r="C124" s="43" t="s">
        <v>43</v>
      </c>
      <c r="D124" s="43" t="s">
        <v>43</v>
      </c>
      <c r="E124" s="43" t="s">
        <v>43</v>
      </c>
    </row>
    <row r="125" spans="2:5" x14ac:dyDescent="0.35">
      <c r="B125" s="44">
        <v>3</v>
      </c>
      <c r="C125" s="43" t="s">
        <v>43</v>
      </c>
      <c r="D125" s="43" t="s">
        <v>43</v>
      </c>
      <c r="E125" s="43" t="s">
        <v>43</v>
      </c>
    </row>
    <row r="126" spans="2:5" x14ac:dyDescent="0.35">
      <c r="B126" s="44">
        <v>2</v>
      </c>
      <c r="C126" s="43" t="s">
        <v>43</v>
      </c>
      <c r="D126" s="43" t="s">
        <v>43</v>
      </c>
      <c r="E126" s="43" t="s">
        <v>43</v>
      </c>
    </row>
    <row r="127" spans="2:5" x14ac:dyDescent="0.35">
      <c r="B127" s="44">
        <v>1</v>
      </c>
      <c r="C127" s="43" t="s">
        <v>43</v>
      </c>
      <c r="D127" s="43" t="s">
        <v>43</v>
      </c>
      <c r="E127" s="43" t="s">
        <v>43</v>
      </c>
    </row>
    <row r="128" spans="2:5" x14ac:dyDescent="0.35">
      <c r="B128" s="44" t="s">
        <v>204</v>
      </c>
      <c r="C128" s="43" t="s">
        <v>43</v>
      </c>
      <c r="D128" s="43" t="s">
        <v>43</v>
      </c>
      <c r="E128" s="43" t="s">
        <v>43</v>
      </c>
    </row>
    <row r="129" spans="2:5" s="36" customFormat="1" x14ac:dyDescent="0.3">
      <c r="B129" s="56" t="s">
        <v>24</v>
      </c>
      <c r="C129" s="60">
        <f>'Romania Crunch Output'!G174</f>
        <v>44</v>
      </c>
      <c r="D129" s="60">
        <f>'Romania Crunch Output'!H174</f>
        <v>47</v>
      </c>
      <c r="E129" s="60">
        <f>'Romania Crunch Output'!I174</f>
        <v>55</v>
      </c>
    </row>
    <row r="130" spans="2:5" x14ac:dyDescent="0.35">
      <c r="B130" s="27"/>
      <c r="C130" s="33"/>
      <c r="D130" s="33"/>
      <c r="E130" s="33"/>
    </row>
    <row r="131" spans="2:5" x14ac:dyDescent="0.35">
      <c r="B131" s="99" t="s">
        <v>391</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ht="14.5" customHeight="1"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'Romania Crunch Output'!G322</f>
        <v>7</v>
      </c>
      <c r="D147" s="60">
        <f>'Romania Crunch Output'!H322</f>
        <v>9</v>
      </c>
      <c r="E147" s="60">
        <f>'Romania Crunch Output'!I322</f>
        <v>12</v>
      </c>
    </row>
    <row r="148" spans="2:5" x14ac:dyDescent="0.35">
      <c r="B148" s="27"/>
      <c r="C148" s="33"/>
      <c r="D148" s="33"/>
      <c r="E148" s="33"/>
    </row>
    <row r="149" spans="2:5" x14ac:dyDescent="0.35">
      <c r="B149" s="99" t="s">
        <v>123</v>
      </c>
      <c r="C149" s="39" t="s">
        <v>22</v>
      </c>
      <c r="D149" s="39" t="s">
        <v>22</v>
      </c>
      <c r="E149" s="39" t="s">
        <v>22</v>
      </c>
    </row>
    <row r="150" spans="2:5" x14ac:dyDescent="0.35">
      <c r="B150" s="100"/>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'Romania Crunch Output'!G303</f>
        <v>9</v>
      </c>
      <c r="D165" s="60">
        <f>'Romania Crunch Output'!H303</f>
        <v>12</v>
      </c>
      <c r="E165" s="60">
        <f>'Romania Crunch Output'!I303</f>
        <v>14</v>
      </c>
    </row>
    <row r="166" spans="2:5" x14ac:dyDescent="0.35">
      <c r="B166" s="27"/>
      <c r="C166" s="33"/>
      <c r="D166" s="33"/>
      <c r="E166" s="33"/>
    </row>
    <row r="167" spans="2:5" x14ac:dyDescent="0.35">
      <c r="B167" s="99" t="s">
        <v>105</v>
      </c>
      <c r="C167" s="39" t="s">
        <v>22</v>
      </c>
      <c r="D167" s="39" t="s">
        <v>22</v>
      </c>
      <c r="E167" s="39" t="s">
        <v>22</v>
      </c>
    </row>
    <row r="168" spans="2:5" x14ac:dyDescent="0.35">
      <c r="B168" s="100"/>
      <c r="C168" s="40">
        <f>'Romania Crunch Output'!G356</f>
        <v>63.404011239427597</v>
      </c>
      <c r="D168" s="40">
        <f>'Romania Crunch Output'!H356</f>
        <v>62.933736263561528</v>
      </c>
      <c r="E168" s="40">
        <f>'Romania Crunch Output'!I356</f>
        <v>67.829401302082303</v>
      </c>
    </row>
    <row r="169" spans="2:5" x14ac:dyDescent="0.35">
      <c r="B169" s="41" t="s">
        <v>336</v>
      </c>
      <c r="C169" s="42">
        <f>'Romania Crunch Output'!G342</f>
        <v>0.71069202531040665</v>
      </c>
      <c r="D169" s="42">
        <f>'Romania Crunch Output'!H342</f>
        <v>0.71015124011293407</v>
      </c>
      <c r="E169" s="42">
        <f>'Romania Crunch Output'!I342</f>
        <v>0.75258792652047612</v>
      </c>
    </row>
    <row r="170" spans="2:5" x14ac:dyDescent="0.35">
      <c r="B170" s="41" t="s">
        <v>194</v>
      </c>
      <c r="C170" s="42">
        <f>'Romania Crunch Output'!G343</f>
        <v>0.21265606177346219</v>
      </c>
      <c r="D170" s="42">
        <f>'Romania Crunch Output'!H343</f>
        <v>0.2090348824097473</v>
      </c>
      <c r="E170" s="42">
        <f>'Romania Crunch Output'!I343</f>
        <v>0.17311815997987079</v>
      </c>
    </row>
    <row r="171" spans="2:5" x14ac:dyDescent="0.35">
      <c r="B171" s="41" t="s">
        <v>195</v>
      </c>
      <c r="C171" s="42">
        <f>'Romania Crunch Output'!G344</f>
        <v>7.6651912916130882E-2</v>
      </c>
      <c r="D171" s="42">
        <f>'Romania Crunch Output'!H344</f>
        <v>8.0813877477318746E-2</v>
      </c>
      <c r="E171" s="42">
        <f>'Romania Crunch Output'!I344</f>
        <v>7.4293913499653086E-2</v>
      </c>
    </row>
    <row r="172" spans="2:5" x14ac:dyDescent="0.35">
      <c r="B172" s="28" t="s">
        <v>196</v>
      </c>
      <c r="C172" s="43">
        <f>'Romania Crunch Output'!G345</f>
        <v>0.4831411185644921</v>
      </c>
      <c r="D172" s="43">
        <f>'Romania Crunch Output'!H345</f>
        <v>0.49462704187602119</v>
      </c>
      <c r="E172" s="43">
        <f>'Romania Crunch Output'!I345</f>
        <v>0.51405492764547511</v>
      </c>
    </row>
    <row r="173" spans="2:5" x14ac:dyDescent="0.35">
      <c r="B173" s="44">
        <v>9</v>
      </c>
      <c r="C173" s="43">
        <f>'Romania Crunch Output'!G346</f>
        <v>0.22755090674591449</v>
      </c>
      <c r="D173" s="43">
        <f>'Romania Crunch Output'!H346</f>
        <v>0.21552419823691291</v>
      </c>
      <c r="E173" s="43">
        <f>'Romania Crunch Output'!I346</f>
        <v>0.2385329988750009</v>
      </c>
    </row>
    <row r="174" spans="2:5" x14ac:dyDescent="0.35">
      <c r="B174" s="44">
        <v>8</v>
      </c>
      <c r="C174" s="43">
        <f>'Romania Crunch Output'!G347</f>
        <v>0.16571316632382679</v>
      </c>
      <c r="D174" s="43">
        <f>'Romania Crunch Output'!H347</f>
        <v>0.15996745545888269</v>
      </c>
      <c r="E174" s="43">
        <f>'Romania Crunch Output'!I347</f>
        <v>0.13802182038832159</v>
      </c>
    </row>
    <row r="175" spans="2:5" x14ac:dyDescent="0.35">
      <c r="B175" s="44">
        <v>7</v>
      </c>
      <c r="C175" s="43">
        <f>'Romania Crunch Output'!G348</f>
        <v>4.6942895449635431E-2</v>
      </c>
      <c r="D175" s="43">
        <f>'Romania Crunch Output'!H348</f>
        <v>4.9067426950864593E-2</v>
      </c>
      <c r="E175" s="43">
        <f>'Romania Crunch Output'!I348</f>
        <v>3.50963395915493E-2</v>
      </c>
    </row>
    <row r="176" spans="2:5" x14ac:dyDescent="0.35">
      <c r="B176" s="44">
        <v>6</v>
      </c>
      <c r="C176" s="43">
        <f>'Romania Crunch Output'!G349</f>
        <v>3.091930853536615E-2</v>
      </c>
      <c r="D176" s="43">
        <f>'Romania Crunch Output'!H349</f>
        <v>3.1599905843000077E-2</v>
      </c>
      <c r="E176" s="43">
        <f>'Romania Crunch Output'!I349</f>
        <v>3.0083424468090911E-2</v>
      </c>
    </row>
    <row r="177" spans="2:5" x14ac:dyDescent="0.35">
      <c r="B177" s="44">
        <v>5</v>
      </c>
      <c r="C177" s="43">
        <f>'Romania Crunch Output'!G350</f>
        <v>1.8187242857995011E-2</v>
      </c>
      <c r="D177" s="43">
        <f>'Romania Crunch Output'!H350</f>
        <v>2.1740658400142159E-2</v>
      </c>
      <c r="E177" s="43">
        <f>'Romania Crunch Output'!I350</f>
        <v>2.3428695070173769E-2</v>
      </c>
    </row>
    <row r="178" spans="2:5" x14ac:dyDescent="0.35">
      <c r="B178" s="44">
        <v>4</v>
      </c>
      <c r="C178" s="43">
        <f>'Romania Crunch Output'!G351</f>
        <v>2.093446358268281E-3</v>
      </c>
      <c r="D178" s="43">
        <f>'Romania Crunch Output'!H351</f>
        <v>3.8639633536284379E-3</v>
      </c>
      <c r="E178" s="43">
        <f>'Romania Crunch Output'!I351</f>
        <v>3.6785315207545719E-3</v>
      </c>
    </row>
    <row r="179" spans="2:5" x14ac:dyDescent="0.35">
      <c r="B179" s="44">
        <v>3</v>
      </c>
      <c r="C179" s="43">
        <f>'Romania Crunch Output'!G352</f>
        <v>8.4240839215852202E-3</v>
      </c>
      <c r="D179" s="43">
        <f>'Romania Crunch Output'!H352</f>
        <v>7.089976268153139E-3</v>
      </c>
      <c r="E179" s="43">
        <f>'Romania Crunch Output'!I352</f>
        <v>3.748565346287537E-3</v>
      </c>
    </row>
    <row r="180" spans="2:5" x14ac:dyDescent="0.35">
      <c r="B180" s="44">
        <v>2</v>
      </c>
      <c r="C180" s="43">
        <f>'Romania Crunch Output'!G353</f>
        <v>4.6160949544935556E-3</v>
      </c>
      <c r="D180" s="43">
        <f>'Romania Crunch Output'!H353</f>
        <v>6.0732626108164376E-3</v>
      </c>
      <c r="E180" s="43">
        <f>'Romania Crunch Output'!I353</f>
        <v>7.9209122896332484E-3</v>
      </c>
    </row>
    <row r="181" spans="2:5" x14ac:dyDescent="0.35">
      <c r="B181" s="44">
        <v>1</v>
      </c>
      <c r="C181" s="43">
        <f>'Romania Crunch Output'!G354</f>
        <v>3.8103318598853241E-3</v>
      </c>
      <c r="D181" s="43">
        <f>'Romania Crunch Output'!H354</f>
        <v>3.206896169582688E-3</v>
      </c>
      <c r="E181" s="43">
        <f>'Romania Crunch Output'!I354</f>
        <v>3.052997030243418E-3</v>
      </c>
    </row>
    <row r="182" spans="2:5" x14ac:dyDescent="0.35">
      <c r="B182" s="44" t="s">
        <v>204</v>
      </c>
      <c r="C182" s="43">
        <f>'Romania Crunch Output'!G355</f>
        <v>8.6014044285373462E-3</v>
      </c>
      <c r="D182" s="43">
        <f>'Romania Crunch Output'!H355</f>
        <v>7.2392148319958029E-3</v>
      </c>
      <c r="E182" s="43">
        <f>'Romania Crunch Output'!I355</f>
        <v>2.380787774469627E-3</v>
      </c>
    </row>
    <row r="183" spans="2:5" s="36" customFormat="1" x14ac:dyDescent="0.3">
      <c r="B183" s="56" t="s">
        <v>24</v>
      </c>
      <c r="C183" s="60">
        <f>'Romania Crunch Output'!G341</f>
        <v>294</v>
      </c>
      <c r="D183" s="60">
        <f>'Romania Crunch Output'!H341</f>
        <v>348</v>
      </c>
      <c r="E183" s="60">
        <f>'Romania Crunch Output'!I341</f>
        <v>361</v>
      </c>
    </row>
    <row r="184" spans="2:5" x14ac:dyDescent="0.35">
      <c r="B184" s="27"/>
      <c r="C184" s="33"/>
      <c r="D184" s="33"/>
      <c r="E184" s="33"/>
    </row>
    <row r="185" spans="2:5" x14ac:dyDescent="0.35">
      <c r="B185" s="99" t="s">
        <v>125</v>
      </c>
      <c r="C185" s="39" t="s">
        <v>22</v>
      </c>
      <c r="D185" s="39" t="s">
        <v>22</v>
      </c>
      <c r="E185" s="39" t="s">
        <v>22</v>
      </c>
    </row>
    <row r="186" spans="2:5" x14ac:dyDescent="0.35">
      <c r="B186" s="100"/>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ht="15" thickBot="1" x14ac:dyDescent="0.35">
      <c r="B201" s="57" t="s">
        <v>24</v>
      </c>
      <c r="C201" s="61">
        <f>'Romania Crunch Output'!G247</f>
        <v>37</v>
      </c>
      <c r="D201" s="61">
        <f>'Romania Crunch Output'!H247</f>
        <v>40</v>
      </c>
      <c r="E201" s="61">
        <f>'Romania Crunch Output'!I247</f>
        <v>43</v>
      </c>
    </row>
    <row r="203" spans="2:5" x14ac:dyDescent="0.35">
      <c r="B203" s="99" t="s">
        <v>457</v>
      </c>
      <c r="C203" s="39" t="s">
        <v>22</v>
      </c>
      <c r="D203" s="39" t="s">
        <v>22</v>
      </c>
      <c r="E203" s="39" t="s">
        <v>22</v>
      </c>
    </row>
    <row r="204" spans="2:5" x14ac:dyDescent="0.35">
      <c r="B204" s="100"/>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x14ac:dyDescent="0.35">
      <c r="B217" s="44">
        <v>1</v>
      </c>
      <c r="C217" s="43" t="s">
        <v>43</v>
      </c>
      <c r="D217" s="43" t="s">
        <v>43</v>
      </c>
      <c r="E217" s="43" t="s">
        <v>43</v>
      </c>
    </row>
    <row r="218" spans="2:5" x14ac:dyDescent="0.35">
      <c r="B218" s="44" t="s">
        <v>204</v>
      </c>
      <c r="C218" s="43" t="s">
        <v>43</v>
      </c>
      <c r="D218" s="43" t="s">
        <v>43</v>
      </c>
      <c r="E218" s="43" t="s">
        <v>43</v>
      </c>
    </row>
    <row r="219" spans="2:5" s="36" customFormat="1" ht="15" thickBot="1" x14ac:dyDescent="0.35">
      <c r="B219" s="57" t="s">
        <v>24</v>
      </c>
      <c r="C219" s="61">
        <f>'Romania Crunch Output'!G360</f>
        <v>40</v>
      </c>
      <c r="D219" s="61">
        <f>'Romania Crunch Output'!H360</f>
        <v>48</v>
      </c>
      <c r="E219" s="61">
        <f>'Romania Crunch Output'!I360</f>
        <v>52</v>
      </c>
    </row>
    <row r="221" spans="2:5" x14ac:dyDescent="0.35">
      <c r="B221" s="99" t="s">
        <v>627</v>
      </c>
      <c r="C221" s="39" t="s">
        <v>22</v>
      </c>
      <c r="D221" s="39" t="s">
        <v>22</v>
      </c>
      <c r="E221" s="39" t="s">
        <v>22</v>
      </c>
    </row>
    <row r="222" spans="2:5" x14ac:dyDescent="0.35">
      <c r="B222" s="100"/>
      <c r="C222" s="40">
        <f>'Romania Crunch Output'!G394</f>
        <v>41.514143613553493</v>
      </c>
      <c r="D222" s="40">
        <f>'Romania Crunch Output'!H394</f>
        <v>45.273232979584961</v>
      </c>
      <c r="E222" s="40">
        <f>'Romania Crunch Output'!I394</f>
        <v>45.980185894700163</v>
      </c>
    </row>
    <row r="223" spans="2:5" x14ac:dyDescent="0.35">
      <c r="B223" s="41" t="s">
        <v>336</v>
      </c>
      <c r="C223" s="42">
        <f>'Romania Crunch Output'!G380</f>
        <v>0.54805540285518128</v>
      </c>
      <c r="D223" s="42">
        <f>'Romania Crunch Output'!H380</f>
        <v>0.56958566132952781</v>
      </c>
      <c r="E223" s="42">
        <f>'Romania Crunch Output'!I380</f>
        <v>0.57710198386047062</v>
      </c>
    </row>
    <row r="224" spans="2:5" x14ac:dyDescent="0.35">
      <c r="B224" s="41" t="s">
        <v>194</v>
      </c>
      <c r="C224" s="42">
        <f>'Romania Crunch Output'!G381</f>
        <v>0.31903063042517232</v>
      </c>
      <c r="D224" s="42">
        <f>'Romania Crunch Output'!H381</f>
        <v>0.31356100713679391</v>
      </c>
      <c r="E224" s="42">
        <f>'Romania Crunch Output'!I381</f>
        <v>0.30559789122606063</v>
      </c>
    </row>
    <row r="225" spans="2:5" x14ac:dyDescent="0.35">
      <c r="B225" s="41" t="s">
        <v>195</v>
      </c>
      <c r="C225" s="42">
        <f>'Romania Crunch Output'!G382</f>
        <v>0.13291396671964631</v>
      </c>
      <c r="D225" s="42">
        <f>'Romania Crunch Output'!H382</f>
        <v>0.1168533315336783</v>
      </c>
      <c r="E225" s="42">
        <f>'Romania Crunch Output'!I382</f>
        <v>0.1173001249134689</v>
      </c>
    </row>
    <row r="226" spans="2:5" x14ac:dyDescent="0.35">
      <c r="B226" s="28" t="s">
        <v>196</v>
      </c>
      <c r="C226" s="43">
        <f>'Romania Crunch Output'!G383</f>
        <v>0.36840006420674087</v>
      </c>
      <c r="D226" s="43">
        <f>'Romania Crunch Output'!H383</f>
        <v>0.39379801546800292</v>
      </c>
      <c r="E226" s="43">
        <f>'Romania Crunch Output'!I383</f>
        <v>0.39132262531620832</v>
      </c>
    </row>
    <row r="227" spans="2:5" x14ac:dyDescent="0.35">
      <c r="B227" s="44">
        <v>9</v>
      </c>
      <c r="C227" s="43">
        <f>'Romania Crunch Output'!G384</f>
        <v>0.1796553386484403</v>
      </c>
      <c r="D227" s="43">
        <f>'Romania Crunch Output'!H384</f>
        <v>0.1757876458615249</v>
      </c>
      <c r="E227" s="43">
        <f>'Romania Crunch Output'!I384</f>
        <v>0.18577935854426231</v>
      </c>
    </row>
    <row r="228" spans="2:5" x14ac:dyDescent="0.35">
      <c r="B228" s="44">
        <v>8</v>
      </c>
      <c r="C228" s="43">
        <f>'Romania Crunch Output'!G385</f>
        <v>0.21811847402184509</v>
      </c>
      <c r="D228" s="43">
        <f>'Romania Crunch Output'!H385</f>
        <v>0.20358352708918301</v>
      </c>
      <c r="E228" s="43">
        <f>'Romania Crunch Output'!I385</f>
        <v>0.1955296606272488</v>
      </c>
    </row>
    <row r="229" spans="2:5" x14ac:dyDescent="0.35">
      <c r="B229" s="44">
        <v>7</v>
      </c>
      <c r="C229" s="43">
        <f>'Romania Crunch Output'!G386</f>
        <v>0.10091215640332719</v>
      </c>
      <c r="D229" s="43">
        <f>'Romania Crunch Output'!H386</f>
        <v>0.1099774800476109</v>
      </c>
      <c r="E229" s="43">
        <f>'Romania Crunch Output'!I386</f>
        <v>0.11006823059881179</v>
      </c>
    </row>
    <row r="230" spans="2:5" x14ac:dyDescent="0.35">
      <c r="B230" s="44">
        <v>6</v>
      </c>
      <c r="C230" s="43">
        <f>'Romania Crunch Output'!G387</f>
        <v>7.2537176255159513E-2</v>
      </c>
      <c r="D230" s="43">
        <f>'Romania Crunch Output'!H387</f>
        <v>6.3460754411960973E-2</v>
      </c>
      <c r="E230" s="43">
        <f>'Romania Crunch Output'!I387</f>
        <v>6.6881953778198638E-2</v>
      </c>
    </row>
    <row r="231" spans="2:5" x14ac:dyDescent="0.35">
      <c r="B231" s="44">
        <v>5</v>
      </c>
      <c r="C231" s="43">
        <f>'Romania Crunch Output'!G388</f>
        <v>2.68782821445144E-2</v>
      </c>
      <c r="D231" s="43">
        <f>'Romania Crunch Output'!H388</f>
        <v>2.4571253935321911E-2</v>
      </c>
      <c r="E231" s="43">
        <f>'Romania Crunch Output'!I388</f>
        <v>2.32024328605661E-2</v>
      </c>
    </row>
    <row r="232" spans="2:5" x14ac:dyDescent="0.35">
      <c r="B232" s="44">
        <v>4</v>
      </c>
      <c r="C232" s="43">
        <f>'Romania Crunch Output'!G389</f>
        <v>8.0394740863109874E-3</v>
      </c>
      <c r="D232" s="43">
        <f>'Romania Crunch Output'!H389</f>
        <v>6.3377131320151384E-3</v>
      </c>
      <c r="E232" s="43">
        <f>'Romania Crunch Output'!I389</f>
        <v>5.9846503488257072E-3</v>
      </c>
    </row>
    <row r="233" spans="2:5" x14ac:dyDescent="0.35">
      <c r="B233" s="44">
        <v>3</v>
      </c>
      <c r="C233" s="43">
        <f>'Romania Crunch Output'!G390</f>
        <v>7.6138605419914362E-3</v>
      </c>
      <c r="D233" s="43">
        <f>'Romania Crunch Output'!H390</f>
        <v>8.415825217389223E-3</v>
      </c>
      <c r="E233" s="43">
        <f>'Romania Crunch Output'!I390</f>
        <v>7.946994487409105E-3</v>
      </c>
    </row>
    <row r="234" spans="2:5" x14ac:dyDescent="0.35">
      <c r="B234" s="44">
        <v>2</v>
      </c>
      <c r="C234" s="43">
        <f>'Romania Crunch Output'!G391</f>
        <v>0</v>
      </c>
      <c r="D234" s="43">
        <f>'Romania Crunch Output'!H391</f>
        <v>0</v>
      </c>
      <c r="E234" s="43">
        <f>'Romania Crunch Output'!I391</f>
        <v>0</v>
      </c>
    </row>
    <row r="235" spans="2:5" x14ac:dyDescent="0.35">
      <c r="B235" s="44">
        <v>1</v>
      </c>
      <c r="C235" s="43">
        <f>'Romania Crunch Output'!G392</f>
        <v>5.9221019053573064E-3</v>
      </c>
      <c r="D235" s="43">
        <f>'Romania Crunch Output'!H392</f>
        <v>4.6685370972987571E-3</v>
      </c>
      <c r="E235" s="43">
        <f>'Romania Crunch Output'!I392</f>
        <v>4.4084611571825914E-3</v>
      </c>
    </row>
    <row r="236" spans="2:5" x14ac:dyDescent="0.35">
      <c r="B236" s="44" t="s">
        <v>204</v>
      </c>
      <c r="C236" s="43">
        <f>'Romania Crunch Output'!G393</f>
        <v>1.1923071786312659E-2</v>
      </c>
      <c r="D236" s="43">
        <f>'Romania Crunch Output'!H393</f>
        <v>9.3992477396922479E-3</v>
      </c>
      <c r="E236" s="43">
        <f>'Romania Crunch Output'!I393</f>
        <v>8.87563228128674E-3</v>
      </c>
    </row>
    <row r="237" spans="2:5" s="36" customFormat="1" ht="15" thickBot="1" x14ac:dyDescent="0.35">
      <c r="B237" s="57" t="s">
        <v>24</v>
      </c>
      <c r="C237" s="61">
        <f>'Romania Crunch Output'!G379</f>
        <v>270</v>
      </c>
      <c r="D237" s="61">
        <f>'Romania Crunch Output'!H379</f>
        <v>346</v>
      </c>
      <c r="E237" s="61">
        <f>'Romania Crunch Output'!I379</f>
        <v>365</v>
      </c>
    </row>
    <row r="239" spans="2:5" x14ac:dyDescent="0.35">
      <c r="B239" s="99" t="s">
        <v>628</v>
      </c>
      <c r="C239" s="39" t="s">
        <v>22</v>
      </c>
      <c r="D239" s="39" t="s">
        <v>22</v>
      </c>
      <c r="E239" s="39" t="s">
        <v>22</v>
      </c>
    </row>
    <row r="240" spans="2:5" x14ac:dyDescent="0.35">
      <c r="B240" s="100"/>
      <c r="C240" s="40">
        <f>'Romania Crunch Output'!G413</f>
        <v>31.292983032410199</v>
      </c>
      <c r="D240" s="40">
        <f>'Romania Crunch Output'!H413</f>
        <v>34.154400951235203</v>
      </c>
      <c r="E240" s="40">
        <f>'Romania Crunch Output'!I413</f>
        <v>34.5026309199271</v>
      </c>
    </row>
    <row r="241" spans="2:5" x14ac:dyDescent="0.35">
      <c r="B241" s="41" t="s">
        <v>336</v>
      </c>
      <c r="C241" s="42">
        <f>'Romania Crunch Output'!G399</f>
        <v>0.48647365287255001</v>
      </c>
      <c r="D241" s="42">
        <f>'Romania Crunch Output'!H399</f>
        <v>0.50476863977138875</v>
      </c>
      <c r="E241" s="42">
        <f>'Romania Crunch Output'!I399</f>
        <v>0.50302298905485721</v>
      </c>
    </row>
    <row r="242" spans="2:5" x14ac:dyDescent="0.35">
      <c r="B242" s="41" t="s">
        <v>194</v>
      </c>
      <c r="C242" s="42">
        <f>'Romania Crunch Output'!G400</f>
        <v>0.33998252457900208</v>
      </c>
      <c r="D242" s="42">
        <f>'Romania Crunch Output'!H400</f>
        <v>0.33200672996957409</v>
      </c>
      <c r="E242" s="42">
        <f>'Romania Crunch Output'!I400</f>
        <v>0.33898033108955627</v>
      </c>
    </row>
    <row r="243" spans="2:5" x14ac:dyDescent="0.35">
      <c r="B243" s="41" t="s">
        <v>195</v>
      </c>
      <c r="C243" s="42">
        <f>'Romania Crunch Output'!G401</f>
        <v>0.173543822548448</v>
      </c>
      <c r="D243" s="42">
        <f>'Romania Crunch Output'!H401</f>
        <v>0.16322463025903691</v>
      </c>
      <c r="E243" s="42">
        <f>'Romania Crunch Output'!I401</f>
        <v>0.1579966798555863</v>
      </c>
    </row>
    <row r="244" spans="2:5" x14ac:dyDescent="0.35">
      <c r="B244" s="28" t="s">
        <v>196</v>
      </c>
      <c r="C244" s="43">
        <f>'Romania Crunch Output'!G402</f>
        <v>0.32811806299125629</v>
      </c>
      <c r="D244" s="43">
        <f>'Romania Crunch Output'!H402</f>
        <v>0.34855121680819279</v>
      </c>
      <c r="E244" s="43">
        <f>'Romania Crunch Output'!I402</f>
        <v>0.34810182814861618</v>
      </c>
    </row>
    <row r="245" spans="2:5" x14ac:dyDescent="0.35">
      <c r="B245" s="44">
        <v>9</v>
      </c>
      <c r="C245" s="43">
        <f>'Romania Crunch Output'!G403</f>
        <v>0.15835558988129361</v>
      </c>
      <c r="D245" s="43">
        <f>'Romania Crunch Output'!H403</f>
        <v>0.15621742296319599</v>
      </c>
      <c r="E245" s="43">
        <f>'Romania Crunch Output'!I403</f>
        <v>0.15492116090624111</v>
      </c>
    </row>
    <row r="246" spans="2:5" x14ac:dyDescent="0.35">
      <c r="B246" s="44">
        <v>8</v>
      </c>
      <c r="C246" s="43">
        <f>'Romania Crunch Output'!G404</f>
        <v>0.2133505988679506</v>
      </c>
      <c r="D246" s="43">
        <f>'Romania Crunch Output'!H404</f>
        <v>0.22127049905398899</v>
      </c>
      <c r="E246" s="43">
        <f>'Romania Crunch Output'!I404</f>
        <v>0.23179089039903089</v>
      </c>
    </row>
    <row r="247" spans="2:5" x14ac:dyDescent="0.35">
      <c r="B247" s="44">
        <v>7</v>
      </c>
      <c r="C247" s="43">
        <f>'Romania Crunch Output'!G405</f>
        <v>0.12663192571105139</v>
      </c>
      <c r="D247" s="43">
        <f>'Romania Crunch Output'!H405</f>
        <v>0.1107362309155851</v>
      </c>
      <c r="E247" s="43">
        <f>'Romania Crunch Output'!I405</f>
        <v>0.1071894406905254</v>
      </c>
    </row>
    <row r="248" spans="2:5" x14ac:dyDescent="0.35">
      <c r="B248" s="44">
        <v>6</v>
      </c>
      <c r="C248" s="43">
        <f>'Romania Crunch Output'!G406</f>
        <v>4.4264547912959938E-2</v>
      </c>
      <c r="D248" s="43">
        <f>'Romania Crunch Output'!H406</f>
        <v>4.6249889757720777E-2</v>
      </c>
      <c r="E248" s="43">
        <f>'Romania Crunch Output'!I406</f>
        <v>4.4768543900574713E-2</v>
      </c>
    </row>
    <row r="249" spans="2:5" x14ac:dyDescent="0.35">
      <c r="B249" s="44">
        <v>5</v>
      </c>
      <c r="C249" s="43">
        <f>'Romania Crunch Output'!G407</f>
        <v>7.8912062247628839E-2</v>
      </c>
      <c r="D249" s="43">
        <f>'Romania Crunch Output'!H407</f>
        <v>6.9935438246555764E-2</v>
      </c>
      <c r="E249" s="43">
        <f>'Romania Crunch Output'!I407</f>
        <v>6.7695463789169394E-2</v>
      </c>
    </row>
    <row r="250" spans="2:5" x14ac:dyDescent="0.35">
      <c r="B250" s="44">
        <v>4</v>
      </c>
      <c r="C250" s="43">
        <f>'Romania Crunch Output'!G408</f>
        <v>1.8331012902787922E-2</v>
      </c>
      <c r="D250" s="43">
        <f>'Romania Crunch Output'!H408</f>
        <v>2.1647852500511999E-2</v>
      </c>
      <c r="E250" s="43">
        <f>'Romania Crunch Output'!I408</f>
        <v>2.0954489623633159E-2</v>
      </c>
    </row>
    <row r="251" spans="2:5" x14ac:dyDescent="0.35">
      <c r="B251" s="44">
        <v>3</v>
      </c>
      <c r="C251" s="43">
        <f>'Romania Crunch Output'!G409</f>
        <v>1.712977932186148E-2</v>
      </c>
      <c r="D251" s="43">
        <f>'Romania Crunch Output'!H409</f>
        <v>1.357682677544486E-2</v>
      </c>
      <c r="E251" s="43">
        <f>'Romania Crunch Output'!I409</f>
        <v>1.314197220168585E-2</v>
      </c>
    </row>
    <row r="252" spans="2:5" x14ac:dyDescent="0.35">
      <c r="B252" s="44">
        <v>2</v>
      </c>
      <c r="C252" s="43">
        <f>'Romania Crunch Output'!G410</f>
        <v>5.7484932336609486E-3</v>
      </c>
      <c r="D252" s="43">
        <f>'Romania Crunch Output'!H410</f>
        <v>4.556176433261277E-3</v>
      </c>
      <c r="E252" s="43">
        <f>'Romania Crunch Output'!I410</f>
        <v>4.4102458565789529E-3</v>
      </c>
    </row>
    <row r="253" spans="2:5" x14ac:dyDescent="0.35">
      <c r="B253" s="44">
        <v>1</v>
      </c>
      <c r="C253" s="43">
        <f>'Romania Crunch Output'!G411</f>
        <v>6.3354735003489848E-3</v>
      </c>
      <c r="D253" s="43">
        <f>'Romania Crunch Output'!H411</f>
        <v>5.0214088949111016E-3</v>
      </c>
      <c r="E253" s="43">
        <f>'Romania Crunch Output'!I411</f>
        <v>4.8605773058526388E-3</v>
      </c>
    </row>
    <row r="254" spans="2:5" x14ac:dyDescent="0.35">
      <c r="B254" s="44" t="s">
        <v>204</v>
      </c>
      <c r="C254" s="43">
        <f>'Romania Crunch Output'!G412</f>
        <v>2.8224534291999E-3</v>
      </c>
      <c r="D254" s="43">
        <f>'Romania Crunch Output'!H412</f>
        <v>2.237037650631169E-3</v>
      </c>
      <c r="E254" s="43">
        <f>'Romania Crunch Output'!I412</f>
        <v>2.1653871780916299E-3</v>
      </c>
    </row>
    <row r="255" spans="2:5" s="36" customFormat="1" ht="15" thickBot="1" x14ac:dyDescent="0.35">
      <c r="B255" s="57" t="s">
        <v>24</v>
      </c>
      <c r="C255" s="61">
        <f>'Romania Crunch Output'!G398</f>
        <v>203</v>
      </c>
      <c r="D255" s="61">
        <f>'Romania Crunch Output'!H398</f>
        <v>258</v>
      </c>
      <c r="E255" s="61">
        <f>'Romania Crunch Output'!I398</f>
        <v>264</v>
      </c>
    </row>
    <row r="257" spans="2:5" x14ac:dyDescent="0.35">
      <c r="B257" s="99" t="s">
        <v>629</v>
      </c>
      <c r="C257" s="39" t="s">
        <v>22</v>
      </c>
      <c r="D257" s="39" t="s">
        <v>22</v>
      </c>
      <c r="E257" s="39" t="s">
        <v>22</v>
      </c>
    </row>
    <row r="258" spans="2:5" x14ac:dyDescent="0.35">
      <c r="B258" s="100"/>
      <c r="C258" s="40">
        <f>'Romania Crunch Output'!G432</f>
        <v>22.007561753270171</v>
      </c>
      <c r="D258" s="40">
        <f>'Romania Crunch Output'!H432</f>
        <v>24.796441070570861</v>
      </c>
      <c r="E258" s="40">
        <f>'Romania Crunch Output'!I432</f>
        <v>25.190411217648769</v>
      </c>
    </row>
    <row r="259" spans="2:5" x14ac:dyDescent="0.35">
      <c r="B259" s="41" t="s">
        <v>336</v>
      </c>
      <c r="C259" s="42">
        <f>'Romania Crunch Output'!G418</f>
        <v>0.4674778315094919</v>
      </c>
      <c r="D259" s="42">
        <f>'Romania Crunch Output'!H418</f>
        <v>0.47189603950549219</v>
      </c>
      <c r="E259" s="42">
        <f>'Romania Crunch Output'!I418</f>
        <v>0.4746626265919317</v>
      </c>
    </row>
    <row r="260" spans="2:5" x14ac:dyDescent="0.35">
      <c r="B260" s="41" t="s">
        <v>194</v>
      </c>
      <c r="C260" s="42">
        <f>'Romania Crunch Output'!G419</f>
        <v>0.28511995451371802</v>
      </c>
      <c r="D260" s="42">
        <f>'Romania Crunch Output'!H419</f>
        <v>0.3041723316947243</v>
      </c>
      <c r="E260" s="42">
        <f>'Romania Crunch Output'!I419</f>
        <v>0.30257885899262438</v>
      </c>
    </row>
    <row r="261" spans="2:5" x14ac:dyDescent="0.35">
      <c r="B261" s="41" t="s">
        <v>195</v>
      </c>
      <c r="C261" s="42">
        <f>'Romania Crunch Output'!G420</f>
        <v>0.24740221397679019</v>
      </c>
      <c r="D261" s="42">
        <f>'Romania Crunch Output'!H420</f>
        <v>0.22393162879978351</v>
      </c>
      <c r="E261" s="42">
        <f>'Romania Crunch Output'!I420</f>
        <v>0.22275851441544389</v>
      </c>
    </row>
    <row r="262" spans="2:5" x14ac:dyDescent="0.35">
      <c r="B262" s="28" t="s">
        <v>196</v>
      </c>
      <c r="C262" s="43">
        <f>'Romania Crunch Output'!G421</f>
        <v>0.32477463512395638</v>
      </c>
      <c r="D262" s="43">
        <f>'Romania Crunch Output'!H421</f>
        <v>0.33130766535444928</v>
      </c>
      <c r="E262" s="43">
        <f>'Romania Crunch Output'!I421</f>
        <v>0.33481075511749347</v>
      </c>
    </row>
    <row r="263" spans="2:5" x14ac:dyDescent="0.35">
      <c r="B263" s="44">
        <v>9</v>
      </c>
      <c r="C263" s="43">
        <f>'Romania Crunch Output'!G422</f>
        <v>0.14270319638553541</v>
      </c>
      <c r="D263" s="43">
        <f>'Romania Crunch Output'!H422</f>
        <v>0.140588374151043</v>
      </c>
      <c r="E263" s="43">
        <f>'Romania Crunch Output'!I422</f>
        <v>0.1398518714744382</v>
      </c>
    </row>
    <row r="264" spans="2:5" x14ac:dyDescent="0.35">
      <c r="B264" s="44">
        <v>8</v>
      </c>
      <c r="C264" s="43">
        <f>'Romania Crunch Output'!G423</f>
        <v>0.16909190500258209</v>
      </c>
      <c r="D264" s="43">
        <f>'Romania Crunch Output'!H423</f>
        <v>0.18643683633339481</v>
      </c>
      <c r="E264" s="43">
        <f>'Romania Crunch Output'!I423</f>
        <v>0.1854601465480093</v>
      </c>
    </row>
    <row r="265" spans="2:5" x14ac:dyDescent="0.35">
      <c r="B265" s="44">
        <v>7</v>
      </c>
      <c r="C265" s="43">
        <f>'Romania Crunch Output'!G424</f>
        <v>0.11602804951113591</v>
      </c>
      <c r="D265" s="43">
        <f>'Romania Crunch Output'!H424</f>
        <v>0.1177354953613295</v>
      </c>
      <c r="E265" s="43">
        <f>'Romania Crunch Output'!I424</f>
        <v>0.11711871244461509</v>
      </c>
    </row>
    <row r="266" spans="2:5" x14ac:dyDescent="0.35">
      <c r="B266" s="44">
        <v>6</v>
      </c>
      <c r="C266" s="43">
        <f>'Romania Crunch Output'!G425</f>
        <v>0.1036767420728837</v>
      </c>
      <c r="D266" s="43">
        <f>'Romania Crunch Output'!H425</f>
        <v>9.4995386812857352E-2</v>
      </c>
      <c r="E266" s="43">
        <f>'Romania Crunch Output'!I425</f>
        <v>9.4497732884676847E-2</v>
      </c>
    </row>
    <row r="267" spans="2:5" x14ac:dyDescent="0.35">
      <c r="B267" s="44">
        <v>5</v>
      </c>
      <c r="C267" s="43">
        <f>'Romania Crunch Output'!G426</f>
        <v>0.1104075709599365</v>
      </c>
      <c r="D267" s="43">
        <f>'Romania Crunch Output'!H426</f>
        <v>0.1026638285283471</v>
      </c>
      <c r="E267" s="43">
        <f>'Romania Crunch Output'!I426</f>
        <v>0.1021260018057733</v>
      </c>
    </row>
    <row r="268" spans="2:5" x14ac:dyDescent="0.35">
      <c r="B268" s="44">
        <v>4</v>
      </c>
      <c r="C268" s="43">
        <f>'Romania Crunch Output'!G427</f>
        <v>2.0058754054366821E-4</v>
      </c>
      <c r="D268" s="43">
        <f>'Romania Crunch Output'!H427</f>
        <v>1.5817079259179801E-4</v>
      </c>
      <c r="E268" s="43">
        <f>'Romania Crunch Output'!I427</f>
        <v>1.5734218060444119E-4</v>
      </c>
    </row>
    <row r="269" spans="2:5" x14ac:dyDescent="0.35">
      <c r="B269" s="44">
        <v>3</v>
      </c>
      <c r="C269" s="43">
        <f>'Romania Crunch Output'!G428</f>
        <v>1.53380812393964E-2</v>
      </c>
      <c r="D269" s="43">
        <f>'Romania Crunch Output'!H428</f>
        <v>1.2094651840773549E-2</v>
      </c>
      <c r="E269" s="43">
        <f>'Romania Crunch Output'!I428</f>
        <v>1.203129138506643E-2</v>
      </c>
    </row>
    <row r="270" spans="2:5" x14ac:dyDescent="0.35">
      <c r="B270" s="44">
        <v>2</v>
      </c>
      <c r="C270" s="43">
        <f>'Romania Crunch Output'!G429</f>
        <v>0</v>
      </c>
      <c r="D270" s="43">
        <f>'Romania Crunch Output'!H429</f>
        <v>0</v>
      </c>
      <c r="E270" s="43">
        <f>'Romania Crunch Output'!I429</f>
        <v>0</v>
      </c>
    </row>
    <row r="271" spans="2:5" x14ac:dyDescent="0.35">
      <c r="B271" s="44">
        <v>1</v>
      </c>
      <c r="C271" s="43">
        <f>'Romania Crunch Output'!G430</f>
        <v>4.4711860361164287E-3</v>
      </c>
      <c r="D271" s="43">
        <f>'Romania Crunch Output'!H430</f>
        <v>3.5256977439431449E-3</v>
      </c>
      <c r="E271" s="43">
        <f>'Romania Crunch Output'!I430</f>
        <v>3.5072276119639261E-3</v>
      </c>
    </row>
    <row r="272" spans="2:5" x14ac:dyDescent="0.35">
      <c r="B272" s="44" t="s">
        <v>204</v>
      </c>
      <c r="C272" s="43">
        <f>'Romania Crunch Output'!G431</f>
        <v>1.330804612791354E-2</v>
      </c>
      <c r="D272" s="43">
        <f>'Romania Crunch Output'!H431</f>
        <v>1.049389308127064E-2</v>
      </c>
      <c r="E272" s="43">
        <f>'Romania Crunch Output'!I431</f>
        <v>1.043891854735892E-2</v>
      </c>
    </row>
    <row r="273" spans="2:5" s="36" customFormat="1" ht="15" thickBot="1" x14ac:dyDescent="0.35">
      <c r="B273" s="57" t="s">
        <v>24</v>
      </c>
      <c r="C273" s="61">
        <f>'Romania Crunch Output'!G417</f>
        <v>130</v>
      </c>
      <c r="D273" s="61">
        <f>'Romania Crunch Output'!H417</f>
        <v>167</v>
      </c>
      <c r="E273" s="61">
        <f>'Romania Crunch Output'!I417</f>
        <v>168</v>
      </c>
    </row>
    <row r="275" spans="2:5" x14ac:dyDescent="0.35">
      <c r="B275" s="99" t="s">
        <v>630</v>
      </c>
      <c r="C275" s="39" t="s">
        <v>22</v>
      </c>
      <c r="D275" s="39" t="s">
        <v>22</v>
      </c>
      <c r="E275" s="39" t="s">
        <v>22</v>
      </c>
    </row>
    <row r="276" spans="2:5" x14ac:dyDescent="0.35">
      <c r="B276" s="100"/>
      <c r="C276" s="40">
        <f>'Romania Crunch Output'!G451</f>
        <v>20.341004910737151</v>
      </c>
      <c r="D276" s="40">
        <f>'Romania Crunch Output'!H451</f>
        <v>24.2018083987378</v>
      </c>
      <c r="E276" s="40">
        <f>'Romania Crunch Output'!I451</f>
        <v>24.40036052782872</v>
      </c>
    </row>
    <row r="277" spans="2:5" x14ac:dyDescent="0.35">
      <c r="B277" s="41" t="s">
        <v>336</v>
      </c>
      <c r="C277" s="42">
        <f>'Romania Crunch Output'!G437</f>
        <v>0.42971329315056522</v>
      </c>
      <c r="D277" s="42">
        <f>'Romania Crunch Output'!H437</f>
        <v>0.45376501097332128</v>
      </c>
      <c r="E277" s="42">
        <f>'Romania Crunch Output'!I437</f>
        <v>0.44976863771764408</v>
      </c>
    </row>
    <row r="278" spans="2:5" x14ac:dyDescent="0.35">
      <c r="B278" s="41" t="s">
        <v>194</v>
      </c>
      <c r="C278" s="42">
        <f>'Romania Crunch Output'!G438</f>
        <v>0.34398346280624109</v>
      </c>
      <c r="D278" s="42">
        <f>'Romania Crunch Output'!H438</f>
        <v>0.33448806204073539</v>
      </c>
      <c r="E278" s="42">
        <f>'Romania Crunch Output'!I438</f>
        <v>0.34446632984299919</v>
      </c>
    </row>
    <row r="279" spans="2:5" x14ac:dyDescent="0.35">
      <c r="B279" s="41" t="s">
        <v>195</v>
      </c>
      <c r="C279" s="42">
        <f>'Romania Crunch Output'!G439</f>
        <v>0.22630324404319371</v>
      </c>
      <c r="D279" s="42">
        <f>'Romania Crunch Output'!H439</f>
        <v>0.21174692698594341</v>
      </c>
      <c r="E279" s="42">
        <f>'Romania Crunch Output'!I439</f>
        <v>0.20576503243935679</v>
      </c>
    </row>
    <row r="280" spans="2:5" x14ac:dyDescent="0.35">
      <c r="B280" s="28" t="s">
        <v>196</v>
      </c>
      <c r="C280" s="43">
        <f>'Romania Crunch Output'!G440</f>
        <v>0.28472601984185231</v>
      </c>
      <c r="D280" s="43">
        <f>'Romania Crunch Output'!H440</f>
        <v>0.28605616611164092</v>
      </c>
      <c r="E280" s="43">
        <f>'Romania Crunch Output'!I440</f>
        <v>0.28679760246091263</v>
      </c>
    </row>
    <row r="281" spans="2:5" x14ac:dyDescent="0.35">
      <c r="B281" s="44">
        <v>9</v>
      </c>
      <c r="C281" s="43">
        <f>'Romania Crunch Output'!G441</f>
        <v>0.14498727330871289</v>
      </c>
      <c r="D281" s="43">
        <f>'Romania Crunch Output'!H441</f>
        <v>0.16770884486168039</v>
      </c>
      <c r="E281" s="43">
        <f>'Romania Crunch Output'!I441</f>
        <v>0.16297103525673151</v>
      </c>
    </row>
    <row r="282" spans="2:5" x14ac:dyDescent="0.35">
      <c r="B282" s="44">
        <v>8</v>
      </c>
      <c r="C282" s="43">
        <f>'Romania Crunch Output'!G442</f>
        <v>0.18993818140300869</v>
      </c>
      <c r="D282" s="43">
        <f>'Romania Crunch Output'!H442</f>
        <v>0.1806165939611438</v>
      </c>
      <c r="E282" s="43">
        <f>'Romania Crunch Output'!I442</f>
        <v>0.19494176260812071</v>
      </c>
    </row>
    <row r="283" spans="2:5" x14ac:dyDescent="0.35">
      <c r="B283" s="44">
        <v>7</v>
      </c>
      <c r="C283" s="43">
        <f>'Romania Crunch Output'!G443</f>
        <v>0.15404528140323251</v>
      </c>
      <c r="D283" s="43">
        <f>'Romania Crunch Output'!H443</f>
        <v>0.15387146807959159</v>
      </c>
      <c r="E283" s="43">
        <f>'Romania Crunch Output'!I443</f>
        <v>0.14952456723487861</v>
      </c>
    </row>
    <row r="284" spans="2:5" x14ac:dyDescent="0.35">
      <c r="B284" s="44">
        <v>6</v>
      </c>
      <c r="C284" s="43">
        <f>'Romania Crunch Output'!G444</f>
        <v>7.0616374708055998E-2</v>
      </c>
      <c r="D284" s="43">
        <f>'Romania Crunch Output'!H444</f>
        <v>6.9151890060985308E-2</v>
      </c>
      <c r="E284" s="43">
        <f>'Romania Crunch Output'!I444</f>
        <v>6.7198334843301205E-2</v>
      </c>
    </row>
    <row r="285" spans="2:5" x14ac:dyDescent="0.35">
      <c r="B285" s="44">
        <v>5</v>
      </c>
      <c r="C285" s="43">
        <f>'Romania Crunch Output'!G445</f>
        <v>0.1025342136440389</v>
      </c>
      <c r="D285" s="43">
        <f>'Romania Crunch Output'!H445</f>
        <v>9.0887798630581287E-2</v>
      </c>
      <c r="E285" s="43">
        <f>'Romania Crunch Output'!I445</f>
        <v>8.8320199493637855E-2</v>
      </c>
    </row>
    <row r="286" spans="2:5" x14ac:dyDescent="0.35">
      <c r="B286" s="44">
        <v>4</v>
      </c>
      <c r="C286" s="43">
        <f>'Romania Crunch Output'!G446</f>
        <v>6.5245679684783958E-3</v>
      </c>
      <c r="D286" s="43">
        <f>'Romania Crunch Output'!H446</f>
        <v>1.4080616460687759E-2</v>
      </c>
      <c r="E286" s="43">
        <f>'Romania Crunch Output'!I446</f>
        <v>1.3682836129149081E-2</v>
      </c>
    </row>
    <row r="287" spans="2:5" x14ac:dyDescent="0.35">
      <c r="B287" s="44">
        <v>3</v>
      </c>
      <c r="C287" s="43">
        <f>'Romania Crunch Output'!G447</f>
        <v>7.8252787340393447E-3</v>
      </c>
      <c r="D287" s="43">
        <f>'Romania Crunch Output'!H447</f>
        <v>6.3146231820711829E-3</v>
      </c>
      <c r="E287" s="43">
        <f>'Romania Crunch Output'!I447</f>
        <v>6.1362337692270081E-3</v>
      </c>
    </row>
    <row r="288" spans="2:5" x14ac:dyDescent="0.35">
      <c r="B288" s="44">
        <v>2</v>
      </c>
      <c r="C288" s="43">
        <f>'Romania Crunch Output'!G448</f>
        <v>2.3257060079594341E-2</v>
      </c>
      <c r="D288" s="43">
        <f>'Romania Crunch Output'!H448</f>
        <v>1.8767327748544109E-2</v>
      </c>
      <c r="E288" s="43">
        <f>'Romania Crunch Output'!I448</f>
        <v>1.8237146852362919E-2</v>
      </c>
    </row>
    <row r="289" spans="2:5" x14ac:dyDescent="0.35">
      <c r="B289" s="44">
        <v>1</v>
      </c>
      <c r="C289" s="43">
        <f>'Romania Crunch Output'!G449</f>
        <v>9.2873525792281052E-3</v>
      </c>
      <c r="D289" s="43">
        <f>'Romania Crunch Output'!H449</f>
        <v>7.4944463820510749E-3</v>
      </c>
      <c r="E289" s="43">
        <f>'Romania Crunch Output'!I449</f>
        <v>7.2827267194301706E-3</v>
      </c>
    </row>
    <row r="290" spans="2:5" x14ac:dyDescent="0.35">
      <c r="B290" s="44" t="s">
        <v>204</v>
      </c>
      <c r="C290" s="43">
        <f>'Romania Crunch Output'!G450</f>
        <v>6.2583963297586347E-3</v>
      </c>
      <c r="D290" s="43">
        <f>'Romania Crunch Output'!H450</f>
        <v>5.0502245210227144E-3</v>
      </c>
      <c r="E290" s="43">
        <f>'Romania Crunch Output'!I450</f>
        <v>4.9075546322486074E-3</v>
      </c>
    </row>
    <row r="291" spans="2:5" s="36" customFormat="1" ht="15" thickBot="1" x14ac:dyDescent="0.35">
      <c r="B291" s="57" t="s">
        <v>24</v>
      </c>
      <c r="C291" s="61">
        <f>'Romania Crunch Output'!G436</f>
        <v>185</v>
      </c>
      <c r="D291" s="61">
        <f>'Romania Crunch Output'!H436</f>
        <v>233</v>
      </c>
      <c r="E291" s="61">
        <f>'Romania Crunch Output'!I436</f>
        <v>237</v>
      </c>
    </row>
  </sheetData>
  <conditionalFormatting sqref="C21:E21 C39:E39 C57:E57 C75:E75 C93:E93 C111:E111 C129:E129 C147:E147 C165:E165 C183:E183 C201:E201 C219:E219 C237:E237 C255:E255 C273:E273 C291:E291">
    <cfRule type="expression" dxfId="2" priority="6">
      <formula>C21&lt;100</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F3D8-136F-4DB5-A419-1B1E525E5E0D}">
  <dimension ref="A1:I456"/>
  <sheetViews>
    <sheetView topLeftCell="A434" workbookViewId="0">
      <selection activeCell="M3" sqref="M3"/>
    </sheetView>
  </sheetViews>
  <sheetFormatPr defaultRowHeight="14.5" x14ac:dyDescent="0.35"/>
  <cols>
    <col min="1" max="1" width="25.7265625" customWidth="1"/>
    <col min="2" max="9" width="12.7265625" customWidth="1"/>
  </cols>
  <sheetData>
    <row r="1" spans="1:9" ht="26" x14ac:dyDescent="0.6">
      <c r="A1" s="9" t="s">
        <v>392</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636</v>
      </c>
      <c r="H5" s="13" t="s">
        <v>641</v>
      </c>
      <c r="I5" s="13" t="s">
        <v>647</v>
      </c>
    </row>
    <row r="6" spans="1:9" x14ac:dyDescent="0.35">
      <c r="A6" s="14" t="s">
        <v>209</v>
      </c>
      <c r="B6" s="15">
        <v>212</v>
      </c>
      <c r="C6" s="15">
        <v>47</v>
      </c>
      <c r="D6" s="15">
        <v>110</v>
      </c>
      <c r="E6" s="15">
        <v>154</v>
      </c>
      <c r="F6" s="15">
        <v>212</v>
      </c>
      <c r="G6" s="15">
        <v>277</v>
      </c>
      <c r="H6" s="15">
        <v>318</v>
      </c>
      <c r="I6" s="15">
        <v>333</v>
      </c>
    </row>
    <row r="7" spans="1:9" x14ac:dyDescent="0.35">
      <c r="A7" s="16" t="s">
        <v>336</v>
      </c>
      <c r="B7" s="17">
        <v>0.66543197779628716</v>
      </c>
      <c r="C7" s="17">
        <v>0.69391072504918627</v>
      </c>
      <c r="D7" s="17">
        <v>0.6537334629035596</v>
      </c>
      <c r="E7" s="17">
        <v>0.63631249109460963</v>
      </c>
      <c r="F7" s="17">
        <v>0.66543197779628727</v>
      </c>
      <c r="G7" s="17">
        <v>0.67423050681145502</v>
      </c>
      <c r="H7" s="17">
        <v>0.65924451984431398</v>
      </c>
      <c r="I7" s="17">
        <v>0.65519396953264497</v>
      </c>
    </row>
    <row r="8" spans="1:9" x14ac:dyDescent="0.35">
      <c r="A8" s="16" t="s">
        <v>194</v>
      </c>
      <c r="B8" s="17">
        <v>0.26491478821855668</v>
      </c>
      <c r="C8" s="17">
        <v>0.24740106662628639</v>
      </c>
      <c r="D8" s="17">
        <v>0.29224236292373218</v>
      </c>
      <c r="E8" s="17">
        <v>0.29576285661368251</v>
      </c>
      <c r="F8" s="152">
        <v>0.26491478821855668</v>
      </c>
      <c r="G8" s="17">
        <v>0.25603784651605721</v>
      </c>
      <c r="H8" s="17">
        <v>0.27076608936560909</v>
      </c>
      <c r="I8" s="17">
        <v>0.26930086018834981</v>
      </c>
    </row>
    <row r="9" spans="1:9" x14ac:dyDescent="0.35">
      <c r="A9" s="16" t="s">
        <v>195</v>
      </c>
      <c r="B9" s="17">
        <v>6.9653233985156202E-2</v>
      </c>
      <c r="C9" s="17">
        <v>5.8688208324527487E-2</v>
      </c>
      <c r="D9" s="17">
        <v>5.4024174172708189E-2</v>
      </c>
      <c r="E9" s="17">
        <v>6.7924652291708035E-2</v>
      </c>
      <c r="F9" s="17">
        <v>6.9653233985156202E-2</v>
      </c>
      <c r="G9" s="17">
        <v>6.9731646672487629E-2</v>
      </c>
      <c r="H9" s="17">
        <v>6.9989390790076891E-2</v>
      </c>
      <c r="I9" s="17">
        <v>7.5505170279005426E-2</v>
      </c>
    </row>
    <row r="10" spans="1:9" x14ac:dyDescent="0.35">
      <c r="A10" s="14" t="s">
        <v>210</v>
      </c>
      <c r="B10" s="18">
        <v>0.45503898370713969</v>
      </c>
      <c r="C10" s="18">
        <v>0.54583873379926984</v>
      </c>
      <c r="D10" s="18">
        <v>0.46489693406764437</v>
      </c>
      <c r="E10" s="18">
        <v>0.43597581457414197</v>
      </c>
      <c r="F10" s="18">
        <v>0.45503898370713969</v>
      </c>
      <c r="G10" s="18">
        <v>0.46464640332741353</v>
      </c>
      <c r="H10" s="18">
        <v>0.45663873305552949</v>
      </c>
      <c r="I10" s="18">
        <v>0.4467519920708819</v>
      </c>
    </row>
    <row r="11" spans="1:9" x14ac:dyDescent="0.35">
      <c r="A11" s="14" t="s">
        <v>197</v>
      </c>
      <c r="B11" s="18">
        <v>0.21039299408914749</v>
      </c>
      <c r="C11" s="18">
        <v>0.14807199124991641</v>
      </c>
      <c r="D11" s="18">
        <v>0.1888365288359152</v>
      </c>
      <c r="E11" s="18">
        <v>0.2003366765204676</v>
      </c>
      <c r="F11" s="18">
        <v>0.21039299408914749</v>
      </c>
      <c r="G11" s="18">
        <v>0.20958410348404161</v>
      </c>
      <c r="H11" s="18">
        <v>0.20260578678878449</v>
      </c>
      <c r="I11" s="18">
        <v>0.2084419774617631</v>
      </c>
    </row>
    <row r="12" spans="1:9" x14ac:dyDescent="0.35">
      <c r="A12" s="14" t="s">
        <v>198</v>
      </c>
      <c r="B12" s="18">
        <v>0.19036337530905151</v>
      </c>
      <c r="C12" s="18">
        <v>0.1486024161388308</v>
      </c>
      <c r="D12" s="18">
        <v>0.20461583237598449</v>
      </c>
      <c r="E12" s="18">
        <v>0.20416745384830021</v>
      </c>
      <c r="F12" s="18">
        <v>0.19036337530905151</v>
      </c>
      <c r="G12" s="18">
        <v>0.1805512157362576</v>
      </c>
      <c r="H12" s="18">
        <v>0.2061691401799858</v>
      </c>
      <c r="I12" s="18">
        <v>0.20572617447065711</v>
      </c>
    </row>
    <row r="13" spans="1:9" x14ac:dyDescent="0.35">
      <c r="A13" s="14" t="s">
        <v>199</v>
      </c>
      <c r="B13" s="18">
        <v>7.4551412909505205E-2</v>
      </c>
      <c r="C13" s="18">
        <v>9.8798650487455605E-2</v>
      </c>
      <c r="D13" s="18">
        <v>8.762653054774773E-2</v>
      </c>
      <c r="E13" s="18">
        <v>9.1595402765382264E-2</v>
      </c>
      <c r="F13" s="18">
        <v>7.4551412909505219E-2</v>
      </c>
      <c r="G13" s="18">
        <v>7.548663077979953E-2</v>
      </c>
      <c r="H13" s="18">
        <v>6.4596949185623254E-2</v>
      </c>
      <c r="I13" s="18">
        <v>6.3574685717692717E-2</v>
      </c>
    </row>
    <row r="14" spans="1:9" x14ac:dyDescent="0.35">
      <c r="A14" s="14" t="s">
        <v>200</v>
      </c>
      <c r="B14" s="18">
        <v>4.0468158132598306E-3</v>
      </c>
      <c r="C14" s="18">
        <v>0</v>
      </c>
      <c r="D14" s="18">
        <v>7.9627875612401627E-3</v>
      </c>
      <c r="E14" s="18">
        <v>5.6969211464575984E-3</v>
      </c>
      <c r="F14" s="18">
        <v>4.0468158132598306E-3</v>
      </c>
      <c r="G14" s="18">
        <v>8.943408341671925E-3</v>
      </c>
      <c r="H14" s="18">
        <v>1.2461053368398039E-2</v>
      </c>
      <c r="I14" s="18">
        <v>1.161275546181444E-2</v>
      </c>
    </row>
    <row r="15" spans="1:9" x14ac:dyDescent="0.35">
      <c r="A15" s="14" t="s">
        <v>201</v>
      </c>
      <c r="B15" s="18">
        <v>4.0731160282082207E-2</v>
      </c>
      <c r="C15" s="18">
        <v>5.8688208324527487E-2</v>
      </c>
      <c r="D15" s="18">
        <v>2.4983581483805192E-2</v>
      </c>
      <c r="E15" s="18">
        <v>4.2088678342120323E-2</v>
      </c>
      <c r="F15" s="18">
        <v>4.0731160282082207E-2</v>
      </c>
      <c r="G15" s="18">
        <v>3.0444900425093881E-2</v>
      </c>
      <c r="H15" s="18">
        <v>3.1562321498464073E-2</v>
      </c>
      <c r="I15" s="18">
        <v>3.4493207548398783E-2</v>
      </c>
    </row>
    <row r="16" spans="1:9" x14ac:dyDescent="0.35">
      <c r="A16" s="14" t="s">
        <v>202</v>
      </c>
      <c r="B16" s="18">
        <v>3.593726802017202E-3</v>
      </c>
      <c r="C16" s="18">
        <v>0</v>
      </c>
      <c r="D16" s="18">
        <v>0</v>
      </c>
      <c r="E16" s="18">
        <v>5.0590832787399528E-3</v>
      </c>
      <c r="F16" s="18">
        <v>3.593726802017202E-3</v>
      </c>
      <c r="G16" s="18">
        <v>8.818643439389557E-3</v>
      </c>
      <c r="H16" s="18">
        <v>7.5464682455110904E-3</v>
      </c>
      <c r="I16" s="18">
        <v>1.0577335172133349E-2</v>
      </c>
    </row>
    <row r="17" spans="1:9" x14ac:dyDescent="0.35">
      <c r="A17" s="14" t="s">
        <v>211</v>
      </c>
      <c r="B17" s="18">
        <v>1.0569453885758631E-2</v>
      </c>
      <c r="C17" s="18">
        <v>0</v>
      </c>
      <c r="D17" s="18">
        <v>0</v>
      </c>
      <c r="E17" s="21">
        <v>0</v>
      </c>
      <c r="F17" s="18">
        <v>1.0569453885758631E-2</v>
      </c>
      <c r="G17" s="18">
        <v>7.9002407216250577E-3</v>
      </c>
      <c r="H17" s="18">
        <v>6.7605540633769003E-3</v>
      </c>
      <c r="I17" s="18">
        <v>6.3003229986539032E-3</v>
      </c>
    </row>
    <row r="18" spans="1:9" x14ac:dyDescent="0.35">
      <c r="A18" s="14" t="s">
        <v>212</v>
      </c>
      <c r="B18" s="18">
        <v>0</v>
      </c>
      <c r="C18" s="18">
        <v>0</v>
      </c>
      <c r="D18" s="18">
        <v>0</v>
      </c>
      <c r="E18" s="18">
        <v>0</v>
      </c>
      <c r="F18" s="18">
        <v>0</v>
      </c>
      <c r="G18" s="18">
        <v>0</v>
      </c>
      <c r="H18" s="18">
        <v>0</v>
      </c>
      <c r="I18" s="18">
        <v>0</v>
      </c>
    </row>
    <row r="19" spans="1:9" x14ac:dyDescent="0.35">
      <c r="A19" s="14" t="s">
        <v>203</v>
      </c>
      <c r="B19" s="18">
        <v>5.2936975901061584E-3</v>
      </c>
      <c r="C19" s="18">
        <v>0</v>
      </c>
      <c r="D19" s="18">
        <v>1.0416236188794861E-2</v>
      </c>
      <c r="E19" s="18">
        <v>7.4522239547478693E-3</v>
      </c>
      <c r="F19" s="18">
        <v>5.2936975901061584E-3</v>
      </c>
      <c r="G19" s="18">
        <v>3.9568255580050083E-3</v>
      </c>
      <c r="H19" s="18">
        <v>3.3860149388893379E-3</v>
      </c>
      <c r="I19" s="18">
        <v>4.8117612126320651E-3</v>
      </c>
    </row>
    <row r="20" spans="1:9" x14ac:dyDescent="0.35">
      <c r="A20" s="14" t="s">
        <v>204</v>
      </c>
      <c r="B20" s="18">
        <v>5.4183796119321699E-3</v>
      </c>
      <c r="C20" s="18">
        <v>0</v>
      </c>
      <c r="D20" s="18">
        <v>1.066156893886798E-2</v>
      </c>
      <c r="E20" s="18">
        <v>7.6277455696423021E-3</v>
      </c>
      <c r="F20" s="18">
        <v>5.4183796119321699E-3</v>
      </c>
      <c r="G20" s="18">
        <v>9.6676281867021981E-3</v>
      </c>
      <c r="H20" s="18">
        <v>8.2729786754374406E-3</v>
      </c>
      <c r="I20" s="18">
        <v>7.7097878853729087E-3</v>
      </c>
    </row>
    <row r="21" spans="1:9" x14ac:dyDescent="0.35">
      <c r="A21" s="14" t="s">
        <v>213</v>
      </c>
      <c r="B21" s="1">
        <v>59.577874381113112</v>
      </c>
      <c r="C21" s="1">
        <v>63.522251672465863</v>
      </c>
      <c r="D21" s="1">
        <v>59.97092887308515</v>
      </c>
      <c r="E21" s="1">
        <v>56.838783880290137</v>
      </c>
      <c r="F21" s="1">
        <v>59.577874381113112</v>
      </c>
      <c r="G21" s="1">
        <v>60.449886013896752</v>
      </c>
      <c r="H21" s="1">
        <v>58.925512905423723</v>
      </c>
      <c r="I21" s="1">
        <v>57.968879925363957</v>
      </c>
    </row>
    <row r="23" spans="1:9" x14ac:dyDescent="0.35">
      <c r="C23" s="187"/>
      <c r="D23" s="187"/>
      <c r="E23" s="187"/>
      <c r="F23" s="187"/>
      <c r="G23" s="170"/>
      <c r="H23" s="170"/>
      <c r="I23" s="170"/>
    </row>
    <row r="24" spans="1:9" ht="29" x14ac:dyDescent="0.35">
      <c r="A24" s="12" t="s">
        <v>581</v>
      </c>
      <c r="B24" s="13" t="s">
        <v>208</v>
      </c>
      <c r="C24" s="13" t="s">
        <v>458</v>
      </c>
      <c r="D24" s="13" t="s">
        <v>466</v>
      </c>
      <c r="E24" s="13" t="s">
        <v>467</v>
      </c>
      <c r="F24" s="13" t="s">
        <v>468</v>
      </c>
      <c r="G24" s="13" t="s">
        <v>636</v>
      </c>
      <c r="H24" s="13" t="s">
        <v>641</v>
      </c>
      <c r="I24" s="13" t="s">
        <v>647</v>
      </c>
    </row>
    <row r="25" spans="1:9" x14ac:dyDescent="0.35">
      <c r="A25" s="14" t="s">
        <v>209</v>
      </c>
      <c r="B25" s="15">
        <v>145</v>
      </c>
      <c r="C25" s="15">
        <v>32</v>
      </c>
      <c r="D25" s="15">
        <v>69</v>
      </c>
      <c r="E25" s="15">
        <v>109</v>
      </c>
      <c r="F25" s="15">
        <v>145</v>
      </c>
      <c r="G25" s="15">
        <v>174</v>
      </c>
      <c r="H25" s="15">
        <v>203</v>
      </c>
      <c r="I25" s="15">
        <v>215</v>
      </c>
    </row>
    <row r="26" spans="1:9" x14ac:dyDescent="0.35">
      <c r="A26" s="16" t="s">
        <v>336</v>
      </c>
      <c r="B26" s="17">
        <v>0.57977137382166677</v>
      </c>
      <c r="C26" s="17">
        <v>0.62853468367902543</v>
      </c>
      <c r="D26" s="17">
        <v>0.62859416222291054</v>
      </c>
      <c r="E26" s="17">
        <v>0.59398105419435543</v>
      </c>
      <c r="F26" s="17">
        <v>0.57977137382166677</v>
      </c>
      <c r="G26" s="17">
        <v>0.5559848673054586</v>
      </c>
      <c r="H26" s="17">
        <v>0.57723159634850718</v>
      </c>
      <c r="I26" s="17">
        <v>0.55482351377344685</v>
      </c>
    </row>
    <row r="27" spans="1:9" x14ac:dyDescent="0.35">
      <c r="A27" s="16" t="s">
        <v>194</v>
      </c>
      <c r="B27" s="17">
        <v>0.31231833340695359</v>
      </c>
      <c r="C27" s="17">
        <v>0.2080207030450717</v>
      </c>
      <c r="D27" s="17">
        <v>0.24650375442900879</v>
      </c>
      <c r="E27" s="17">
        <v>0.29214120529622017</v>
      </c>
      <c r="F27" s="17">
        <v>0.31231833340695359</v>
      </c>
      <c r="G27" s="17">
        <v>0.33509101097683419</v>
      </c>
      <c r="H27" s="17">
        <v>0.32171270275699959</v>
      </c>
      <c r="I27" s="17">
        <v>0.349069586444544</v>
      </c>
    </row>
    <row r="28" spans="1:9" x14ac:dyDescent="0.35">
      <c r="A28" s="16" t="s">
        <v>195</v>
      </c>
      <c r="B28" s="17">
        <v>0.1079102927713797</v>
      </c>
      <c r="C28" s="17">
        <v>0.16344461327590259</v>
      </c>
      <c r="D28" s="17">
        <v>0.1249020833480806</v>
      </c>
      <c r="E28" s="17">
        <v>0.1138777405094242</v>
      </c>
      <c r="F28" s="152">
        <v>0.1079102927713797</v>
      </c>
      <c r="G28" s="17">
        <v>0.1089241217177071</v>
      </c>
      <c r="H28" s="17">
        <v>0.1010557008944932</v>
      </c>
      <c r="I28" s="17">
        <v>9.6106899782009036E-2</v>
      </c>
    </row>
    <row r="29" spans="1:9" x14ac:dyDescent="0.35">
      <c r="A29" s="14" t="s">
        <v>210</v>
      </c>
      <c r="B29" s="18">
        <v>0.33015234129531101</v>
      </c>
      <c r="C29" s="18">
        <v>0.39654360864230898</v>
      </c>
      <c r="D29" s="18">
        <v>0.36021875261433173</v>
      </c>
      <c r="E29" s="18">
        <v>0.35972060569281428</v>
      </c>
      <c r="F29" s="18">
        <v>0.33015234129531112</v>
      </c>
      <c r="G29" s="18">
        <v>0.33113379805292398</v>
      </c>
      <c r="H29" s="18">
        <v>0.35611102471263428</v>
      </c>
      <c r="I29" s="18">
        <v>0.35158636002300581</v>
      </c>
    </row>
    <row r="30" spans="1:9" x14ac:dyDescent="0.35">
      <c r="A30" s="14" t="s">
        <v>197</v>
      </c>
      <c r="B30" s="18">
        <v>0.24961903252635581</v>
      </c>
      <c r="C30" s="18">
        <v>0.23199107503671651</v>
      </c>
      <c r="D30" s="18">
        <v>0.26837540960857892</v>
      </c>
      <c r="E30" s="18">
        <v>0.23426044850154121</v>
      </c>
      <c r="F30" s="18">
        <v>0.24961903252635581</v>
      </c>
      <c r="G30" s="18">
        <v>0.22485106925253459</v>
      </c>
      <c r="H30" s="18">
        <v>0.22112057163587279</v>
      </c>
      <c r="I30" s="18">
        <v>0.20323715375044099</v>
      </c>
    </row>
    <row r="31" spans="1:9" x14ac:dyDescent="0.35">
      <c r="A31" s="14" t="s">
        <v>198</v>
      </c>
      <c r="B31" s="18">
        <v>0.2249405610994793</v>
      </c>
      <c r="C31" s="18">
        <v>0.15382828904536669</v>
      </c>
      <c r="D31" s="21">
        <v>0.13992993444661869</v>
      </c>
      <c r="E31" s="18">
        <v>0.22468749326154741</v>
      </c>
      <c r="F31" s="18">
        <v>0.2249405610994793</v>
      </c>
      <c r="G31" s="18">
        <v>0.2320986096300679</v>
      </c>
      <c r="H31" s="18">
        <v>0.22915008027762521</v>
      </c>
      <c r="I31" s="18">
        <v>0.25603591556439947</v>
      </c>
    </row>
    <row r="32" spans="1:9" x14ac:dyDescent="0.35">
      <c r="A32" s="14" t="s">
        <v>199</v>
      </c>
      <c r="B32" s="18">
        <v>8.7377772307474302E-2</v>
      </c>
      <c r="C32" s="18">
        <v>5.4192413999705022E-2</v>
      </c>
      <c r="D32" s="18">
        <v>0.1065738199823901</v>
      </c>
      <c r="E32" s="18">
        <v>6.7453712034672805E-2</v>
      </c>
      <c r="F32" s="18">
        <v>8.7377772307474302E-2</v>
      </c>
      <c r="G32" s="18">
        <v>0.10299240134676629</v>
      </c>
      <c r="H32" s="18">
        <v>9.2562622479374537E-2</v>
      </c>
      <c r="I32" s="18">
        <v>9.3033670880144526E-2</v>
      </c>
    </row>
    <row r="33" spans="1:9" x14ac:dyDescent="0.35">
      <c r="A33" s="14" t="s">
        <v>200</v>
      </c>
      <c r="B33" s="18">
        <v>4.6607594664581288E-2</v>
      </c>
      <c r="C33" s="18">
        <v>8.5491978374271874E-2</v>
      </c>
      <c r="D33" s="18">
        <v>6.16406256828936E-2</v>
      </c>
      <c r="E33" s="18">
        <v>3.9014168912571569E-2</v>
      </c>
      <c r="F33" s="18">
        <v>4.6607594664581288E-2</v>
      </c>
      <c r="G33" s="18">
        <v>4.559580255464387E-2</v>
      </c>
      <c r="H33" s="25">
        <v>3.9259101654978541E-2</v>
      </c>
      <c r="I33" s="18">
        <v>2.8170347129234899E-2</v>
      </c>
    </row>
    <row r="34" spans="1:9" x14ac:dyDescent="0.35">
      <c r="A34" s="14" t="s">
        <v>201</v>
      </c>
      <c r="B34" s="18">
        <v>2.258620172333772E-2</v>
      </c>
      <c r="C34" s="18">
        <v>3.9036495595750162E-2</v>
      </c>
      <c r="D34" s="18">
        <v>2.872473065363975E-2</v>
      </c>
      <c r="E34" s="18">
        <v>3.064872071613366E-2</v>
      </c>
      <c r="F34" s="18">
        <v>2.258620172333772E-2</v>
      </c>
      <c r="G34" s="18">
        <v>2.2094155449836329E-2</v>
      </c>
      <c r="H34" s="18">
        <v>1.9023608450503729E-2</v>
      </c>
      <c r="I34" s="18">
        <v>2.8313502138711678E-2</v>
      </c>
    </row>
    <row r="35" spans="1:9" x14ac:dyDescent="0.35">
      <c r="A35" s="14" t="s">
        <v>202</v>
      </c>
      <c r="B35" s="18">
        <v>6.1329001411051963E-3</v>
      </c>
      <c r="C35" s="18">
        <v>0</v>
      </c>
      <c r="D35" s="18">
        <v>0</v>
      </c>
      <c r="E35" s="18">
        <v>0</v>
      </c>
      <c r="F35" s="18">
        <v>6.1329001411051963E-3</v>
      </c>
      <c r="G35" s="18">
        <v>5.0695797470437379E-3</v>
      </c>
      <c r="H35" s="18">
        <v>4.3650322066091114E-3</v>
      </c>
      <c r="I35" s="18">
        <v>4.0022879573474316E-3</v>
      </c>
    </row>
    <row r="36" spans="1:9" x14ac:dyDescent="0.35">
      <c r="A36" s="14" t="s">
        <v>211</v>
      </c>
      <c r="B36" s="18">
        <v>1.6108954331158141E-2</v>
      </c>
      <c r="C36" s="18">
        <v>3.8916139305880608E-2</v>
      </c>
      <c r="D36" s="18">
        <v>3.4536727011547259E-2</v>
      </c>
      <c r="E36" s="18">
        <v>2.1859312529493219E-2</v>
      </c>
      <c r="F36" s="18">
        <v>1.6108954331158141E-2</v>
      </c>
      <c r="G36" s="18">
        <v>1.331598864229592E-2</v>
      </c>
      <c r="H36" s="18">
        <v>1.1465392041688959E-2</v>
      </c>
      <c r="I36" s="23">
        <v>5.2106185985205727E-3</v>
      </c>
    </row>
    <row r="37" spans="1:9" x14ac:dyDescent="0.35">
      <c r="A37" s="14" t="s">
        <v>212</v>
      </c>
      <c r="B37" s="18">
        <v>7.896912556619947E-3</v>
      </c>
      <c r="C37" s="18">
        <v>0</v>
      </c>
      <c r="D37" s="18">
        <v>0</v>
      </c>
      <c r="E37" s="18">
        <v>1.071584635753476E-2</v>
      </c>
      <c r="F37" s="18">
        <v>7.896912556619947E-3</v>
      </c>
      <c r="G37" s="18">
        <v>6.5277482170126161E-3</v>
      </c>
      <c r="H37" s="18">
        <v>5.6205509382727618E-3</v>
      </c>
      <c r="I37" s="18">
        <v>1.086003705570442E-2</v>
      </c>
    </row>
    <row r="38" spans="1:9" x14ac:dyDescent="0.35">
      <c r="A38" s="14" t="s">
        <v>203</v>
      </c>
      <c r="B38" s="18">
        <v>0</v>
      </c>
      <c r="C38" s="18">
        <v>0</v>
      </c>
      <c r="D38" s="18">
        <v>0</v>
      </c>
      <c r="E38" s="18">
        <v>0</v>
      </c>
      <c r="F38" s="18">
        <v>0</v>
      </c>
      <c r="G38" s="18">
        <v>0</v>
      </c>
      <c r="H38" s="18">
        <v>2.9867572949639439E-3</v>
      </c>
      <c r="I38" s="18">
        <v>2.738550871412677E-3</v>
      </c>
    </row>
    <row r="39" spans="1:9" x14ac:dyDescent="0.35">
      <c r="A39" s="14" t="s">
        <v>204</v>
      </c>
      <c r="B39" s="18">
        <v>8.5777293545773667E-3</v>
      </c>
      <c r="C39" s="18">
        <v>0</v>
      </c>
      <c r="D39" s="18">
        <v>0</v>
      </c>
      <c r="E39" s="18">
        <v>1.163969199369097E-2</v>
      </c>
      <c r="F39" s="18">
        <v>8.5777293545773667E-3</v>
      </c>
      <c r="G39" s="18">
        <v>1.6320847106874689E-2</v>
      </c>
      <c r="H39" s="18">
        <v>1.833525830747617E-2</v>
      </c>
      <c r="I39" s="18">
        <v>1.6811556031077361E-2</v>
      </c>
    </row>
    <row r="40" spans="1:9" x14ac:dyDescent="0.35">
      <c r="A40" s="14" t="s">
        <v>213</v>
      </c>
      <c r="B40" s="1">
        <v>47.186108105028723</v>
      </c>
      <c r="C40" s="1">
        <v>46.509007040312291</v>
      </c>
      <c r="D40" s="1">
        <v>50.369207887482993</v>
      </c>
      <c r="E40" s="1">
        <v>48.010331368493127</v>
      </c>
      <c r="F40" s="1">
        <v>47.186108105028723</v>
      </c>
      <c r="G40" s="1">
        <v>44.706074558775143</v>
      </c>
      <c r="H40" s="1">
        <v>47.617589545401387</v>
      </c>
      <c r="I40" s="1">
        <v>45.87166139914379</v>
      </c>
    </row>
    <row r="42" spans="1:9" x14ac:dyDescent="0.35">
      <c r="C42" s="187"/>
      <c r="D42" s="187"/>
      <c r="E42" s="187"/>
      <c r="F42" s="187"/>
      <c r="G42" s="170"/>
      <c r="H42" s="170"/>
      <c r="I42" s="170"/>
    </row>
    <row r="43" spans="1:9" ht="29" x14ac:dyDescent="0.35">
      <c r="A43" s="12" t="s">
        <v>582</v>
      </c>
      <c r="B43" s="13" t="s">
        <v>208</v>
      </c>
      <c r="C43" s="13" t="s">
        <v>458</v>
      </c>
      <c r="D43" s="13" t="s">
        <v>466</v>
      </c>
      <c r="E43" s="13" t="s">
        <v>467</v>
      </c>
      <c r="F43" s="13" t="s">
        <v>468</v>
      </c>
      <c r="G43" s="13" t="s">
        <v>636</v>
      </c>
      <c r="H43" s="13" t="s">
        <v>641</v>
      </c>
      <c r="I43" s="13" t="s">
        <v>647</v>
      </c>
    </row>
    <row r="44" spans="1:9" x14ac:dyDescent="0.35">
      <c r="A44" s="14" t="s">
        <v>209</v>
      </c>
      <c r="B44" s="15">
        <v>77</v>
      </c>
      <c r="C44" s="15">
        <v>15</v>
      </c>
      <c r="D44" s="15">
        <v>36</v>
      </c>
      <c r="E44" s="15">
        <v>62</v>
      </c>
      <c r="F44" s="15">
        <v>77</v>
      </c>
      <c r="G44" s="15">
        <v>89</v>
      </c>
      <c r="H44" s="15">
        <v>105</v>
      </c>
      <c r="I44" s="15">
        <v>117</v>
      </c>
    </row>
    <row r="45" spans="1:9" x14ac:dyDescent="0.35">
      <c r="A45" s="16" t="s">
        <v>336</v>
      </c>
      <c r="B45" s="17">
        <v>0.64515808758668547</v>
      </c>
      <c r="C45" s="17">
        <v>0.62763036300439168</v>
      </c>
      <c r="D45" s="17">
        <v>0.63822642422984577</v>
      </c>
      <c r="E45" s="17">
        <v>0.64985489489354786</v>
      </c>
      <c r="F45" s="17">
        <v>0.64515808758668525</v>
      </c>
      <c r="G45" s="17">
        <v>0.64067280929469084</v>
      </c>
      <c r="H45" s="17">
        <v>0.64871106511592924</v>
      </c>
      <c r="I45" s="17">
        <v>0.63464749839461143</v>
      </c>
    </row>
    <row r="46" spans="1:9" x14ac:dyDescent="0.35">
      <c r="A46" s="16" t="s">
        <v>194</v>
      </c>
      <c r="B46" s="17">
        <v>0.30791396875439669</v>
      </c>
      <c r="C46" s="17">
        <v>0.37236963699560838</v>
      </c>
      <c r="D46" s="17">
        <v>0.34558454413917489</v>
      </c>
      <c r="E46" s="17">
        <v>0.31370634716097029</v>
      </c>
      <c r="F46" s="17">
        <v>0.30791396875439658</v>
      </c>
      <c r="G46" s="152">
        <v>0.30552204756267531</v>
      </c>
      <c r="H46" s="17">
        <v>0.29955562897068561</v>
      </c>
      <c r="I46" s="17">
        <v>0.32073095909186272</v>
      </c>
    </row>
    <row r="47" spans="1:9" x14ac:dyDescent="0.35">
      <c r="A47" s="16" t="s">
        <v>195</v>
      </c>
      <c r="B47" s="17">
        <v>4.6927943658917969E-2</v>
      </c>
      <c r="C47" s="17">
        <v>0</v>
      </c>
      <c r="D47" s="17">
        <v>1.6189031630979268E-2</v>
      </c>
      <c r="E47" s="17">
        <v>3.6438757945481702E-2</v>
      </c>
      <c r="F47" s="17">
        <v>4.6927943658917962E-2</v>
      </c>
      <c r="G47" s="17">
        <v>5.3805143142634043E-2</v>
      </c>
      <c r="H47" s="17">
        <v>5.1733305913385208E-2</v>
      </c>
      <c r="I47" s="17">
        <v>4.4621542513525903E-2</v>
      </c>
    </row>
    <row r="48" spans="1:9" x14ac:dyDescent="0.35">
      <c r="A48" s="14" t="s">
        <v>210</v>
      </c>
      <c r="B48" s="18">
        <v>0.33645822509999779</v>
      </c>
      <c r="C48" s="18">
        <v>0.40099216270635141</v>
      </c>
      <c r="D48" s="18">
        <v>0.39773011002536512</v>
      </c>
      <c r="E48" s="18">
        <v>0.36105749805969112</v>
      </c>
      <c r="F48" s="18">
        <v>0.33645822509999779</v>
      </c>
      <c r="G48" s="18">
        <v>0.32867338428123588</v>
      </c>
      <c r="H48" s="18">
        <v>0.35026753853237902</v>
      </c>
      <c r="I48" s="18">
        <v>0.36483522971482812</v>
      </c>
    </row>
    <row r="49" spans="1:9" x14ac:dyDescent="0.35">
      <c r="A49" s="14" t="s">
        <v>197</v>
      </c>
      <c r="B49" s="18">
        <v>0.30869986248668752</v>
      </c>
      <c r="C49" s="18">
        <v>0.2266382002980403</v>
      </c>
      <c r="D49" s="18">
        <v>0.24049631420448059</v>
      </c>
      <c r="E49" s="18">
        <v>0.2887973968338568</v>
      </c>
      <c r="F49" s="18">
        <v>0.30869986248668752</v>
      </c>
      <c r="G49" s="18">
        <v>0.31199942501345501</v>
      </c>
      <c r="H49" s="18">
        <v>0.29844352658355022</v>
      </c>
      <c r="I49" s="18">
        <v>0.26981226867978331</v>
      </c>
    </row>
    <row r="50" spans="1:9" x14ac:dyDescent="0.35">
      <c r="A50" s="14" t="s">
        <v>198</v>
      </c>
      <c r="B50" s="18">
        <v>0.2931149285382218</v>
      </c>
      <c r="C50" s="18">
        <v>0.29278210613917421</v>
      </c>
      <c r="D50" s="18">
        <v>0.31385431357964438</v>
      </c>
      <c r="E50" s="18">
        <v>0.29511290530421108</v>
      </c>
      <c r="F50" s="18">
        <v>0.29311492853822169</v>
      </c>
      <c r="G50" s="18">
        <v>0.24996455136462939</v>
      </c>
      <c r="H50" s="18">
        <v>0.23556269682387829</v>
      </c>
      <c r="I50" s="18">
        <v>0.2496321359265469</v>
      </c>
    </row>
    <row r="51" spans="1:9" x14ac:dyDescent="0.35">
      <c r="A51" s="14" t="s">
        <v>199</v>
      </c>
      <c r="B51" s="18">
        <v>1.4799040216174951E-2</v>
      </c>
      <c r="C51" s="19">
        <v>7.9587530856434219E-2</v>
      </c>
      <c r="D51" s="18">
        <v>3.1730230559530573E-2</v>
      </c>
      <c r="E51" s="18">
        <v>1.8593441856759249E-2</v>
      </c>
      <c r="F51" s="18">
        <v>1.4799040216174951E-2</v>
      </c>
      <c r="G51" s="18">
        <v>5.5557496198045869E-2</v>
      </c>
      <c r="H51" s="18">
        <v>6.3992932146807346E-2</v>
      </c>
      <c r="I51" s="18">
        <v>7.109882316531578E-2</v>
      </c>
    </row>
    <row r="52" spans="1:9" x14ac:dyDescent="0.35">
      <c r="A52" s="14" t="s">
        <v>200</v>
      </c>
      <c r="B52" s="18">
        <v>9.5585211600373102E-3</v>
      </c>
      <c r="C52" s="18">
        <v>0</v>
      </c>
      <c r="D52" s="18">
        <v>0</v>
      </c>
      <c r="E52" s="18">
        <v>1.200927930660714E-2</v>
      </c>
      <c r="F52" s="18">
        <v>9.5585211600373084E-3</v>
      </c>
      <c r="G52" s="18">
        <v>8.1513809801280149E-3</v>
      </c>
      <c r="H52" s="18">
        <v>1.273836511378537E-2</v>
      </c>
      <c r="I52" s="18">
        <v>1.0987225549228289E-2</v>
      </c>
    </row>
    <row r="53" spans="1:9" x14ac:dyDescent="0.35">
      <c r="A53" s="14" t="s">
        <v>201</v>
      </c>
      <c r="B53" s="18">
        <v>7.5505953137749602E-3</v>
      </c>
      <c r="C53" s="18">
        <v>0</v>
      </c>
      <c r="D53" s="18">
        <v>1.6189031630979268E-2</v>
      </c>
      <c r="E53" s="18">
        <v>9.4865310790323652E-3</v>
      </c>
      <c r="F53" s="18">
        <v>7.5505953137749576E-3</v>
      </c>
      <c r="G53" s="18">
        <v>6.4390482584974137E-3</v>
      </c>
      <c r="H53" s="18">
        <v>5.4998820196265341E-3</v>
      </c>
      <c r="I53" s="18">
        <v>4.7438147442003141E-3</v>
      </c>
    </row>
    <row r="54" spans="1:9" x14ac:dyDescent="0.35">
      <c r="A54" s="14" t="s">
        <v>202</v>
      </c>
      <c r="B54" s="18">
        <v>2.0771237195763629E-2</v>
      </c>
      <c r="C54" s="18">
        <v>0</v>
      </c>
      <c r="D54" s="18">
        <v>0</v>
      </c>
      <c r="E54" s="18">
        <v>1.494294755984219E-2</v>
      </c>
      <c r="F54" s="18">
        <v>2.0771237195763619E-2</v>
      </c>
      <c r="G54" s="18">
        <v>3.1499048298385603E-2</v>
      </c>
      <c r="H54" s="18">
        <v>2.6904760209401739E-2</v>
      </c>
      <c r="I54" s="18">
        <v>2.3206170189665379E-2</v>
      </c>
    </row>
    <row r="55" spans="1:9" x14ac:dyDescent="0.35">
      <c r="A55" s="14" t="s">
        <v>211</v>
      </c>
      <c r="B55" s="18">
        <v>0</v>
      </c>
      <c r="C55" s="18">
        <v>0</v>
      </c>
      <c r="D55" s="18">
        <v>0</v>
      </c>
      <c r="E55" s="18">
        <v>0</v>
      </c>
      <c r="F55" s="18">
        <v>0</v>
      </c>
      <c r="G55" s="18">
        <v>0</v>
      </c>
      <c r="H55" s="18">
        <v>0</v>
      </c>
      <c r="I55" s="18">
        <v>0</v>
      </c>
    </row>
    <row r="56" spans="1:9" x14ac:dyDescent="0.35">
      <c r="A56" s="14" t="s">
        <v>212</v>
      </c>
      <c r="B56" s="18">
        <v>0</v>
      </c>
      <c r="C56" s="18">
        <v>0</v>
      </c>
      <c r="D56" s="18">
        <v>0</v>
      </c>
      <c r="E56" s="18">
        <v>0</v>
      </c>
      <c r="F56" s="18">
        <v>0</v>
      </c>
      <c r="G56" s="18">
        <v>0</v>
      </c>
      <c r="H56" s="18">
        <v>0</v>
      </c>
      <c r="I56" s="18">
        <v>0</v>
      </c>
    </row>
    <row r="57" spans="1:9" x14ac:dyDescent="0.35">
      <c r="A57" s="14" t="s">
        <v>203</v>
      </c>
      <c r="B57" s="18">
        <v>0</v>
      </c>
      <c r="C57" s="18">
        <v>0</v>
      </c>
      <c r="D57" s="18">
        <v>0</v>
      </c>
      <c r="E57" s="18">
        <v>0</v>
      </c>
      <c r="F57" s="18">
        <v>0</v>
      </c>
      <c r="G57" s="18">
        <v>0</v>
      </c>
      <c r="H57" s="18">
        <v>0</v>
      </c>
      <c r="I57" s="18">
        <v>0</v>
      </c>
    </row>
    <row r="58" spans="1:9" x14ac:dyDescent="0.35">
      <c r="A58" s="14" t="s">
        <v>204</v>
      </c>
      <c r="B58" s="18">
        <v>9.0475899893420753E-3</v>
      </c>
      <c r="C58" s="18">
        <v>0</v>
      </c>
      <c r="D58" s="18">
        <v>0</v>
      </c>
      <c r="E58" s="18">
        <v>0</v>
      </c>
      <c r="F58" s="18">
        <v>9.0475899893420735E-3</v>
      </c>
      <c r="G58" s="18">
        <v>7.7156656056230066E-3</v>
      </c>
      <c r="H58" s="18">
        <v>6.5902985705715688E-3</v>
      </c>
      <c r="I58" s="18">
        <v>5.6843320304319116E-3</v>
      </c>
    </row>
    <row r="59" spans="1:9" x14ac:dyDescent="0.35">
      <c r="A59" s="14" t="s">
        <v>213</v>
      </c>
      <c r="B59" s="1">
        <v>59.823014392776727</v>
      </c>
      <c r="C59" s="1">
        <v>62.763036300439161</v>
      </c>
      <c r="D59" s="1">
        <v>62.203739259886653</v>
      </c>
      <c r="E59" s="1">
        <v>61.341613694806632</v>
      </c>
      <c r="F59" s="1">
        <v>59.823014392776727</v>
      </c>
      <c r="G59" s="1">
        <v>58.686766615205691</v>
      </c>
      <c r="H59" s="1">
        <v>59.697775920254408</v>
      </c>
      <c r="I59" s="1">
        <v>59.002595588108548</v>
      </c>
    </row>
    <row r="61" spans="1:9" x14ac:dyDescent="0.35">
      <c r="C61" s="187"/>
      <c r="D61" s="187"/>
      <c r="E61" s="187"/>
      <c r="F61" s="187"/>
      <c r="G61" s="170"/>
      <c r="H61" s="170"/>
      <c r="I61" s="170"/>
    </row>
    <row r="62" spans="1:9" ht="29" x14ac:dyDescent="0.35">
      <c r="A62" s="12" t="s">
        <v>583</v>
      </c>
      <c r="B62" s="13" t="s">
        <v>208</v>
      </c>
      <c r="C62" s="13" t="s">
        <v>458</v>
      </c>
      <c r="D62" s="13" t="s">
        <v>466</v>
      </c>
      <c r="E62" s="13" t="s">
        <v>467</v>
      </c>
      <c r="F62" s="13" t="s">
        <v>468</v>
      </c>
      <c r="G62" s="13" t="s">
        <v>636</v>
      </c>
      <c r="H62" s="13" t="s">
        <v>641</v>
      </c>
      <c r="I62" s="13" t="s">
        <v>647</v>
      </c>
    </row>
    <row r="63" spans="1:9" x14ac:dyDescent="0.35">
      <c r="A63" s="14" t="s">
        <v>209</v>
      </c>
      <c r="B63" s="15">
        <v>101</v>
      </c>
      <c r="C63" s="15">
        <v>21</v>
      </c>
      <c r="D63" s="15">
        <v>46</v>
      </c>
      <c r="E63" s="15">
        <v>74</v>
      </c>
      <c r="F63" s="15">
        <v>101</v>
      </c>
      <c r="G63" s="15">
        <v>124</v>
      </c>
      <c r="H63" s="15">
        <v>149</v>
      </c>
      <c r="I63" s="15">
        <v>161</v>
      </c>
    </row>
    <row r="64" spans="1:9" x14ac:dyDescent="0.35">
      <c r="A64" s="16" t="s">
        <v>336</v>
      </c>
      <c r="B64" s="17">
        <v>0.69693797825759585</v>
      </c>
      <c r="C64" s="17">
        <v>0.76922120049483356</v>
      </c>
      <c r="D64" s="17">
        <v>0.74426936498746765</v>
      </c>
      <c r="E64" s="17">
        <v>0.7151777483438827</v>
      </c>
      <c r="F64" s="17">
        <v>0.69693797825759585</v>
      </c>
      <c r="G64" s="17">
        <v>0.71123715906699203</v>
      </c>
      <c r="H64" s="17">
        <v>0.70529791896856586</v>
      </c>
      <c r="I64" s="17">
        <v>0.66123414957197824</v>
      </c>
    </row>
    <row r="65" spans="1:9" x14ac:dyDescent="0.35">
      <c r="A65" s="16" t="s">
        <v>194</v>
      </c>
      <c r="B65" s="17">
        <v>0.23434190579217909</v>
      </c>
      <c r="C65" s="17">
        <v>0.12487571098541619</v>
      </c>
      <c r="D65" s="155">
        <v>0.1158390912404078</v>
      </c>
      <c r="E65" s="17">
        <v>0.196735334004673</v>
      </c>
      <c r="F65" s="17">
        <v>0.23434190579217909</v>
      </c>
      <c r="G65" s="17">
        <v>0.2189529095336086</v>
      </c>
      <c r="H65" s="17">
        <v>0.23217389531927521</v>
      </c>
      <c r="I65" s="17">
        <v>0.26276489049048568</v>
      </c>
    </row>
    <row r="66" spans="1:9" x14ac:dyDescent="0.35">
      <c r="A66" s="16" t="s">
        <v>195</v>
      </c>
      <c r="B66" s="17">
        <v>6.8720115950225119E-2</v>
      </c>
      <c r="C66" s="17">
        <v>0.10590308851975</v>
      </c>
      <c r="D66" s="149">
        <v>0.13989154377212459</v>
      </c>
      <c r="E66" s="17">
        <v>8.8086917651444316E-2</v>
      </c>
      <c r="F66" s="17">
        <v>6.8720115950225119E-2</v>
      </c>
      <c r="G66" s="17">
        <v>6.9809931399399394E-2</v>
      </c>
      <c r="H66" s="17">
        <v>6.252818571215904E-2</v>
      </c>
      <c r="I66" s="17">
        <v>7.6000959937536222E-2</v>
      </c>
    </row>
    <row r="67" spans="1:9" x14ac:dyDescent="0.35">
      <c r="A67" s="14" t="s">
        <v>210</v>
      </c>
      <c r="B67" s="18">
        <v>0.46983310692590591</v>
      </c>
      <c r="C67" s="18">
        <v>0.58491586257217953</v>
      </c>
      <c r="D67" s="18">
        <v>0.54758428340047371</v>
      </c>
      <c r="E67" s="18">
        <v>0.49147840339432591</v>
      </c>
      <c r="F67" s="18">
        <v>0.46983310692590602</v>
      </c>
      <c r="G67" s="18">
        <v>0.48446763878020799</v>
      </c>
      <c r="H67" s="18">
        <v>0.48788996415555319</v>
      </c>
      <c r="I67" s="18">
        <v>0.44956237576432317</v>
      </c>
    </row>
    <row r="68" spans="1:9" x14ac:dyDescent="0.35">
      <c r="A68" s="14" t="s">
        <v>197</v>
      </c>
      <c r="B68" s="18">
        <v>0.22710487133168991</v>
      </c>
      <c r="C68" s="18">
        <v>0.18430533792265399</v>
      </c>
      <c r="D68" s="18">
        <v>0.19668508158699399</v>
      </c>
      <c r="E68" s="18">
        <v>0.22369934494955679</v>
      </c>
      <c r="F68" s="18">
        <v>0.22710487133168991</v>
      </c>
      <c r="G68" s="18">
        <v>0.22676952028678421</v>
      </c>
      <c r="H68" s="18">
        <v>0.2174079548130127</v>
      </c>
      <c r="I68" s="18">
        <v>0.21167177380765509</v>
      </c>
    </row>
    <row r="69" spans="1:9" x14ac:dyDescent="0.35">
      <c r="A69" s="14" t="s">
        <v>198</v>
      </c>
      <c r="B69" s="18">
        <v>0.17190779301240661</v>
      </c>
      <c r="C69" s="18">
        <v>9.3072920741001292E-2</v>
      </c>
      <c r="D69" s="24">
        <v>6.009293012497751E-2</v>
      </c>
      <c r="E69" s="21">
        <v>0.12130071979700729</v>
      </c>
      <c r="F69" s="18">
        <v>0.17190779301240661</v>
      </c>
      <c r="G69" s="18">
        <v>0.1517193360809509</v>
      </c>
      <c r="H69" s="18">
        <v>0.1655857126647059</v>
      </c>
      <c r="I69" s="18">
        <v>0.17324314015940989</v>
      </c>
    </row>
    <row r="70" spans="1:9" x14ac:dyDescent="0.35">
      <c r="A70" s="14" t="s">
        <v>199</v>
      </c>
      <c r="B70" s="18">
        <v>6.2434112779772552E-2</v>
      </c>
      <c r="C70" s="18">
        <v>3.1802790244414958E-2</v>
      </c>
      <c r="D70" s="18">
        <v>5.574616111543032E-2</v>
      </c>
      <c r="E70" s="18">
        <v>7.5434614207665618E-2</v>
      </c>
      <c r="F70" s="25">
        <v>6.2434112779772552E-2</v>
      </c>
      <c r="G70" s="18">
        <v>6.7233573452657736E-2</v>
      </c>
      <c r="H70" s="18">
        <v>6.6588182654569325E-2</v>
      </c>
      <c r="I70" s="18">
        <v>8.9521750331075844E-2</v>
      </c>
    </row>
    <row r="71" spans="1:9" x14ac:dyDescent="0.35">
      <c r="A71" s="14" t="s">
        <v>200</v>
      </c>
      <c r="B71" s="18">
        <v>0</v>
      </c>
      <c r="C71" s="18">
        <v>0</v>
      </c>
      <c r="D71" s="18">
        <v>0</v>
      </c>
      <c r="E71" s="18">
        <v>0</v>
      </c>
      <c r="F71" s="18">
        <v>0</v>
      </c>
      <c r="G71" s="18">
        <v>0</v>
      </c>
      <c r="H71" s="18">
        <v>5.1014273416011176E-3</v>
      </c>
      <c r="I71" s="18">
        <v>2.198959157655159E-2</v>
      </c>
    </row>
    <row r="72" spans="1:9" x14ac:dyDescent="0.35">
      <c r="A72" s="14" t="s">
        <v>201</v>
      </c>
      <c r="B72" s="18">
        <v>2.8627251999549359E-2</v>
      </c>
      <c r="C72" s="18">
        <v>0</v>
      </c>
      <c r="D72" s="18">
        <v>4.7014698576235067E-2</v>
      </c>
      <c r="E72" s="18">
        <v>2.9604218884297751E-2</v>
      </c>
      <c r="F72" s="18">
        <v>2.8627251999549359E-2</v>
      </c>
      <c r="G72" s="18">
        <v>2.3593731174954821E-2</v>
      </c>
      <c r="H72" s="18">
        <v>1.940857800722157E-2</v>
      </c>
      <c r="I72" s="18">
        <v>3.3224526522852182E-2</v>
      </c>
    </row>
    <row r="73" spans="1:9" x14ac:dyDescent="0.35">
      <c r="A73" s="14" t="s">
        <v>202</v>
      </c>
      <c r="B73" s="18">
        <v>8.0180478282441056E-3</v>
      </c>
      <c r="C73" s="18">
        <v>0</v>
      </c>
      <c r="D73" s="18">
        <v>1.8574152942359569E-2</v>
      </c>
      <c r="E73" s="18">
        <v>1.1695774001494611E-2</v>
      </c>
      <c r="F73" s="18">
        <v>8.0180478282441056E-3</v>
      </c>
      <c r="G73" s="18">
        <v>6.6082369698111324E-3</v>
      </c>
      <c r="H73" s="18">
        <v>5.4360406909667383E-3</v>
      </c>
      <c r="I73" s="18">
        <v>4.9494582114283691E-3</v>
      </c>
    </row>
    <row r="74" spans="1:9" x14ac:dyDescent="0.35">
      <c r="A74" s="14" t="s">
        <v>211</v>
      </c>
      <c r="B74" s="18">
        <v>0</v>
      </c>
      <c r="C74" s="18">
        <v>0</v>
      </c>
      <c r="D74" s="18">
        <v>0</v>
      </c>
      <c r="E74" s="18">
        <v>0</v>
      </c>
      <c r="F74" s="18">
        <v>0</v>
      </c>
      <c r="G74" s="18">
        <v>1.3172852085364679E-2</v>
      </c>
      <c r="H74" s="18">
        <v>1.0836197351768859E-2</v>
      </c>
      <c r="I74" s="18">
        <v>9.8662443885850788E-3</v>
      </c>
    </row>
    <row r="75" spans="1:9" x14ac:dyDescent="0.35">
      <c r="A75" s="14" t="s">
        <v>212</v>
      </c>
      <c r="B75" s="18">
        <v>9.6731557182955473E-3</v>
      </c>
      <c r="C75" s="18">
        <v>0</v>
      </c>
      <c r="D75" s="18">
        <v>2.2408281616128501E-2</v>
      </c>
      <c r="E75" s="18">
        <v>1.4110048428985949E-2</v>
      </c>
      <c r="F75" s="18">
        <v>9.6731557182955473E-3</v>
      </c>
      <c r="G75" s="18">
        <v>7.9723277537967936E-3</v>
      </c>
      <c r="H75" s="18">
        <v>6.5581634359279713E-3</v>
      </c>
      <c r="I75" s="18">
        <v>5.9711392381189953E-3</v>
      </c>
    </row>
    <row r="76" spans="1:9" x14ac:dyDescent="0.35">
      <c r="A76" s="14" t="s">
        <v>203</v>
      </c>
      <c r="B76" s="18">
        <v>0</v>
      </c>
      <c r="C76" s="18">
        <v>0</v>
      </c>
      <c r="D76" s="18">
        <v>0</v>
      </c>
      <c r="E76" s="18">
        <v>0</v>
      </c>
      <c r="F76" s="18">
        <v>0</v>
      </c>
      <c r="G76" s="18">
        <v>0</v>
      </c>
      <c r="H76" s="18">
        <v>0</v>
      </c>
      <c r="I76" s="18">
        <v>0</v>
      </c>
    </row>
    <row r="77" spans="1:9" x14ac:dyDescent="0.35">
      <c r="A77" s="14" t="s">
        <v>204</v>
      </c>
      <c r="B77" s="18">
        <v>2.24016604041361E-2</v>
      </c>
      <c r="C77" s="22">
        <v>0.10590308851975</v>
      </c>
      <c r="D77" s="20">
        <v>5.1894410637401432E-2</v>
      </c>
      <c r="E77" s="18">
        <v>3.2676876336666022E-2</v>
      </c>
      <c r="F77" s="18">
        <v>2.24016604041361E-2</v>
      </c>
      <c r="G77" s="18">
        <v>1.846278341547198E-2</v>
      </c>
      <c r="H77" s="18">
        <v>1.518777888467278E-2</v>
      </c>
      <c r="I77" s="25">
        <v>0</v>
      </c>
    </row>
    <row r="78" spans="1:9" x14ac:dyDescent="0.35">
      <c r="A78" s="14" t="s">
        <v>213</v>
      </c>
      <c r="B78" s="1">
        <v>62.821786230737068</v>
      </c>
      <c r="C78" s="1">
        <v>66.331811197508358</v>
      </c>
      <c r="D78" s="1">
        <v>60.437782121534319</v>
      </c>
      <c r="E78" s="1">
        <v>62.709083069243839</v>
      </c>
      <c r="F78" s="1">
        <v>62.821786230737082</v>
      </c>
      <c r="G78" s="1">
        <v>64.142722766759235</v>
      </c>
      <c r="H78" s="1">
        <v>64.276973325640654</v>
      </c>
      <c r="I78" s="1">
        <v>58.52331896344419</v>
      </c>
    </row>
    <row r="80" spans="1:9" x14ac:dyDescent="0.35">
      <c r="C80" s="187"/>
      <c r="D80" s="187"/>
      <c r="E80" s="187"/>
      <c r="F80" s="187"/>
      <c r="G80" s="170"/>
      <c r="H80" s="170"/>
      <c r="I80" s="170"/>
    </row>
    <row r="81" spans="1:9" ht="29" x14ac:dyDescent="0.35">
      <c r="A81" s="12" t="s">
        <v>584</v>
      </c>
      <c r="B81" s="13" t="s">
        <v>208</v>
      </c>
      <c r="C81" s="13" t="s">
        <v>458</v>
      </c>
      <c r="D81" s="13" t="s">
        <v>466</v>
      </c>
      <c r="E81" s="13" t="s">
        <v>467</v>
      </c>
      <c r="F81" s="13" t="s">
        <v>468</v>
      </c>
      <c r="G81" s="13" t="s">
        <v>636</v>
      </c>
      <c r="H81" s="13" t="s">
        <v>641</v>
      </c>
      <c r="I81" s="13" t="s">
        <v>647</v>
      </c>
    </row>
    <row r="82" spans="1:9" x14ac:dyDescent="0.35">
      <c r="A82" s="14" t="s">
        <v>209</v>
      </c>
      <c r="B82" s="15">
        <v>228</v>
      </c>
      <c r="C82" s="15">
        <v>47</v>
      </c>
      <c r="D82" s="15">
        <v>112</v>
      </c>
      <c r="E82" s="15">
        <v>173</v>
      </c>
      <c r="F82" s="15">
        <v>228</v>
      </c>
      <c r="G82" s="15">
        <v>281</v>
      </c>
      <c r="H82" s="15">
        <v>340</v>
      </c>
      <c r="I82" s="15">
        <v>362</v>
      </c>
    </row>
    <row r="83" spans="1:9" x14ac:dyDescent="0.35">
      <c r="A83" s="16" t="s">
        <v>336</v>
      </c>
      <c r="B83" s="17">
        <v>0.71635936299487224</v>
      </c>
      <c r="C83" s="17">
        <v>0.76684035011951734</v>
      </c>
      <c r="D83" s="17">
        <v>0.72658303700754734</v>
      </c>
      <c r="E83" s="17">
        <v>0.69659199730430266</v>
      </c>
      <c r="F83" s="17">
        <v>0.71635936299487235</v>
      </c>
      <c r="G83" s="17">
        <v>0.70664771727602338</v>
      </c>
      <c r="H83" s="17">
        <v>0.71667179263792824</v>
      </c>
      <c r="I83" s="17">
        <v>0.70235014221661352</v>
      </c>
    </row>
    <row r="84" spans="1:9" x14ac:dyDescent="0.35">
      <c r="A84" s="16" t="s">
        <v>194</v>
      </c>
      <c r="B84" s="17">
        <v>0.1899437306451725</v>
      </c>
      <c r="C84" s="17">
        <v>0.1222396667515373</v>
      </c>
      <c r="D84" s="17">
        <v>0.208854010210415</v>
      </c>
      <c r="E84" s="17">
        <v>0.2098042890341916</v>
      </c>
      <c r="F84" s="17">
        <v>0.18994373064517239</v>
      </c>
      <c r="G84" s="17">
        <v>0.19719135803085089</v>
      </c>
      <c r="H84" s="17">
        <v>0.19616158049069979</v>
      </c>
      <c r="I84" s="17">
        <v>0.21480243517319819</v>
      </c>
    </row>
    <row r="85" spans="1:9" x14ac:dyDescent="0.35">
      <c r="A85" s="16" t="s">
        <v>195</v>
      </c>
      <c r="B85" s="17">
        <v>9.3696906359955201E-2</v>
      </c>
      <c r="C85" s="17">
        <v>0.1109199831289454</v>
      </c>
      <c r="D85" s="17">
        <v>6.4562952782037566E-2</v>
      </c>
      <c r="E85" s="17">
        <v>9.3603713661505827E-2</v>
      </c>
      <c r="F85" s="17">
        <v>9.3696906359955215E-2</v>
      </c>
      <c r="G85" s="17">
        <v>9.6160924693125441E-2</v>
      </c>
      <c r="H85" s="17">
        <v>8.7166626871371722E-2</v>
      </c>
      <c r="I85" s="17">
        <v>8.2847422610187987E-2</v>
      </c>
    </row>
    <row r="86" spans="1:9" x14ac:dyDescent="0.35">
      <c r="A86" s="14" t="s">
        <v>210</v>
      </c>
      <c r="B86" s="18">
        <v>0.49415103500759661</v>
      </c>
      <c r="C86" s="18">
        <v>0.45301951610189478</v>
      </c>
      <c r="D86" s="18">
        <v>0.47598988696766131</v>
      </c>
      <c r="E86" s="18">
        <v>0.47972707674686449</v>
      </c>
      <c r="F86" s="18">
        <v>0.49415103500759672</v>
      </c>
      <c r="G86" s="18">
        <v>0.49441150330576489</v>
      </c>
      <c r="H86" s="18">
        <v>0.51267097610681756</v>
      </c>
      <c r="I86" s="18">
        <v>0.51927489551064665</v>
      </c>
    </row>
    <row r="87" spans="1:9" x14ac:dyDescent="0.35">
      <c r="A87" s="14" t="s">
        <v>197</v>
      </c>
      <c r="B87" s="18">
        <v>0.22220832798727569</v>
      </c>
      <c r="C87" s="18">
        <v>0.31382083401762262</v>
      </c>
      <c r="D87" s="18">
        <v>0.25059315003988603</v>
      </c>
      <c r="E87" s="18">
        <v>0.21686492055743811</v>
      </c>
      <c r="F87" s="18">
        <v>0.22220832798727569</v>
      </c>
      <c r="G87" s="18">
        <v>0.21223621397025849</v>
      </c>
      <c r="H87" s="18">
        <v>0.20400081653111071</v>
      </c>
      <c r="I87" s="21">
        <v>0.18307524670596689</v>
      </c>
    </row>
    <row r="88" spans="1:9" x14ac:dyDescent="0.35">
      <c r="A88" s="14" t="s">
        <v>198</v>
      </c>
      <c r="B88" s="18">
        <v>0.1149391272513758</v>
      </c>
      <c r="C88" s="18">
        <v>5.8444645422346828E-2</v>
      </c>
      <c r="D88" s="18">
        <v>0.14000250242861159</v>
      </c>
      <c r="E88" s="18">
        <v>0.13113826445831431</v>
      </c>
      <c r="F88" s="18">
        <v>0.1149391272513757</v>
      </c>
      <c r="G88" s="18">
        <v>0.1123336301610699</v>
      </c>
      <c r="H88" s="18">
        <v>0.1201376615045167</v>
      </c>
      <c r="I88" s="18">
        <v>0.1445916612455096</v>
      </c>
    </row>
    <row r="89" spans="1:9" x14ac:dyDescent="0.35">
      <c r="A89" s="14" t="s">
        <v>199</v>
      </c>
      <c r="B89" s="18">
        <v>7.5004603393796734E-2</v>
      </c>
      <c r="C89" s="18">
        <v>6.3795021329190502E-2</v>
      </c>
      <c r="D89" s="18">
        <v>6.8851507781803378E-2</v>
      </c>
      <c r="E89" s="18">
        <v>7.8666024575877264E-2</v>
      </c>
      <c r="F89" s="18">
        <v>7.500460339379672E-2</v>
      </c>
      <c r="G89" s="18">
        <v>8.4857727869781005E-2</v>
      </c>
      <c r="H89" s="18">
        <v>7.6023918986183131E-2</v>
      </c>
      <c r="I89" s="18">
        <v>7.0210773927688611E-2</v>
      </c>
    </row>
    <row r="90" spans="1:9" x14ac:dyDescent="0.35">
      <c r="A90" s="14" t="s">
        <v>200</v>
      </c>
      <c r="B90" s="18">
        <v>1.372621901432754E-2</v>
      </c>
      <c r="C90" s="18">
        <v>0</v>
      </c>
      <c r="D90" s="18">
        <v>9.9868652061922882E-3</v>
      </c>
      <c r="E90" s="18">
        <v>1.03402138079224E-2</v>
      </c>
      <c r="F90" s="25">
        <v>1.372621901432754E-2</v>
      </c>
      <c r="G90" s="18">
        <v>1.8115538506700599E-2</v>
      </c>
      <c r="H90" s="18">
        <v>1.8676727794411461E-2</v>
      </c>
      <c r="I90" s="18">
        <v>1.9813682013148301E-2</v>
      </c>
    </row>
    <row r="91" spans="1:9" x14ac:dyDescent="0.35">
      <c r="A91" s="14" t="s">
        <v>201</v>
      </c>
      <c r="B91" s="18">
        <v>4.9356782143012749E-2</v>
      </c>
      <c r="C91" s="18">
        <v>5.4321197656487692E-2</v>
      </c>
      <c r="D91" s="18">
        <v>3.1927017110425303E-2</v>
      </c>
      <c r="E91" s="18">
        <v>5.6804184471352978E-2</v>
      </c>
      <c r="F91" s="18">
        <v>4.9356782143012763E-2</v>
      </c>
      <c r="G91" s="18">
        <v>4.0285353941744373E-2</v>
      </c>
      <c r="H91" s="18">
        <v>3.7429179235367253E-2</v>
      </c>
      <c r="I91" s="18">
        <v>3.4399450691729158E-2</v>
      </c>
    </row>
    <row r="92" spans="1:9" x14ac:dyDescent="0.35">
      <c r="A92" s="14" t="s">
        <v>202</v>
      </c>
      <c r="B92" s="18">
        <v>0</v>
      </c>
      <c r="C92" s="18">
        <v>0</v>
      </c>
      <c r="D92" s="18">
        <v>0</v>
      </c>
      <c r="E92" s="18">
        <v>0</v>
      </c>
      <c r="F92" s="18">
        <v>0</v>
      </c>
      <c r="G92" s="18">
        <v>6.8906379473568664E-3</v>
      </c>
      <c r="H92" s="18">
        <v>5.6681141961379741E-3</v>
      </c>
      <c r="I92" s="18">
        <v>7.8047931656291666E-3</v>
      </c>
    </row>
    <row r="93" spans="1:9" x14ac:dyDescent="0.35">
      <c r="A93" s="14" t="s">
        <v>211</v>
      </c>
      <c r="B93" s="18">
        <v>1.187414412439272E-2</v>
      </c>
      <c r="C93" s="18">
        <v>1.212546818306748E-2</v>
      </c>
      <c r="D93" s="18">
        <v>4.8522345667319144E-3</v>
      </c>
      <c r="E93" s="18">
        <v>9.9027581877865149E-3</v>
      </c>
      <c r="F93" s="18">
        <v>1.187414412439272E-2</v>
      </c>
      <c r="G93" s="18">
        <v>1.5573869041393219E-2</v>
      </c>
      <c r="H93" s="18">
        <v>1.2810783105528739E-2</v>
      </c>
      <c r="I93" s="18">
        <v>1.0392131228301391E-2</v>
      </c>
    </row>
    <row r="94" spans="1:9" x14ac:dyDescent="0.35">
      <c r="A94" s="14" t="s">
        <v>212</v>
      </c>
      <c r="B94" s="18">
        <v>0</v>
      </c>
      <c r="C94" s="18">
        <v>0</v>
      </c>
      <c r="D94" s="18">
        <v>0</v>
      </c>
      <c r="E94" s="18">
        <v>0</v>
      </c>
      <c r="F94" s="18">
        <v>0</v>
      </c>
      <c r="G94" s="18">
        <v>0</v>
      </c>
      <c r="H94" s="18">
        <v>0</v>
      </c>
      <c r="I94" s="18">
        <v>0</v>
      </c>
    </row>
    <row r="95" spans="1:9" x14ac:dyDescent="0.35">
      <c r="A95" s="14" t="s">
        <v>203</v>
      </c>
      <c r="B95" s="18">
        <v>3.9389519801108974E-3</v>
      </c>
      <c r="C95" s="18">
        <v>0</v>
      </c>
      <c r="D95" s="18">
        <v>0</v>
      </c>
      <c r="E95" s="18">
        <v>5.2069678106457414E-3</v>
      </c>
      <c r="F95" s="18">
        <v>3.9389519801108974E-3</v>
      </c>
      <c r="G95" s="18">
        <v>3.2150004070061991E-3</v>
      </c>
      <c r="H95" s="18">
        <v>2.6446012091712401E-3</v>
      </c>
      <c r="I95" s="18">
        <v>2.4452980665941771E-3</v>
      </c>
    </row>
    <row r="96" spans="1:9" x14ac:dyDescent="0.35">
      <c r="A96" s="14" t="s">
        <v>204</v>
      </c>
      <c r="B96" s="18">
        <v>1.48008090981113E-2</v>
      </c>
      <c r="C96" s="20">
        <v>4.4473317289390239E-2</v>
      </c>
      <c r="D96" s="18">
        <v>1.7796835898688069E-2</v>
      </c>
      <c r="E96" s="18">
        <v>1.134958938379819E-2</v>
      </c>
      <c r="F96" s="18">
        <v>1.48008090981113E-2</v>
      </c>
      <c r="G96" s="18">
        <v>1.2080524848924201E-2</v>
      </c>
      <c r="H96" s="25">
        <v>9.9372213307550496E-3</v>
      </c>
      <c r="I96" s="21">
        <v>7.992067444785797E-3</v>
      </c>
    </row>
    <row r="97" spans="1:9" x14ac:dyDescent="0.35">
      <c r="A97" s="14" t="s">
        <v>213</v>
      </c>
      <c r="B97" s="1">
        <v>62.266245663491709</v>
      </c>
      <c r="C97" s="1">
        <v>65.592036699057203</v>
      </c>
      <c r="D97" s="1">
        <v>66.202008422550989</v>
      </c>
      <c r="E97" s="1">
        <v>60.298828364279679</v>
      </c>
      <c r="F97" s="1">
        <v>62.266245663491731</v>
      </c>
      <c r="G97" s="1">
        <v>61.048679258289823</v>
      </c>
      <c r="H97" s="1">
        <v>62.95051657665568</v>
      </c>
      <c r="I97" s="1">
        <v>61.950271960642567</v>
      </c>
    </row>
    <row r="99" spans="1:9" x14ac:dyDescent="0.35">
      <c r="C99" s="187"/>
      <c r="D99" s="187"/>
      <c r="E99" s="187"/>
      <c r="F99" s="187"/>
      <c r="G99" s="170"/>
      <c r="H99" s="170"/>
      <c r="I99" s="170"/>
    </row>
    <row r="100" spans="1:9" ht="29" x14ac:dyDescent="0.35">
      <c r="A100" s="12" t="s">
        <v>585</v>
      </c>
      <c r="B100" s="13" t="s">
        <v>208</v>
      </c>
      <c r="C100" s="13" t="s">
        <v>458</v>
      </c>
      <c r="D100" s="13" t="s">
        <v>466</v>
      </c>
      <c r="E100" s="13" t="s">
        <v>467</v>
      </c>
      <c r="F100" s="13" t="s">
        <v>468</v>
      </c>
      <c r="G100" s="13" t="s">
        <v>636</v>
      </c>
      <c r="H100" s="13" t="s">
        <v>641</v>
      </c>
      <c r="I100" s="13" t="s">
        <v>647</v>
      </c>
    </row>
    <row r="101" spans="1:9" x14ac:dyDescent="0.35">
      <c r="A101" s="14" t="s">
        <v>209</v>
      </c>
      <c r="B101" s="15">
        <v>6</v>
      </c>
      <c r="C101" s="15">
        <v>1</v>
      </c>
      <c r="D101" s="15">
        <v>5</v>
      </c>
      <c r="E101" s="15">
        <v>5</v>
      </c>
      <c r="F101" s="15">
        <v>6</v>
      </c>
      <c r="G101" s="15">
        <v>6</v>
      </c>
      <c r="H101" s="15">
        <v>7</v>
      </c>
      <c r="I101" s="15">
        <v>11</v>
      </c>
    </row>
    <row r="102" spans="1:9" x14ac:dyDescent="0.35">
      <c r="A102" s="16" t="s">
        <v>336</v>
      </c>
      <c r="B102" s="17">
        <v>1</v>
      </c>
      <c r="C102" s="17">
        <v>1</v>
      </c>
      <c r="D102" s="17">
        <v>1</v>
      </c>
      <c r="E102" s="17">
        <v>1</v>
      </c>
      <c r="F102" s="17">
        <v>1</v>
      </c>
      <c r="G102" s="17">
        <v>1</v>
      </c>
      <c r="H102" s="17">
        <v>0.86958770430545929</v>
      </c>
      <c r="I102" s="17">
        <v>0.39222995637550878</v>
      </c>
    </row>
    <row r="103" spans="1:9" x14ac:dyDescent="0.35">
      <c r="A103" s="16" t="s">
        <v>194</v>
      </c>
      <c r="B103" s="17">
        <v>0</v>
      </c>
      <c r="C103" s="17">
        <v>0</v>
      </c>
      <c r="D103" s="17">
        <v>0</v>
      </c>
      <c r="E103" s="17">
        <v>0</v>
      </c>
      <c r="F103" s="17">
        <v>0</v>
      </c>
      <c r="G103" s="17">
        <v>0</v>
      </c>
      <c r="H103" s="17">
        <v>0</v>
      </c>
      <c r="I103" s="17">
        <v>0.47459791278416202</v>
      </c>
    </row>
    <row r="104" spans="1:9" x14ac:dyDescent="0.35">
      <c r="A104" s="16" t="s">
        <v>195</v>
      </c>
      <c r="B104" s="17">
        <v>0</v>
      </c>
      <c r="C104" s="17">
        <v>0</v>
      </c>
      <c r="D104" s="17">
        <v>0</v>
      </c>
      <c r="E104" s="17">
        <v>0</v>
      </c>
      <c r="F104" s="17">
        <v>0</v>
      </c>
      <c r="G104" s="17">
        <v>0</v>
      </c>
      <c r="H104" s="17">
        <v>0.13041229569454069</v>
      </c>
      <c r="I104" s="17">
        <v>0.13317213084032911</v>
      </c>
    </row>
    <row r="105" spans="1:9" x14ac:dyDescent="0.35">
      <c r="A105" s="14" t="s">
        <v>210</v>
      </c>
      <c r="B105" s="18">
        <v>1</v>
      </c>
      <c r="C105" s="18">
        <v>1</v>
      </c>
      <c r="D105" s="18">
        <v>1</v>
      </c>
      <c r="E105" s="18">
        <v>1</v>
      </c>
      <c r="F105" s="18">
        <v>1</v>
      </c>
      <c r="G105" s="18">
        <v>1</v>
      </c>
      <c r="H105" s="18">
        <v>0.86958770430545929</v>
      </c>
      <c r="I105" s="18">
        <v>0.39222995637550878</v>
      </c>
    </row>
    <row r="106" spans="1:9" x14ac:dyDescent="0.35">
      <c r="A106" s="14" t="s">
        <v>197</v>
      </c>
      <c r="B106" s="18">
        <v>0</v>
      </c>
      <c r="C106" s="18">
        <v>0</v>
      </c>
      <c r="D106" s="18">
        <v>0</v>
      </c>
      <c r="E106" s="18">
        <v>0</v>
      </c>
      <c r="F106" s="18">
        <v>0</v>
      </c>
      <c r="G106" s="18">
        <v>0</v>
      </c>
      <c r="H106" s="18">
        <v>0</v>
      </c>
      <c r="I106" s="18">
        <v>0</v>
      </c>
    </row>
    <row r="107" spans="1:9" x14ac:dyDescent="0.35">
      <c r="A107" s="14" t="s">
        <v>198</v>
      </c>
      <c r="B107" s="18">
        <v>0</v>
      </c>
      <c r="C107" s="18">
        <v>0</v>
      </c>
      <c r="D107" s="18">
        <v>0</v>
      </c>
      <c r="E107" s="18">
        <v>0</v>
      </c>
      <c r="F107" s="18">
        <v>0</v>
      </c>
      <c r="G107" s="18">
        <v>0</v>
      </c>
      <c r="H107" s="18">
        <v>0</v>
      </c>
      <c r="I107" s="18">
        <v>0.28120630536948371</v>
      </c>
    </row>
    <row r="108" spans="1:9" x14ac:dyDescent="0.35">
      <c r="A108" s="14" t="s">
        <v>199</v>
      </c>
      <c r="B108" s="18">
        <v>0</v>
      </c>
      <c r="C108" s="18">
        <v>0</v>
      </c>
      <c r="D108" s="18">
        <v>0</v>
      </c>
      <c r="E108" s="18">
        <v>0</v>
      </c>
      <c r="F108" s="18">
        <v>0</v>
      </c>
      <c r="G108" s="18">
        <v>0</v>
      </c>
      <c r="H108" s="18">
        <v>0</v>
      </c>
      <c r="I108" s="18">
        <v>0.19339160741467831</v>
      </c>
    </row>
    <row r="109" spans="1:9" x14ac:dyDescent="0.35">
      <c r="A109" s="14" t="s">
        <v>200</v>
      </c>
      <c r="B109" s="18">
        <v>0</v>
      </c>
      <c r="C109" s="18">
        <v>0</v>
      </c>
      <c r="D109" s="18">
        <v>0</v>
      </c>
      <c r="E109" s="18">
        <v>0</v>
      </c>
      <c r="F109" s="18">
        <v>0</v>
      </c>
      <c r="G109" s="18">
        <v>0</v>
      </c>
      <c r="H109" s="18">
        <v>0</v>
      </c>
      <c r="I109" s="18">
        <v>7.169354289803001E-2</v>
      </c>
    </row>
    <row r="110" spans="1:9" x14ac:dyDescent="0.35">
      <c r="A110" s="14" t="s">
        <v>201</v>
      </c>
      <c r="B110" s="18">
        <v>0</v>
      </c>
      <c r="C110" s="18">
        <v>0</v>
      </c>
      <c r="D110" s="18">
        <v>0</v>
      </c>
      <c r="E110" s="18">
        <v>0</v>
      </c>
      <c r="F110" s="18">
        <v>0</v>
      </c>
      <c r="G110" s="18">
        <v>0</v>
      </c>
      <c r="H110" s="18">
        <v>0.13041229569454069</v>
      </c>
      <c r="I110" s="18">
        <v>6.1478587942299108E-2</v>
      </c>
    </row>
    <row r="111" spans="1:9" x14ac:dyDescent="0.35">
      <c r="A111" s="14" t="s">
        <v>202</v>
      </c>
      <c r="B111" s="18">
        <v>0</v>
      </c>
      <c r="C111" s="18">
        <v>0</v>
      </c>
      <c r="D111" s="18">
        <v>0</v>
      </c>
      <c r="E111" s="18">
        <v>0</v>
      </c>
      <c r="F111" s="18">
        <v>0</v>
      </c>
      <c r="G111" s="18">
        <v>0</v>
      </c>
      <c r="H111" s="18">
        <v>0</v>
      </c>
      <c r="I111" s="18">
        <v>0</v>
      </c>
    </row>
    <row r="112" spans="1:9" x14ac:dyDescent="0.35">
      <c r="A112" s="14" t="s">
        <v>211</v>
      </c>
      <c r="B112" s="18">
        <v>0</v>
      </c>
      <c r="C112" s="18">
        <v>0</v>
      </c>
      <c r="D112" s="18">
        <v>0</v>
      </c>
      <c r="E112" s="18">
        <v>0</v>
      </c>
      <c r="F112" s="18">
        <v>0</v>
      </c>
      <c r="G112" s="18">
        <v>0</v>
      </c>
      <c r="H112" s="18">
        <v>0</v>
      </c>
      <c r="I112" s="18">
        <v>0</v>
      </c>
    </row>
    <row r="113" spans="1:9" x14ac:dyDescent="0.35">
      <c r="A113" s="14" t="s">
        <v>212</v>
      </c>
      <c r="B113" s="18">
        <v>0</v>
      </c>
      <c r="C113" s="18">
        <v>0</v>
      </c>
      <c r="D113" s="18">
        <v>0</v>
      </c>
      <c r="E113" s="18">
        <v>0</v>
      </c>
      <c r="F113" s="18">
        <v>0</v>
      </c>
      <c r="G113" s="18">
        <v>0</v>
      </c>
      <c r="H113" s="18">
        <v>0</v>
      </c>
      <c r="I113" s="18">
        <v>0</v>
      </c>
    </row>
    <row r="114" spans="1:9" x14ac:dyDescent="0.35">
      <c r="A114" s="14" t="s">
        <v>203</v>
      </c>
      <c r="B114" s="18">
        <v>0</v>
      </c>
      <c r="C114" s="18">
        <v>0</v>
      </c>
      <c r="D114" s="18">
        <v>0</v>
      </c>
      <c r="E114" s="18">
        <v>0</v>
      </c>
      <c r="F114" s="18">
        <v>0</v>
      </c>
      <c r="G114" s="18">
        <v>0</v>
      </c>
      <c r="H114" s="18">
        <v>0</v>
      </c>
      <c r="I114" s="18">
        <v>0</v>
      </c>
    </row>
    <row r="115" spans="1:9" x14ac:dyDescent="0.35">
      <c r="A115" s="14" t="s">
        <v>204</v>
      </c>
      <c r="B115" s="18">
        <v>0</v>
      </c>
      <c r="C115" s="18">
        <v>0</v>
      </c>
      <c r="D115" s="18">
        <v>0</v>
      </c>
      <c r="E115" s="18">
        <v>0</v>
      </c>
      <c r="F115" s="18">
        <v>0</v>
      </c>
      <c r="G115" s="18">
        <v>0</v>
      </c>
      <c r="H115" s="18">
        <v>0</v>
      </c>
      <c r="I115" s="18">
        <v>0</v>
      </c>
    </row>
    <row r="116" spans="1:9" x14ac:dyDescent="0.35">
      <c r="A116" s="14" t="s">
        <v>213</v>
      </c>
      <c r="B116" s="1">
        <v>100</v>
      </c>
      <c r="C116" s="1">
        <v>100</v>
      </c>
      <c r="D116" s="1">
        <v>100</v>
      </c>
      <c r="E116" s="1">
        <v>100</v>
      </c>
      <c r="F116" s="1">
        <v>100</v>
      </c>
      <c r="G116" s="1">
        <v>100</v>
      </c>
      <c r="H116" s="1">
        <v>73.917540861091851</v>
      </c>
      <c r="I116" s="1">
        <v>25.90578255351798</v>
      </c>
    </row>
    <row r="118" spans="1:9" x14ac:dyDescent="0.35">
      <c r="C118" s="187"/>
      <c r="D118" s="187"/>
      <c r="E118" s="187"/>
      <c r="F118" s="187"/>
      <c r="G118" s="170"/>
      <c r="H118" s="170"/>
      <c r="I118" s="170"/>
    </row>
    <row r="119" spans="1:9" ht="29" x14ac:dyDescent="0.35">
      <c r="A119" s="12" t="s">
        <v>478</v>
      </c>
      <c r="B119" s="13" t="s">
        <v>208</v>
      </c>
      <c r="C119" s="13" t="s">
        <v>458</v>
      </c>
      <c r="D119" s="13" t="s">
        <v>466</v>
      </c>
      <c r="E119" s="13" t="s">
        <v>467</v>
      </c>
      <c r="F119" s="13" t="s">
        <v>468</v>
      </c>
      <c r="G119" s="13" t="s">
        <v>636</v>
      </c>
      <c r="H119" s="13" t="s">
        <v>641</v>
      </c>
      <c r="I119" s="13" t="s">
        <v>647</v>
      </c>
    </row>
    <row r="120" spans="1:9" x14ac:dyDescent="0.35">
      <c r="A120" s="14" t="s">
        <v>209</v>
      </c>
      <c r="B120" s="15">
        <v>0</v>
      </c>
      <c r="C120" s="15">
        <v>0</v>
      </c>
      <c r="D120" s="15">
        <v>0</v>
      </c>
      <c r="E120" s="15">
        <v>0</v>
      </c>
      <c r="F120" s="15">
        <v>0</v>
      </c>
      <c r="G120" s="15">
        <v>0</v>
      </c>
      <c r="H120" s="15">
        <v>0</v>
      </c>
      <c r="I120" s="15">
        <v>0</v>
      </c>
    </row>
    <row r="121" spans="1:9" x14ac:dyDescent="0.35">
      <c r="A121" s="16" t="s">
        <v>336</v>
      </c>
      <c r="B121" s="17" t="s">
        <v>214</v>
      </c>
      <c r="C121" s="168" t="s">
        <v>214</v>
      </c>
      <c r="D121" s="168" t="s">
        <v>214</v>
      </c>
      <c r="E121" s="168" t="s">
        <v>214</v>
      </c>
      <c r="F121" s="168" t="s">
        <v>214</v>
      </c>
      <c r="G121" s="168" t="s">
        <v>214</v>
      </c>
      <c r="H121" s="168" t="s">
        <v>214</v>
      </c>
      <c r="I121" s="168" t="s">
        <v>214</v>
      </c>
    </row>
    <row r="122" spans="1:9" x14ac:dyDescent="0.35">
      <c r="A122" s="16" t="s">
        <v>194</v>
      </c>
      <c r="B122" s="17" t="s">
        <v>214</v>
      </c>
      <c r="C122" s="168" t="s">
        <v>214</v>
      </c>
      <c r="D122" s="168" t="s">
        <v>214</v>
      </c>
      <c r="E122" s="168" t="s">
        <v>214</v>
      </c>
      <c r="F122" s="168" t="s">
        <v>214</v>
      </c>
      <c r="G122" s="168" t="s">
        <v>214</v>
      </c>
      <c r="H122" s="168" t="s">
        <v>214</v>
      </c>
      <c r="I122" s="168" t="s">
        <v>214</v>
      </c>
    </row>
    <row r="123" spans="1:9" x14ac:dyDescent="0.35">
      <c r="A123" s="16" t="s">
        <v>195</v>
      </c>
      <c r="B123" s="17" t="s">
        <v>214</v>
      </c>
      <c r="C123" s="168" t="s">
        <v>214</v>
      </c>
      <c r="D123" s="168" t="s">
        <v>214</v>
      </c>
      <c r="E123" s="168" t="s">
        <v>214</v>
      </c>
      <c r="F123" s="168" t="s">
        <v>214</v>
      </c>
      <c r="G123" s="168" t="s">
        <v>214</v>
      </c>
      <c r="H123" s="168" t="s">
        <v>214</v>
      </c>
      <c r="I123" s="168" t="s">
        <v>214</v>
      </c>
    </row>
    <row r="124" spans="1:9" x14ac:dyDescent="0.35">
      <c r="A124" s="14" t="s">
        <v>210</v>
      </c>
      <c r="B124" s="18" t="s">
        <v>214</v>
      </c>
      <c r="C124" s="18" t="s">
        <v>214</v>
      </c>
      <c r="D124" s="18" t="s">
        <v>214</v>
      </c>
      <c r="E124" s="18" t="s">
        <v>214</v>
      </c>
      <c r="F124" s="18" t="s">
        <v>214</v>
      </c>
      <c r="G124" s="18" t="s">
        <v>214</v>
      </c>
      <c r="H124" s="18" t="s">
        <v>214</v>
      </c>
      <c r="I124" s="18" t="s">
        <v>214</v>
      </c>
    </row>
    <row r="125" spans="1:9" x14ac:dyDescent="0.35">
      <c r="A125" s="14" t="s">
        <v>197</v>
      </c>
      <c r="B125" s="18" t="s">
        <v>214</v>
      </c>
      <c r="C125" s="18" t="s">
        <v>214</v>
      </c>
      <c r="D125" s="18" t="s">
        <v>214</v>
      </c>
      <c r="E125" s="18" t="s">
        <v>214</v>
      </c>
      <c r="F125" s="18" t="s">
        <v>214</v>
      </c>
      <c r="G125" s="18" t="s">
        <v>214</v>
      </c>
      <c r="H125" s="18" t="s">
        <v>214</v>
      </c>
      <c r="I125" s="18" t="s">
        <v>214</v>
      </c>
    </row>
    <row r="126" spans="1:9" x14ac:dyDescent="0.35">
      <c r="A126" s="14" t="s">
        <v>198</v>
      </c>
      <c r="B126" s="18" t="s">
        <v>214</v>
      </c>
      <c r="C126" s="18" t="s">
        <v>214</v>
      </c>
      <c r="D126" s="18" t="s">
        <v>214</v>
      </c>
      <c r="E126" s="18" t="s">
        <v>214</v>
      </c>
      <c r="F126" s="18" t="s">
        <v>214</v>
      </c>
      <c r="G126" s="18" t="s">
        <v>214</v>
      </c>
      <c r="H126" s="18" t="s">
        <v>214</v>
      </c>
      <c r="I126" s="18" t="s">
        <v>214</v>
      </c>
    </row>
    <row r="127" spans="1:9" x14ac:dyDescent="0.35">
      <c r="A127" s="14" t="s">
        <v>199</v>
      </c>
      <c r="B127" s="18" t="s">
        <v>214</v>
      </c>
      <c r="C127" s="18" t="s">
        <v>214</v>
      </c>
      <c r="D127" s="18" t="s">
        <v>214</v>
      </c>
      <c r="E127" s="18" t="s">
        <v>214</v>
      </c>
      <c r="F127" s="18" t="s">
        <v>214</v>
      </c>
      <c r="G127" s="18" t="s">
        <v>214</v>
      </c>
      <c r="H127" s="18" t="s">
        <v>214</v>
      </c>
      <c r="I127" s="18" t="s">
        <v>214</v>
      </c>
    </row>
    <row r="128" spans="1:9" x14ac:dyDescent="0.35">
      <c r="A128" s="14" t="s">
        <v>200</v>
      </c>
      <c r="B128" s="18" t="s">
        <v>214</v>
      </c>
      <c r="C128" s="18" t="s">
        <v>214</v>
      </c>
      <c r="D128" s="18" t="s">
        <v>214</v>
      </c>
      <c r="E128" s="18" t="s">
        <v>214</v>
      </c>
      <c r="F128" s="18" t="s">
        <v>214</v>
      </c>
      <c r="G128" s="18" t="s">
        <v>214</v>
      </c>
      <c r="H128" s="18" t="s">
        <v>214</v>
      </c>
      <c r="I128" s="18" t="s">
        <v>214</v>
      </c>
    </row>
    <row r="129" spans="1:9" x14ac:dyDescent="0.35">
      <c r="A129" s="14" t="s">
        <v>201</v>
      </c>
      <c r="B129" s="18" t="s">
        <v>214</v>
      </c>
      <c r="C129" s="18" t="s">
        <v>214</v>
      </c>
      <c r="D129" s="18" t="s">
        <v>214</v>
      </c>
      <c r="E129" s="18" t="s">
        <v>214</v>
      </c>
      <c r="F129" s="18" t="s">
        <v>214</v>
      </c>
      <c r="G129" s="18" t="s">
        <v>214</v>
      </c>
      <c r="H129" s="18" t="s">
        <v>214</v>
      </c>
      <c r="I129" s="18" t="s">
        <v>214</v>
      </c>
    </row>
    <row r="130" spans="1:9" x14ac:dyDescent="0.35">
      <c r="A130" s="14" t="s">
        <v>202</v>
      </c>
      <c r="B130" s="18" t="s">
        <v>214</v>
      </c>
      <c r="C130" s="18" t="s">
        <v>214</v>
      </c>
      <c r="D130" s="18" t="s">
        <v>214</v>
      </c>
      <c r="E130" s="18" t="s">
        <v>214</v>
      </c>
      <c r="F130" s="18" t="s">
        <v>214</v>
      </c>
      <c r="G130" s="18" t="s">
        <v>214</v>
      </c>
      <c r="H130" s="18" t="s">
        <v>214</v>
      </c>
      <c r="I130" s="18" t="s">
        <v>214</v>
      </c>
    </row>
    <row r="131" spans="1:9" x14ac:dyDescent="0.35">
      <c r="A131" s="14" t="s">
        <v>211</v>
      </c>
      <c r="B131" s="18" t="s">
        <v>214</v>
      </c>
      <c r="C131" s="18" t="s">
        <v>214</v>
      </c>
      <c r="D131" s="18" t="s">
        <v>214</v>
      </c>
      <c r="E131" s="18" t="s">
        <v>214</v>
      </c>
      <c r="F131" s="18" t="s">
        <v>214</v>
      </c>
      <c r="G131" s="18" t="s">
        <v>214</v>
      </c>
      <c r="H131" s="18" t="s">
        <v>214</v>
      </c>
      <c r="I131" s="18" t="s">
        <v>214</v>
      </c>
    </row>
    <row r="132" spans="1:9" x14ac:dyDescent="0.35">
      <c r="A132" s="14" t="s">
        <v>212</v>
      </c>
      <c r="B132" s="18" t="s">
        <v>214</v>
      </c>
      <c r="C132" s="18" t="s">
        <v>214</v>
      </c>
      <c r="D132" s="18" t="s">
        <v>214</v>
      </c>
      <c r="E132" s="18" t="s">
        <v>214</v>
      </c>
      <c r="F132" s="18" t="s">
        <v>214</v>
      </c>
      <c r="G132" s="18" t="s">
        <v>214</v>
      </c>
      <c r="H132" s="18" t="s">
        <v>214</v>
      </c>
      <c r="I132" s="18" t="s">
        <v>214</v>
      </c>
    </row>
    <row r="133" spans="1:9" x14ac:dyDescent="0.35">
      <c r="A133" s="14" t="s">
        <v>203</v>
      </c>
      <c r="B133" s="18" t="s">
        <v>214</v>
      </c>
      <c r="C133" s="18" t="s">
        <v>214</v>
      </c>
      <c r="D133" s="18" t="s">
        <v>214</v>
      </c>
      <c r="E133" s="18" t="s">
        <v>214</v>
      </c>
      <c r="F133" s="18" t="s">
        <v>214</v>
      </c>
      <c r="G133" s="18" t="s">
        <v>214</v>
      </c>
      <c r="H133" s="18" t="s">
        <v>214</v>
      </c>
      <c r="I133" s="18" t="s">
        <v>214</v>
      </c>
    </row>
    <row r="134" spans="1:9" x14ac:dyDescent="0.35">
      <c r="A134" s="14" t="s">
        <v>204</v>
      </c>
      <c r="B134" s="18" t="s">
        <v>214</v>
      </c>
      <c r="C134" s="18" t="s">
        <v>214</v>
      </c>
      <c r="D134" s="18" t="s">
        <v>214</v>
      </c>
      <c r="E134" s="18" t="s">
        <v>214</v>
      </c>
      <c r="F134" s="18" t="s">
        <v>214</v>
      </c>
      <c r="G134" s="18" t="s">
        <v>214</v>
      </c>
      <c r="H134" s="18" t="s">
        <v>214</v>
      </c>
      <c r="I134" s="18" t="s">
        <v>214</v>
      </c>
    </row>
    <row r="136" spans="1:9" x14ac:dyDescent="0.35">
      <c r="C136" s="187"/>
      <c r="D136" s="187"/>
      <c r="E136" s="187"/>
      <c r="F136" s="187"/>
      <c r="G136" s="170"/>
      <c r="H136" s="170"/>
      <c r="I136" s="170"/>
    </row>
    <row r="137" spans="1:9" ht="29" x14ac:dyDescent="0.35">
      <c r="A137" s="12" t="s">
        <v>486</v>
      </c>
      <c r="B137" s="13" t="s">
        <v>208</v>
      </c>
      <c r="C137" s="13" t="s">
        <v>458</v>
      </c>
      <c r="D137" s="13" t="s">
        <v>466</v>
      </c>
      <c r="E137" s="13" t="s">
        <v>467</v>
      </c>
      <c r="F137" s="13" t="s">
        <v>468</v>
      </c>
      <c r="G137" s="13" t="s">
        <v>636</v>
      </c>
      <c r="H137" s="13" t="s">
        <v>641</v>
      </c>
      <c r="I137" s="13" t="s">
        <v>647</v>
      </c>
    </row>
    <row r="138" spans="1:9" x14ac:dyDescent="0.35">
      <c r="A138" s="14" t="s">
        <v>209</v>
      </c>
      <c r="B138" s="15">
        <v>0</v>
      </c>
      <c r="C138" s="15">
        <v>0</v>
      </c>
      <c r="D138" s="15">
        <v>0</v>
      </c>
      <c r="E138" s="15">
        <v>0</v>
      </c>
      <c r="F138" s="15">
        <v>0</v>
      </c>
      <c r="G138" s="15">
        <v>0</v>
      </c>
      <c r="H138" s="15">
        <v>0</v>
      </c>
      <c r="I138" s="15">
        <v>0</v>
      </c>
    </row>
    <row r="139" spans="1:9" x14ac:dyDescent="0.35">
      <c r="A139" s="16" t="s">
        <v>336</v>
      </c>
      <c r="B139" s="17" t="s">
        <v>214</v>
      </c>
      <c r="C139" s="168" t="s">
        <v>214</v>
      </c>
      <c r="D139" s="168" t="s">
        <v>214</v>
      </c>
      <c r="E139" s="168" t="s">
        <v>214</v>
      </c>
      <c r="F139" s="168" t="s">
        <v>214</v>
      </c>
      <c r="G139" s="168" t="s">
        <v>214</v>
      </c>
      <c r="H139" s="168" t="s">
        <v>214</v>
      </c>
      <c r="I139" s="168" t="s">
        <v>214</v>
      </c>
    </row>
    <row r="140" spans="1:9" x14ac:dyDescent="0.35">
      <c r="A140" s="16" t="s">
        <v>194</v>
      </c>
      <c r="B140" s="17" t="s">
        <v>214</v>
      </c>
      <c r="C140" s="168" t="s">
        <v>214</v>
      </c>
      <c r="D140" s="168" t="s">
        <v>214</v>
      </c>
      <c r="E140" s="168" t="s">
        <v>214</v>
      </c>
      <c r="F140" s="168" t="s">
        <v>214</v>
      </c>
      <c r="G140" s="168" t="s">
        <v>214</v>
      </c>
      <c r="H140" s="168" t="s">
        <v>214</v>
      </c>
      <c r="I140" s="168" t="s">
        <v>214</v>
      </c>
    </row>
    <row r="141" spans="1:9" x14ac:dyDescent="0.35">
      <c r="A141" s="16" t="s">
        <v>195</v>
      </c>
      <c r="B141" s="17" t="s">
        <v>214</v>
      </c>
      <c r="C141" s="168" t="s">
        <v>214</v>
      </c>
      <c r="D141" s="168" t="s">
        <v>214</v>
      </c>
      <c r="E141" s="168" t="s">
        <v>214</v>
      </c>
      <c r="F141" s="168" t="s">
        <v>214</v>
      </c>
      <c r="G141" s="168" t="s">
        <v>214</v>
      </c>
      <c r="H141" s="168" t="s">
        <v>214</v>
      </c>
      <c r="I141" s="168" t="s">
        <v>214</v>
      </c>
    </row>
    <row r="142" spans="1:9" x14ac:dyDescent="0.35">
      <c r="A142" s="14" t="s">
        <v>210</v>
      </c>
      <c r="B142" s="18" t="s">
        <v>214</v>
      </c>
      <c r="C142" s="18" t="s">
        <v>214</v>
      </c>
      <c r="D142" s="18" t="s">
        <v>214</v>
      </c>
      <c r="E142" s="18" t="s">
        <v>214</v>
      </c>
      <c r="F142" s="18" t="s">
        <v>214</v>
      </c>
      <c r="G142" s="18" t="s">
        <v>214</v>
      </c>
      <c r="H142" s="18" t="s">
        <v>214</v>
      </c>
      <c r="I142" s="18" t="s">
        <v>214</v>
      </c>
    </row>
    <row r="143" spans="1:9" x14ac:dyDescent="0.35">
      <c r="A143" s="14" t="s">
        <v>197</v>
      </c>
      <c r="B143" s="18" t="s">
        <v>214</v>
      </c>
      <c r="C143" s="18" t="s">
        <v>214</v>
      </c>
      <c r="D143" s="18" t="s">
        <v>214</v>
      </c>
      <c r="E143" s="18" t="s">
        <v>214</v>
      </c>
      <c r="F143" s="18" t="s">
        <v>214</v>
      </c>
      <c r="G143" s="18" t="s">
        <v>214</v>
      </c>
      <c r="H143" s="18" t="s">
        <v>214</v>
      </c>
      <c r="I143" s="18" t="s">
        <v>214</v>
      </c>
    </row>
    <row r="144" spans="1:9" x14ac:dyDescent="0.35">
      <c r="A144" s="14" t="s">
        <v>198</v>
      </c>
      <c r="B144" s="18" t="s">
        <v>214</v>
      </c>
      <c r="C144" s="18" t="s">
        <v>214</v>
      </c>
      <c r="D144" s="18" t="s">
        <v>214</v>
      </c>
      <c r="E144" s="18" t="s">
        <v>214</v>
      </c>
      <c r="F144" s="18" t="s">
        <v>214</v>
      </c>
      <c r="G144" s="18" t="s">
        <v>214</v>
      </c>
      <c r="H144" s="18" t="s">
        <v>214</v>
      </c>
      <c r="I144" s="18" t="s">
        <v>214</v>
      </c>
    </row>
    <row r="145" spans="1:9" x14ac:dyDescent="0.35">
      <c r="A145" s="14" t="s">
        <v>199</v>
      </c>
      <c r="B145" s="18" t="s">
        <v>214</v>
      </c>
      <c r="C145" s="18" t="s">
        <v>214</v>
      </c>
      <c r="D145" s="18" t="s">
        <v>214</v>
      </c>
      <c r="E145" s="18" t="s">
        <v>214</v>
      </c>
      <c r="F145" s="18" t="s">
        <v>214</v>
      </c>
      <c r="G145" s="18" t="s">
        <v>214</v>
      </c>
      <c r="H145" s="18" t="s">
        <v>214</v>
      </c>
      <c r="I145" s="18" t="s">
        <v>214</v>
      </c>
    </row>
    <row r="146" spans="1:9" x14ac:dyDescent="0.35">
      <c r="A146" s="14" t="s">
        <v>200</v>
      </c>
      <c r="B146" s="18" t="s">
        <v>214</v>
      </c>
      <c r="C146" s="18" t="s">
        <v>214</v>
      </c>
      <c r="D146" s="18" t="s">
        <v>214</v>
      </c>
      <c r="E146" s="18" t="s">
        <v>214</v>
      </c>
      <c r="F146" s="18" t="s">
        <v>214</v>
      </c>
      <c r="G146" s="18" t="s">
        <v>214</v>
      </c>
      <c r="H146" s="18" t="s">
        <v>214</v>
      </c>
      <c r="I146" s="18" t="s">
        <v>214</v>
      </c>
    </row>
    <row r="147" spans="1:9" x14ac:dyDescent="0.35">
      <c r="A147" s="14" t="s">
        <v>201</v>
      </c>
      <c r="B147" s="18" t="s">
        <v>214</v>
      </c>
      <c r="C147" s="18" t="s">
        <v>214</v>
      </c>
      <c r="D147" s="18" t="s">
        <v>214</v>
      </c>
      <c r="E147" s="18" t="s">
        <v>214</v>
      </c>
      <c r="F147" s="18" t="s">
        <v>214</v>
      </c>
      <c r="G147" s="18" t="s">
        <v>214</v>
      </c>
      <c r="H147" s="18" t="s">
        <v>214</v>
      </c>
      <c r="I147" s="18" t="s">
        <v>214</v>
      </c>
    </row>
    <row r="148" spans="1:9" x14ac:dyDescent="0.35">
      <c r="A148" s="14" t="s">
        <v>202</v>
      </c>
      <c r="B148" s="18" t="s">
        <v>214</v>
      </c>
      <c r="C148" s="18" t="s">
        <v>214</v>
      </c>
      <c r="D148" s="18" t="s">
        <v>214</v>
      </c>
      <c r="E148" s="18" t="s">
        <v>214</v>
      </c>
      <c r="F148" s="18" t="s">
        <v>214</v>
      </c>
      <c r="G148" s="18" t="s">
        <v>214</v>
      </c>
      <c r="H148" s="18" t="s">
        <v>214</v>
      </c>
      <c r="I148" s="18" t="s">
        <v>214</v>
      </c>
    </row>
    <row r="149" spans="1:9" x14ac:dyDescent="0.35">
      <c r="A149" s="14" t="s">
        <v>211</v>
      </c>
      <c r="B149" s="18" t="s">
        <v>214</v>
      </c>
      <c r="C149" s="18" t="s">
        <v>214</v>
      </c>
      <c r="D149" s="18" t="s">
        <v>214</v>
      </c>
      <c r="E149" s="18" t="s">
        <v>214</v>
      </c>
      <c r="F149" s="18" t="s">
        <v>214</v>
      </c>
      <c r="G149" s="18" t="s">
        <v>214</v>
      </c>
      <c r="H149" s="18" t="s">
        <v>214</v>
      </c>
      <c r="I149" s="18" t="s">
        <v>214</v>
      </c>
    </row>
    <row r="150" spans="1:9" x14ac:dyDescent="0.35">
      <c r="A150" s="14" t="s">
        <v>212</v>
      </c>
      <c r="B150" s="18" t="s">
        <v>214</v>
      </c>
      <c r="C150" s="18" t="s">
        <v>214</v>
      </c>
      <c r="D150" s="18" t="s">
        <v>214</v>
      </c>
      <c r="E150" s="18" t="s">
        <v>214</v>
      </c>
      <c r="F150" s="18" t="s">
        <v>214</v>
      </c>
      <c r="G150" s="18" t="s">
        <v>214</v>
      </c>
      <c r="H150" s="18" t="s">
        <v>214</v>
      </c>
      <c r="I150" s="18" t="s">
        <v>214</v>
      </c>
    </row>
    <row r="151" spans="1:9" x14ac:dyDescent="0.35">
      <c r="A151" s="14" t="s">
        <v>203</v>
      </c>
      <c r="B151" s="18" t="s">
        <v>214</v>
      </c>
      <c r="C151" s="18" t="s">
        <v>214</v>
      </c>
      <c r="D151" s="18" t="s">
        <v>214</v>
      </c>
      <c r="E151" s="18" t="s">
        <v>214</v>
      </c>
      <c r="F151" s="18" t="s">
        <v>214</v>
      </c>
      <c r="G151" s="18" t="s">
        <v>214</v>
      </c>
      <c r="H151" s="18" t="s">
        <v>214</v>
      </c>
      <c r="I151" s="18" t="s">
        <v>214</v>
      </c>
    </row>
    <row r="152" spans="1:9" x14ac:dyDescent="0.35">
      <c r="A152" s="14" t="s">
        <v>204</v>
      </c>
      <c r="B152" s="18" t="s">
        <v>214</v>
      </c>
      <c r="C152" s="18" t="s">
        <v>214</v>
      </c>
      <c r="D152" s="18" t="s">
        <v>214</v>
      </c>
      <c r="E152" s="18" t="s">
        <v>214</v>
      </c>
      <c r="F152" s="18" t="s">
        <v>214</v>
      </c>
      <c r="G152" s="18" t="s">
        <v>214</v>
      </c>
      <c r="H152" s="18" t="s">
        <v>214</v>
      </c>
      <c r="I152" s="18" t="s">
        <v>214</v>
      </c>
    </row>
    <row r="154" spans="1:9" x14ac:dyDescent="0.35">
      <c r="C154" s="187"/>
      <c r="D154" s="187"/>
      <c r="E154" s="187"/>
      <c r="F154" s="187"/>
      <c r="G154" s="170"/>
      <c r="H154" s="170"/>
      <c r="I154" s="170"/>
    </row>
    <row r="155" spans="1:9" ht="29" x14ac:dyDescent="0.35">
      <c r="A155" s="12" t="s">
        <v>488</v>
      </c>
      <c r="B155" s="13" t="s">
        <v>208</v>
      </c>
      <c r="C155" s="13" t="s">
        <v>458</v>
      </c>
      <c r="D155" s="13" t="s">
        <v>466</v>
      </c>
      <c r="E155" s="13" t="s">
        <v>467</v>
      </c>
      <c r="F155" s="13" t="s">
        <v>468</v>
      </c>
      <c r="G155" s="13" t="s">
        <v>636</v>
      </c>
      <c r="H155" s="13" t="s">
        <v>641</v>
      </c>
      <c r="I155" s="13" t="s">
        <v>647</v>
      </c>
    </row>
    <row r="156" spans="1:9" x14ac:dyDescent="0.35">
      <c r="A156" s="14" t="s">
        <v>209</v>
      </c>
      <c r="B156" s="15">
        <v>0</v>
      </c>
      <c r="C156" s="15">
        <v>0</v>
      </c>
      <c r="D156" s="15">
        <v>0</v>
      </c>
      <c r="E156" s="15">
        <v>0</v>
      </c>
      <c r="F156" s="15">
        <v>0</v>
      </c>
      <c r="G156" s="15">
        <v>0</v>
      </c>
      <c r="H156" s="15">
        <v>0</v>
      </c>
      <c r="I156" s="15">
        <v>0</v>
      </c>
    </row>
    <row r="157" spans="1:9" x14ac:dyDescent="0.35">
      <c r="A157" s="16" t="s">
        <v>336</v>
      </c>
      <c r="B157" s="17" t="s">
        <v>214</v>
      </c>
      <c r="C157" s="168" t="s">
        <v>214</v>
      </c>
      <c r="D157" s="168" t="s">
        <v>214</v>
      </c>
      <c r="E157" s="168" t="s">
        <v>214</v>
      </c>
      <c r="F157" s="168" t="s">
        <v>214</v>
      </c>
      <c r="G157" s="168" t="s">
        <v>214</v>
      </c>
      <c r="H157" s="168" t="s">
        <v>214</v>
      </c>
      <c r="I157" s="168" t="s">
        <v>214</v>
      </c>
    </row>
    <row r="158" spans="1:9" x14ac:dyDescent="0.35">
      <c r="A158" s="16" t="s">
        <v>194</v>
      </c>
      <c r="B158" s="17" t="s">
        <v>214</v>
      </c>
      <c r="C158" s="168" t="s">
        <v>214</v>
      </c>
      <c r="D158" s="168" t="s">
        <v>214</v>
      </c>
      <c r="E158" s="168" t="s">
        <v>214</v>
      </c>
      <c r="F158" s="168" t="s">
        <v>214</v>
      </c>
      <c r="G158" s="168" t="s">
        <v>214</v>
      </c>
      <c r="H158" s="168" t="s">
        <v>214</v>
      </c>
      <c r="I158" s="168" t="s">
        <v>214</v>
      </c>
    </row>
    <row r="159" spans="1:9" x14ac:dyDescent="0.35">
      <c r="A159" s="16" t="s">
        <v>195</v>
      </c>
      <c r="B159" s="17" t="s">
        <v>214</v>
      </c>
      <c r="C159" s="168" t="s">
        <v>214</v>
      </c>
      <c r="D159" s="168" t="s">
        <v>214</v>
      </c>
      <c r="E159" s="168" t="s">
        <v>214</v>
      </c>
      <c r="F159" s="168" t="s">
        <v>214</v>
      </c>
      <c r="G159" s="168" t="s">
        <v>214</v>
      </c>
      <c r="H159" s="168" t="s">
        <v>214</v>
      </c>
      <c r="I159" s="168" t="s">
        <v>214</v>
      </c>
    </row>
    <row r="160" spans="1:9" x14ac:dyDescent="0.35">
      <c r="A160" s="14" t="s">
        <v>210</v>
      </c>
      <c r="B160" s="18" t="s">
        <v>214</v>
      </c>
      <c r="C160" s="18" t="s">
        <v>214</v>
      </c>
      <c r="D160" s="18" t="s">
        <v>214</v>
      </c>
      <c r="E160" s="18" t="s">
        <v>214</v>
      </c>
      <c r="F160" s="18" t="s">
        <v>214</v>
      </c>
      <c r="G160" s="18" t="s">
        <v>214</v>
      </c>
      <c r="H160" s="18" t="s">
        <v>214</v>
      </c>
      <c r="I160" s="18" t="s">
        <v>214</v>
      </c>
    </row>
    <row r="161" spans="1:9" x14ac:dyDescent="0.35">
      <c r="A161" s="14" t="s">
        <v>197</v>
      </c>
      <c r="B161" s="18" t="s">
        <v>214</v>
      </c>
      <c r="C161" s="18" t="s">
        <v>214</v>
      </c>
      <c r="D161" s="18" t="s">
        <v>214</v>
      </c>
      <c r="E161" s="18" t="s">
        <v>214</v>
      </c>
      <c r="F161" s="18" t="s">
        <v>214</v>
      </c>
      <c r="G161" s="18" t="s">
        <v>214</v>
      </c>
      <c r="H161" s="18" t="s">
        <v>214</v>
      </c>
      <c r="I161" s="18" t="s">
        <v>214</v>
      </c>
    </row>
    <row r="162" spans="1:9" x14ac:dyDescent="0.35">
      <c r="A162" s="14" t="s">
        <v>198</v>
      </c>
      <c r="B162" s="18" t="s">
        <v>214</v>
      </c>
      <c r="C162" s="18" t="s">
        <v>214</v>
      </c>
      <c r="D162" s="18" t="s">
        <v>214</v>
      </c>
      <c r="E162" s="18" t="s">
        <v>214</v>
      </c>
      <c r="F162" s="18" t="s">
        <v>214</v>
      </c>
      <c r="G162" s="18" t="s">
        <v>214</v>
      </c>
      <c r="H162" s="18" t="s">
        <v>214</v>
      </c>
      <c r="I162" s="18" t="s">
        <v>214</v>
      </c>
    </row>
    <row r="163" spans="1:9" x14ac:dyDescent="0.35">
      <c r="A163" s="14" t="s">
        <v>199</v>
      </c>
      <c r="B163" s="18" t="s">
        <v>214</v>
      </c>
      <c r="C163" s="18" t="s">
        <v>214</v>
      </c>
      <c r="D163" s="18" t="s">
        <v>214</v>
      </c>
      <c r="E163" s="18" t="s">
        <v>214</v>
      </c>
      <c r="F163" s="18" t="s">
        <v>214</v>
      </c>
      <c r="G163" s="18" t="s">
        <v>214</v>
      </c>
      <c r="H163" s="18" t="s">
        <v>214</v>
      </c>
      <c r="I163" s="18" t="s">
        <v>214</v>
      </c>
    </row>
    <row r="164" spans="1:9" x14ac:dyDescent="0.35">
      <c r="A164" s="14" t="s">
        <v>200</v>
      </c>
      <c r="B164" s="18" t="s">
        <v>214</v>
      </c>
      <c r="C164" s="18" t="s">
        <v>214</v>
      </c>
      <c r="D164" s="18" t="s">
        <v>214</v>
      </c>
      <c r="E164" s="18" t="s">
        <v>214</v>
      </c>
      <c r="F164" s="18" t="s">
        <v>214</v>
      </c>
      <c r="G164" s="18" t="s">
        <v>214</v>
      </c>
      <c r="H164" s="18" t="s">
        <v>214</v>
      </c>
      <c r="I164" s="18" t="s">
        <v>214</v>
      </c>
    </row>
    <row r="165" spans="1:9" x14ac:dyDescent="0.35">
      <c r="A165" s="14" t="s">
        <v>201</v>
      </c>
      <c r="B165" s="18" t="s">
        <v>214</v>
      </c>
      <c r="C165" s="18" t="s">
        <v>214</v>
      </c>
      <c r="D165" s="18" t="s">
        <v>214</v>
      </c>
      <c r="E165" s="18" t="s">
        <v>214</v>
      </c>
      <c r="F165" s="18" t="s">
        <v>214</v>
      </c>
      <c r="G165" s="18" t="s">
        <v>214</v>
      </c>
      <c r="H165" s="18" t="s">
        <v>214</v>
      </c>
      <c r="I165" s="18" t="s">
        <v>214</v>
      </c>
    </row>
    <row r="166" spans="1:9" x14ac:dyDescent="0.35">
      <c r="A166" s="14" t="s">
        <v>202</v>
      </c>
      <c r="B166" s="18" t="s">
        <v>214</v>
      </c>
      <c r="C166" s="18" t="s">
        <v>214</v>
      </c>
      <c r="D166" s="18" t="s">
        <v>214</v>
      </c>
      <c r="E166" s="18" t="s">
        <v>214</v>
      </c>
      <c r="F166" s="18" t="s">
        <v>214</v>
      </c>
      <c r="G166" s="18" t="s">
        <v>214</v>
      </c>
      <c r="H166" s="18" t="s">
        <v>214</v>
      </c>
      <c r="I166" s="18" t="s">
        <v>214</v>
      </c>
    </row>
    <row r="167" spans="1:9" x14ac:dyDescent="0.35">
      <c r="A167" s="14" t="s">
        <v>211</v>
      </c>
      <c r="B167" s="18" t="s">
        <v>214</v>
      </c>
      <c r="C167" s="18" t="s">
        <v>214</v>
      </c>
      <c r="D167" s="18" t="s">
        <v>214</v>
      </c>
      <c r="E167" s="18" t="s">
        <v>214</v>
      </c>
      <c r="F167" s="18" t="s">
        <v>214</v>
      </c>
      <c r="G167" s="18" t="s">
        <v>214</v>
      </c>
      <c r="H167" s="18" t="s">
        <v>214</v>
      </c>
      <c r="I167" s="18" t="s">
        <v>214</v>
      </c>
    </row>
    <row r="168" spans="1:9" x14ac:dyDescent="0.35">
      <c r="A168" s="14" t="s">
        <v>212</v>
      </c>
      <c r="B168" s="18" t="s">
        <v>214</v>
      </c>
      <c r="C168" s="18" t="s">
        <v>214</v>
      </c>
      <c r="D168" s="18" t="s">
        <v>214</v>
      </c>
      <c r="E168" s="18" t="s">
        <v>214</v>
      </c>
      <c r="F168" s="18" t="s">
        <v>214</v>
      </c>
      <c r="G168" s="18" t="s">
        <v>214</v>
      </c>
      <c r="H168" s="18" t="s">
        <v>214</v>
      </c>
      <c r="I168" s="18" t="s">
        <v>214</v>
      </c>
    </row>
    <row r="169" spans="1:9" x14ac:dyDescent="0.35">
      <c r="A169" s="14" t="s">
        <v>203</v>
      </c>
      <c r="B169" s="18" t="s">
        <v>214</v>
      </c>
      <c r="C169" s="18" t="s">
        <v>214</v>
      </c>
      <c r="D169" s="18" t="s">
        <v>214</v>
      </c>
      <c r="E169" s="18" t="s">
        <v>214</v>
      </c>
      <c r="F169" s="18" t="s">
        <v>214</v>
      </c>
      <c r="G169" s="18" t="s">
        <v>214</v>
      </c>
      <c r="H169" s="18" t="s">
        <v>214</v>
      </c>
      <c r="I169" s="18" t="s">
        <v>214</v>
      </c>
    </row>
    <row r="170" spans="1:9" x14ac:dyDescent="0.35">
      <c r="A170" s="14" t="s">
        <v>204</v>
      </c>
      <c r="B170" s="18" t="s">
        <v>214</v>
      </c>
      <c r="C170" s="18" t="s">
        <v>214</v>
      </c>
      <c r="D170" s="18" t="s">
        <v>214</v>
      </c>
      <c r="E170" s="18" t="s">
        <v>214</v>
      </c>
      <c r="F170" s="18" t="s">
        <v>214</v>
      </c>
      <c r="G170" s="18" t="s">
        <v>214</v>
      </c>
      <c r="H170" s="18" t="s">
        <v>214</v>
      </c>
      <c r="I170" s="18" t="s">
        <v>214</v>
      </c>
    </row>
    <row r="172" spans="1:9" x14ac:dyDescent="0.35">
      <c r="C172" s="187"/>
      <c r="D172" s="187"/>
      <c r="E172" s="187"/>
      <c r="F172" s="187"/>
      <c r="G172" s="170"/>
      <c r="H172" s="170"/>
      <c r="I172" s="170"/>
    </row>
    <row r="173" spans="1:9" ht="29" x14ac:dyDescent="0.35">
      <c r="A173" s="12" t="s">
        <v>586</v>
      </c>
      <c r="B173" s="13" t="s">
        <v>208</v>
      </c>
      <c r="C173" s="13" t="s">
        <v>458</v>
      </c>
      <c r="D173" s="13" t="s">
        <v>466</v>
      </c>
      <c r="E173" s="13" t="s">
        <v>467</v>
      </c>
      <c r="F173" s="13" t="s">
        <v>468</v>
      </c>
      <c r="G173" s="13" t="s">
        <v>636</v>
      </c>
      <c r="H173" s="13" t="s">
        <v>641</v>
      </c>
      <c r="I173" s="13" t="s">
        <v>647</v>
      </c>
    </row>
    <row r="174" spans="1:9" x14ac:dyDescent="0.35">
      <c r="A174" s="14" t="s">
        <v>209</v>
      </c>
      <c r="B174" s="15">
        <v>35</v>
      </c>
      <c r="C174" s="15">
        <v>6</v>
      </c>
      <c r="D174" s="15">
        <v>21</v>
      </c>
      <c r="E174" s="15">
        <v>28</v>
      </c>
      <c r="F174" s="15">
        <v>35</v>
      </c>
      <c r="G174" s="15">
        <v>44</v>
      </c>
      <c r="H174" s="15">
        <v>47</v>
      </c>
      <c r="I174" s="15">
        <v>55</v>
      </c>
    </row>
    <row r="175" spans="1:9" x14ac:dyDescent="0.35">
      <c r="A175" s="16" t="s">
        <v>336</v>
      </c>
      <c r="B175" s="17">
        <v>0.5256762629049051</v>
      </c>
      <c r="C175" s="17">
        <v>0.42844829975190779</v>
      </c>
      <c r="D175" s="17">
        <v>0.48708085463911399</v>
      </c>
      <c r="E175" s="17">
        <v>0.52444399305816247</v>
      </c>
      <c r="F175" s="17">
        <v>0.52567626290490521</v>
      </c>
      <c r="G175" s="17">
        <v>0.52930212765604689</v>
      </c>
      <c r="H175" s="17">
        <v>0.50918639079210315</v>
      </c>
      <c r="I175" s="17">
        <v>0.48463486480888007</v>
      </c>
    </row>
    <row r="176" spans="1:9" x14ac:dyDescent="0.35">
      <c r="A176" s="16" t="s">
        <v>194</v>
      </c>
      <c r="B176" s="17">
        <v>0.34520305505190252</v>
      </c>
      <c r="C176" s="17">
        <v>0.19607939564177129</v>
      </c>
      <c r="D176" s="17">
        <v>0.3665417362922217</v>
      </c>
      <c r="E176" s="17">
        <v>0.3693879502706599</v>
      </c>
      <c r="F176" s="17">
        <v>0.34520305505190257</v>
      </c>
      <c r="G176" s="17">
        <v>0.31430879214924051</v>
      </c>
      <c r="H176" s="17">
        <v>0.34626784604888272</v>
      </c>
      <c r="I176" s="17">
        <v>0.37994406940604247</v>
      </c>
    </row>
    <row r="177" spans="1:9" x14ac:dyDescent="0.35">
      <c r="A177" s="16" t="s">
        <v>195</v>
      </c>
      <c r="B177" s="17">
        <v>0.12912068204319241</v>
      </c>
      <c r="C177" s="153">
        <v>0.37547230460632081</v>
      </c>
      <c r="D177" s="17">
        <v>0.14637740906866431</v>
      </c>
      <c r="E177" s="17">
        <v>0.1061680566711776</v>
      </c>
      <c r="F177" s="17">
        <v>0.12912068204319241</v>
      </c>
      <c r="G177" s="152">
        <v>0.15638908019471279</v>
      </c>
      <c r="H177" s="17">
        <v>0.14454576315901441</v>
      </c>
      <c r="I177" s="17">
        <v>0.1354210657850772</v>
      </c>
    </row>
    <row r="178" spans="1:9" x14ac:dyDescent="0.35">
      <c r="A178" s="14" t="s">
        <v>210</v>
      </c>
      <c r="B178" s="18">
        <v>0.40192990472380291</v>
      </c>
      <c r="C178" s="18">
        <v>0.42844829975190779</v>
      </c>
      <c r="D178" s="18">
        <v>0.40566295713869632</v>
      </c>
      <c r="E178" s="18">
        <v>0.42085783876565791</v>
      </c>
      <c r="F178" s="18">
        <v>0.40192990472380291</v>
      </c>
      <c r="G178" s="18">
        <v>0.43039733353089538</v>
      </c>
      <c r="H178" s="18">
        <v>0.39780342054170731</v>
      </c>
      <c r="I178" s="18">
        <v>0.3429094067846869</v>
      </c>
    </row>
    <row r="179" spans="1:9" x14ac:dyDescent="0.35">
      <c r="A179" s="14" t="s">
        <v>197</v>
      </c>
      <c r="B179" s="18">
        <v>0.1237463581811022</v>
      </c>
      <c r="C179" s="18">
        <v>0</v>
      </c>
      <c r="D179" s="18">
        <v>8.1417897500417752E-2</v>
      </c>
      <c r="E179" s="18">
        <v>0.1035861542925046</v>
      </c>
      <c r="F179" s="18">
        <v>0.1237463581811022</v>
      </c>
      <c r="G179" s="18">
        <v>9.8904794125151518E-2</v>
      </c>
      <c r="H179" s="18">
        <v>0.1113829702503959</v>
      </c>
      <c r="I179" s="18">
        <v>0.14172545802419331</v>
      </c>
    </row>
    <row r="180" spans="1:9" x14ac:dyDescent="0.35">
      <c r="A180" s="14" t="s">
        <v>198</v>
      </c>
      <c r="B180" s="18">
        <v>0.23766315754065001</v>
      </c>
      <c r="C180" s="18">
        <v>0.19607939564177129</v>
      </c>
      <c r="D180" s="18">
        <v>0.2311560565213012</v>
      </c>
      <c r="E180" s="18">
        <v>0.23347979512115169</v>
      </c>
      <c r="F180" s="18">
        <v>0.2376631575406499</v>
      </c>
      <c r="G180" s="18">
        <v>0.21189571344988439</v>
      </c>
      <c r="H180" s="25">
        <v>0.25161049145844938</v>
      </c>
      <c r="I180" s="18">
        <v>0.30127216798653661</v>
      </c>
    </row>
    <row r="181" spans="1:9" x14ac:dyDescent="0.35">
      <c r="A181" s="14" t="s">
        <v>199</v>
      </c>
      <c r="B181" s="18">
        <v>0.10753989751125261</v>
      </c>
      <c r="C181" s="18">
        <v>0</v>
      </c>
      <c r="D181" s="18">
        <v>0.1353856797709205</v>
      </c>
      <c r="E181" s="18">
        <v>0.1359081551495081</v>
      </c>
      <c r="F181" s="25">
        <v>0.10753989751125261</v>
      </c>
      <c r="G181" s="18">
        <v>0.10241307869935611</v>
      </c>
      <c r="H181" s="18">
        <v>9.4657354590433271E-2</v>
      </c>
      <c r="I181" s="18">
        <v>7.867190141950603E-2</v>
      </c>
    </row>
    <row r="182" spans="1:9" x14ac:dyDescent="0.35">
      <c r="A182" s="14" t="s">
        <v>200</v>
      </c>
      <c r="B182" s="18">
        <v>4.5113199778220897E-2</v>
      </c>
      <c r="C182" s="18">
        <v>0</v>
      </c>
      <c r="D182" s="18">
        <v>0</v>
      </c>
      <c r="E182" s="21">
        <v>0</v>
      </c>
      <c r="F182" s="18">
        <v>4.5113199778220897E-2</v>
      </c>
      <c r="G182" s="18">
        <v>8.9245748782652012E-2</v>
      </c>
      <c r="H182" s="18">
        <v>8.2487184210207037E-2</v>
      </c>
      <c r="I182" s="18">
        <v>8.7572431977518225E-2</v>
      </c>
    </row>
    <row r="183" spans="1:9" x14ac:dyDescent="0.35">
      <c r="A183" s="14" t="s">
        <v>201</v>
      </c>
      <c r="B183" s="18">
        <v>8.4007482264971484E-2</v>
      </c>
      <c r="C183" s="22">
        <v>0.37547230460632081</v>
      </c>
      <c r="D183" s="18">
        <v>0.14637740906866431</v>
      </c>
      <c r="E183" s="18">
        <v>0.1061680566711776</v>
      </c>
      <c r="F183" s="18">
        <v>8.4007482264971498E-2</v>
      </c>
      <c r="G183" s="25">
        <v>6.7143331412060747E-2</v>
      </c>
      <c r="H183" s="18">
        <v>6.2058578948807328E-2</v>
      </c>
      <c r="I183" s="25">
        <v>2.9800049474168391E-2</v>
      </c>
    </row>
    <row r="184" spans="1:9" x14ac:dyDescent="0.35">
      <c r="A184" s="14" t="s">
        <v>202</v>
      </c>
      <c r="B184" s="18">
        <v>0</v>
      </c>
      <c r="C184" s="18">
        <v>0</v>
      </c>
      <c r="D184" s="18">
        <v>0</v>
      </c>
      <c r="E184" s="18">
        <v>0</v>
      </c>
      <c r="F184" s="18">
        <v>0</v>
      </c>
      <c r="G184" s="18">
        <v>0</v>
      </c>
      <c r="H184" s="18">
        <v>0</v>
      </c>
      <c r="I184" s="18">
        <v>0</v>
      </c>
    </row>
    <row r="185" spans="1:9" x14ac:dyDescent="0.35">
      <c r="A185" s="14" t="s">
        <v>211</v>
      </c>
      <c r="B185" s="18">
        <v>0</v>
      </c>
      <c r="C185" s="18">
        <v>0</v>
      </c>
      <c r="D185" s="18">
        <v>0</v>
      </c>
      <c r="E185" s="18">
        <v>0</v>
      </c>
      <c r="F185" s="18">
        <v>0</v>
      </c>
      <c r="G185" s="18">
        <v>0</v>
      </c>
      <c r="H185" s="18">
        <v>0</v>
      </c>
      <c r="I185" s="18">
        <v>0</v>
      </c>
    </row>
    <row r="186" spans="1:9" x14ac:dyDescent="0.35">
      <c r="A186" s="14" t="s">
        <v>212</v>
      </c>
      <c r="B186" s="18">
        <v>0</v>
      </c>
      <c r="C186" s="18">
        <v>0</v>
      </c>
      <c r="D186" s="18">
        <v>0</v>
      </c>
      <c r="E186" s="18">
        <v>0</v>
      </c>
      <c r="F186" s="18">
        <v>0</v>
      </c>
      <c r="G186" s="18">
        <v>0</v>
      </c>
      <c r="H186" s="18">
        <v>0</v>
      </c>
      <c r="I186" s="18">
        <v>1.8048584333390599E-2</v>
      </c>
    </row>
    <row r="187" spans="1:9" x14ac:dyDescent="0.35">
      <c r="A187" s="14" t="s">
        <v>203</v>
      </c>
      <c r="B187" s="18">
        <v>0</v>
      </c>
      <c r="C187" s="18">
        <v>0</v>
      </c>
      <c r="D187" s="18">
        <v>0</v>
      </c>
      <c r="E187" s="18">
        <v>0</v>
      </c>
      <c r="F187" s="18">
        <v>0</v>
      </c>
      <c r="G187" s="18">
        <v>0</v>
      </c>
      <c r="H187" s="18">
        <v>0</v>
      </c>
      <c r="I187" s="18">
        <v>0</v>
      </c>
    </row>
    <row r="188" spans="1:9" x14ac:dyDescent="0.35">
      <c r="A188" s="14" t="s">
        <v>204</v>
      </c>
      <c r="B188" s="18">
        <v>0</v>
      </c>
      <c r="C188" s="18">
        <v>0</v>
      </c>
      <c r="D188" s="18">
        <v>0</v>
      </c>
      <c r="E188" s="18">
        <v>0</v>
      </c>
      <c r="F188" s="18">
        <v>0</v>
      </c>
      <c r="G188" s="18">
        <v>0</v>
      </c>
      <c r="H188" s="18">
        <v>0</v>
      </c>
      <c r="I188" s="18">
        <v>0</v>
      </c>
    </row>
    <row r="189" spans="1:9" x14ac:dyDescent="0.35">
      <c r="A189" s="14" t="s">
        <v>213</v>
      </c>
      <c r="B189" s="1">
        <v>39.655558086171261</v>
      </c>
      <c r="C189" s="1">
        <v>5.2975995145587049</v>
      </c>
      <c r="D189" s="1">
        <v>34.070344557044969</v>
      </c>
      <c r="E189" s="1">
        <v>41.827593638698502</v>
      </c>
      <c r="F189" s="1">
        <v>39.655558086171268</v>
      </c>
      <c r="G189" s="1">
        <v>37.291304746133413</v>
      </c>
      <c r="H189" s="1">
        <v>36.464062763308867</v>
      </c>
      <c r="I189" s="1">
        <v>34.921379902380281</v>
      </c>
    </row>
    <row r="191" spans="1:9" x14ac:dyDescent="0.35">
      <c r="C191" s="187"/>
      <c r="D191" s="187"/>
      <c r="E191" s="187"/>
      <c r="F191" s="187"/>
      <c r="G191" s="170"/>
      <c r="H191" s="170"/>
      <c r="I191" s="170"/>
    </row>
    <row r="192" spans="1:9" ht="29" x14ac:dyDescent="0.35">
      <c r="A192" s="12" t="s">
        <v>502</v>
      </c>
      <c r="B192" s="13" t="s">
        <v>208</v>
      </c>
      <c r="C192" s="13" t="s">
        <v>458</v>
      </c>
      <c r="D192" s="13" t="s">
        <v>466</v>
      </c>
      <c r="E192" s="13" t="s">
        <v>467</v>
      </c>
      <c r="F192" s="13" t="s">
        <v>468</v>
      </c>
      <c r="G192" s="13" t="s">
        <v>636</v>
      </c>
      <c r="H192" s="13" t="s">
        <v>641</v>
      </c>
      <c r="I192" s="13" t="s">
        <v>647</v>
      </c>
    </row>
    <row r="193" spans="1:9" x14ac:dyDescent="0.35">
      <c r="A193" s="14" t="s">
        <v>209</v>
      </c>
      <c r="B193" s="15">
        <v>0</v>
      </c>
      <c r="C193" s="15">
        <v>0</v>
      </c>
      <c r="D193" s="15">
        <v>0</v>
      </c>
      <c r="E193" s="15">
        <v>0</v>
      </c>
      <c r="F193" s="15">
        <v>0</v>
      </c>
      <c r="G193" s="15">
        <v>0</v>
      </c>
      <c r="H193" s="15">
        <v>0</v>
      </c>
      <c r="I193" s="15">
        <v>0</v>
      </c>
    </row>
    <row r="194" spans="1:9" x14ac:dyDescent="0.35">
      <c r="A194" s="16" t="s">
        <v>336</v>
      </c>
      <c r="B194" s="17" t="s">
        <v>214</v>
      </c>
      <c r="C194" s="168" t="s">
        <v>214</v>
      </c>
      <c r="D194" s="168" t="s">
        <v>214</v>
      </c>
      <c r="E194" s="168" t="s">
        <v>214</v>
      </c>
      <c r="F194" s="168" t="s">
        <v>214</v>
      </c>
      <c r="G194" s="168" t="s">
        <v>214</v>
      </c>
      <c r="H194" s="168" t="s">
        <v>214</v>
      </c>
      <c r="I194" s="168" t="s">
        <v>214</v>
      </c>
    </row>
    <row r="195" spans="1:9" x14ac:dyDescent="0.35">
      <c r="A195" s="16" t="s">
        <v>194</v>
      </c>
      <c r="B195" s="17" t="s">
        <v>214</v>
      </c>
      <c r="C195" s="168" t="s">
        <v>214</v>
      </c>
      <c r="D195" s="168" t="s">
        <v>214</v>
      </c>
      <c r="E195" s="168" t="s">
        <v>214</v>
      </c>
      <c r="F195" s="168" t="s">
        <v>214</v>
      </c>
      <c r="G195" s="168" t="s">
        <v>214</v>
      </c>
      <c r="H195" s="168" t="s">
        <v>214</v>
      </c>
      <c r="I195" s="168" t="s">
        <v>214</v>
      </c>
    </row>
    <row r="196" spans="1:9" x14ac:dyDescent="0.35">
      <c r="A196" s="16" t="s">
        <v>195</v>
      </c>
      <c r="B196" s="17" t="s">
        <v>214</v>
      </c>
      <c r="C196" s="168" t="s">
        <v>214</v>
      </c>
      <c r="D196" s="168" t="s">
        <v>214</v>
      </c>
      <c r="E196" s="168" t="s">
        <v>214</v>
      </c>
      <c r="F196" s="168" t="s">
        <v>214</v>
      </c>
      <c r="G196" s="168" t="s">
        <v>214</v>
      </c>
      <c r="H196" s="168" t="s">
        <v>214</v>
      </c>
      <c r="I196" s="168" t="s">
        <v>214</v>
      </c>
    </row>
    <row r="197" spans="1:9" x14ac:dyDescent="0.35">
      <c r="A197" s="14" t="s">
        <v>210</v>
      </c>
      <c r="B197" s="18" t="s">
        <v>214</v>
      </c>
      <c r="C197" s="18" t="s">
        <v>214</v>
      </c>
      <c r="D197" s="18" t="s">
        <v>214</v>
      </c>
      <c r="E197" s="18" t="s">
        <v>214</v>
      </c>
      <c r="F197" s="18" t="s">
        <v>214</v>
      </c>
      <c r="G197" s="18" t="s">
        <v>214</v>
      </c>
      <c r="H197" s="18" t="s">
        <v>214</v>
      </c>
      <c r="I197" s="18" t="s">
        <v>214</v>
      </c>
    </row>
    <row r="198" spans="1:9" x14ac:dyDescent="0.35">
      <c r="A198" s="14" t="s">
        <v>197</v>
      </c>
      <c r="B198" s="18" t="s">
        <v>214</v>
      </c>
      <c r="C198" s="18" t="s">
        <v>214</v>
      </c>
      <c r="D198" s="18" t="s">
        <v>214</v>
      </c>
      <c r="E198" s="18" t="s">
        <v>214</v>
      </c>
      <c r="F198" s="18" t="s">
        <v>214</v>
      </c>
      <c r="G198" s="18" t="s">
        <v>214</v>
      </c>
      <c r="H198" s="18" t="s">
        <v>214</v>
      </c>
      <c r="I198" s="18" t="s">
        <v>214</v>
      </c>
    </row>
    <row r="199" spans="1:9" x14ac:dyDescent="0.35">
      <c r="A199" s="14" t="s">
        <v>198</v>
      </c>
      <c r="B199" s="18" t="s">
        <v>214</v>
      </c>
      <c r="C199" s="18" t="s">
        <v>214</v>
      </c>
      <c r="D199" s="18" t="s">
        <v>214</v>
      </c>
      <c r="E199" s="18" t="s">
        <v>214</v>
      </c>
      <c r="F199" s="18" t="s">
        <v>214</v>
      </c>
      <c r="G199" s="18" t="s">
        <v>214</v>
      </c>
      <c r="H199" s="18" t="s">
        <v>214</v>
      </c>
      <c r="I199" s="18" t="s">
        <v>214</v>
      </c>
    </row>
    <row r="200" spans="1:9" x14ac:dyDescent="0.35">
      <c r="A200" s="14" t="s">
        <v>199</v>
      </c>
      <c r="B200" s="18" t="s">
        <v>214</v>
      </c>
      <c r="C200" s="18" t="s">
        <v>214</v>
      </c>
      <c r="D200" s="18" t="s">
        <v>214</v>
      </c>
      <c r="E200" s="18" t="s">
        <v>214</v>
      </c>
      <c r="F200" s="18" t="s">
        <v>214</v>
      </c>
      <c r="G200" s="18" t="s">
        <v>214</v>
      </c>
      <c r="H200" s="18" t="s">
        <v>214</v>
      </c>
      <c r="I200" s="18" t="s">
        <v>214</v>
      </c>
    </row>
    <row r="201" spans="1:9" x14ac:dyDescent="0.35">
      <c r="A201" s="14" t="s">
        <v>200</v>
      </c>
      <c r="B201" s="18" t="s">
        <v>214</v>
      </c>
      <c r="C201" s="18" t="s">
        <v>214</v>
      </c>
      <c r="D201" s="18" t="s">
        <v>214</v>
      </c>
      <c r="E201" s="18" t="s">
        <v>214</v>
      </c>
      <c r="F201" s="18" t="s">
        <v>214</v>
      </c>
      <c r="G201" s="18" t="s">
        <v>214</v>
      </c>
      <c r="H201" s="18" t="s">
        <v>214</v>
      </c>
      <c r="I201" s="18" t="s">
        <v>214</v>
      </c>
    </row>
    <row r="202" spans="1:9" x14ac:dyDescent="0.35">
      <c r="A202" s="14" t="s">
        <v>201</v>
      </c>
      <c r="B202" s="18" t="s">
        <v>214</v>
      </c>
      <c r="C202" s="18" t="s">
        <v>214</v>
      </c>
      <c r="D202" s="18" t="s">
        <v>214</v>
      </c>
      <c r="E202" s="18" t="s">
        <v>214</v>
      </c>
      <c r="F202" s="18" t="s">
        <v>214</v>
      </c>
      <c r="G202" s="18" t="s">
        <v>214</v>
      </c>
      <c r="H202" s="18" t="s">
        <v>214</v>
      </c>
      <c r="I202" s="18" t="s">
        <v>214</v>
      </c>
    </row>
    <row r="203" spans="1:9" x14ac:dyDescent="0.35">
      <c r="A203" s="14" t="s">
        <v>202</v>
      </c>
      <c r="B203" s="18" t="s">
        <v>214</v>
      </c>
      <c r="C203" s="18" t="s">
        <v>214</v>
      </c>
      <c r="D203" s="18" t="s">
        <v>214</v>
      </c>
      <c r="E203" s="18" t="s">
        <v>214</v>
      </c>
      <c r="F203" s="18" t="s">
        <v>214</v>
      </c>
      <c r="G203" s="18" t="s">
        <v>214</v>
      </c>
      <c r="H203" s="18" t="s">
        <v>214</v>
      </c>
      <c r="I203" s="18" t="s">
        <v>214</v>
      </c>
    </row>
    <row r="204" spans="1:9" x14ac:dyDescent="0.35">
      <c r="A204" s="14" t="s">
        <v>211</v>
      </c>
      <c r="B204" s="18" t="s">
        <v>214</v>
      </c>
      <c r="C204" s="18" t="s">
        <v>214</v>
      </c>
      <c r="D204" s="18" t="s">
        <v>214</v>
      </c>
      <c r="E204" s="18" t="s">
        <v>214</v>
      </c>
      <c r="F204" s="18" t="s">
        <v>214</v>
      </c>
      <c r="G204" s="18" t="s">
        <v>214</v>
      </c>
      <c r="H204" s="18" t="s">
        <v>214</v>
      </c>
      <c r="I204" s="18" t="s">
        <v>214</v>
      </c>
    </row>
    <row r="205" spans="1:9" x14ac:dyDescent="0.35">
      <c r="A205" s="14" t="s">
        <v>212</v>
      </c>
      <c r="B205" s="18" t="s">
        <v>214</v>
      </c>
      <c r="C205" s="18" t="s">
        <v>214</v>
      </c>
      <c r="D205" s="18" t="s">
        <v>214</v>
      </c>
      <c r="E205" s="18" t="s">
        <v>214</v>
      </c>
      <c r="F205" s="18" t="s">
        <v>214</v>
      </c>
      <c r="G205" s="18" t="s">
        <v>214</v>
      </c>
      <c r="H205" s="18" t="s">
        <v>214</v>
      </c>
      <c r="I205" s="18" t="s">
        <v>214</v>
      </c>
    </row>
    <row r="206" spans="1:9" x14ac:dyDescent="0.35">
      <c r="A206" s="14" t="s">
        <v>203</v>
      </c>
      <c r="B206" s="18" t="s">
        <v>214</v>
      </c>
      <c r="C206" s="18" t="s">
        <v>214</v>
      </c>
      <c r="D206" s="18" t="s">
        <v>214</v>
      </c>
      <c r="E206" s="18" t="s">
        <v>214</v>
      </c>
      <c r="F206" s="18" t="s">
        <v>214</v>
      </c>
      <c r="G206" s="18" t="s">
        <v>214</v>
      </c>
      <c r="H206" s="18" t="s">
        <v>214</v>
      </c>
      <c r="I206" s="18" t="s">
        <v>214</v>
      </c>
    </row>
    <row r="207" spans="1:9" x14ac:dyDescent="0.35">
      <c r="A207" s="14" t="s">
        <v>204</v>
      </c>
      <c r="B207" s="18" t="s">
        <v>214</v>
      </c>
      <c r="C207" s="18" t="s">
        <v>214</v>
      </c>
      <c r="D207" s="18" t="s">
        <v>214</v>
      </c>
      <c r="E207" s="18" t="s">
        <v>214</v>
      </c>
      <c r="F207" s="18" t="s">
        <v>214</v>
      </c>
      <c r="G207" s="18" t="s">
        <v>214</v>
      </c>
      <c r="H207" s="18" t="s">
        <v>214</v>
      </c>
      <c r="I207" s="18" t="s">
        <v>214</v>
      </c>
    </row>
    <row r="209" spans="1:9" x14ac:dyDescent="0.35">
      <c r="C209" s="187"/>
      <c r="D209" s="187"/>
      <c r="E209" s="187"/>
      <c r="F209" s="187"/>
      <c r="G209" s="170"/>
      <c r="H209" s="170"/>
      <c r="I209" s="170"/>
    </row>
    <row r="210" spans="1:9" ht="29" x14ac:dyDescent="0.35">
      <c r="A210" s="12" t="s">
        <v>504</v>
      </c>
      <c r="B210" s="13" t="s">
        <v>208</v>
      </c>
      <c r="C210" s="13" t="s">
        <v>458</v>
      </c>
      <c r="D210" s="13" t="s">
        <v>466</v>
      </c>
      <c r="E210" s="13" t="s">
        <v>467</v>
      </c>
      <c r="F210" s="13" t="s">
        <v>468</v>
      </c>
      <c r="G210" s="13" t="s">
        <v>636</v>
      </c>
      <c r="H210" s="13" t="s">
        <v>641</v>
      </c>
      <c r="I210" s="13" t="s">
        <v>647</v>
      </c>
    </row>
    <row r="211" spans="1:9" x14ac:dyDescent="0.35">
      <c r="A211" s="14" t="s">
        <v>209</v>
      </c>
      <c r="B211" s="15">
        <v>0</v>
      </c>
      <c r="C211" s="15">
        <v>0</v>
      </c>
      <c r="D211" s="15">
        <v>0</v>
      </c>
      <c r="E211" s="15">
        <v>0</v>
      </c>
      <c r="F211" s="15">
        <v>0</v>
      </c>
      <c r="G211" s="15">
        <v>0</v>
      </c>
      <c r="H211" s="15">
        <v>0</v>
      </c>
      <c r="I211" s="15">
        <v>0</v>
      </c>
    </row>
    <row r="212" spans="1:9" x14ac:dyDescent="0.35">
      <c r="A212" s="16" t="s">
        <v>336</v>
      </c>
      <c r="B212" s="17" t="s">
        <v>214</v>
      </c>
      <c r="C212" s="168" t="s">
        <v>214</v>
      </c>
      <c r="D212" s="168" t="s">
        <v>214</v>
      </c>
      <c r="E212" s="168" t="s">
        <v>214</v>
      </c>
      <c r="F212" s="168" t="s">
        <v>214</v>
      </c>
      <c r="G212" s="168" t="s">
        <v>214</v>
      </c>
      <c r="H212" s="168" t="s">
        <v>214</v>
      </c>
      <c r="I212" s="168" t="s">
        <v>214</v>
      </c>
    </row>
    <row r="213" spans="1:9" x14ac:dyDescent="0.35">
      <c r="A213" s="16" t="s">
        <v>194</v>
      </c>
      <c r="B213" s="17" t="s">
        <v>214</v>
      </c>
      <c r="C213" s="168" t="s">
        <v>214</v>
      </c>
      <c r="D213" s="168" t="s">
        <v>214</v>
      </c>
      <c r="E213" s="168" t="s">
        <v>214</v>
      </c>
      <c r="F213" s="168" t="s">
        <v>214</v>
      </c>
      <c r="G213" s="168" t="s">
        <v>214</v>
      </c>
      <c r="H213" s="168" t="s">
        <v>214</v>
      </c>
      <c r="I213" s="168" t="s">
        <v>214</v>
      </c>
    </row>
    <row r="214" spans="1:9" x14ac:dyDescent="0.35">
      <c r="A214" s="16" t="s">
        <v>195</v>
      </c>
      <c r="B214" s="17" t="s">
        <v>214</v>
      </c>
      <c r="C214" s="168" t="s">
        <v>214</v>
      </c>
      <c r="D214" s="168" t="s">
        <v>214</v>
      </c>
      <c r="E214" s="168" t="s">
        <v>214</v>
      </c>
      <c r="F214" s="168" t="s">
        <v>214</v>
      </c>
      <c r="G214" s="168" t="s">
        <v>214</v>
      </c>
      <c r="H214" s="168" t="s">
        <v>214</v>
      </c>
      <c r="I214" s="168" t="s">
        <v>214</v>
      </c>
    </row>
    <row r="215" spans="1:9" x14ac:dyDescent="0.35">
      <c r="A215" s="14" t="s">
        <v>210</v>
      </c>
      <c r="B215" s="18" t="s">
        <v>214</v>
      </c>
      <c r="C215" s="18" t="s">
        <v>214</v>
      </c>
      <c r="D215" s="18" t="s">
        <v>214</v>
      </c>
      <c r="E215" s="18" t="s">
        <v>214</v>
      </c>
      <c r="F215" s="18" t="s">
        <v>214</v>
      </c>
      <c r="G215" s="18" t="s">
        <v>214</v>
      </c>
      <c r="H215" s="18" t="s">
        <v>214</v>
      </c>
      <c r="I215" s="18" t="s">
        <v>214</v>
      </c>
    </row>
    <row r="216" spans="1:9" x14ac:dyDescent="0.35">
      <c r="A216" s="14" t="s">
        <v>197</v>
      </c>
      <c r="B216" s="18" t="s">
        <v>214</v>
      </c>
      <c r="C216" s="18" t="s">
        <v>214</v>
      </c>
      <c r="D216" s="18" t="s">
        <v>214</v>
      </c>
      <c r="E216" s="18" t="s">
        <v>214</v>
      </c>
      <c r="F216" s="18" t="s">
        <v>214</v>
      </c>
      <c r="G216" s="18" t="s">
        <v>214</v>
      </c>
      <c r="H216" s="18" t="s">
        <v>214</v>
      </c>
      <c r="I216" s="18" t="s">
        <v>214</v>
      </c>
    </row>
    <row r="217" spans="1:9" x14ac:dyDescent="0.35">
      <c r="A217" s="14" t="s">
        <v>198</v>
      </c>
      <c r="B217" s="18" t="s">
        <v>214</v>
      </c>
      <c r="C217" s="18" t="s">
        <v>214</v>
      </c>
      <c r="D217" s="18" t="s">
        <v>214</v>
      </c>
      <c r="E217" s="18" t="s">
        <v>214</v>
      </c>
      <c r="F217" s="18" t="s">
        <v>214</v>
      </c>
      <c r="G217" s="18" t="s">
        <v>214</v>
      </c>
      <c r="H217" s="18" t="s">
        <v>214</v>
      </c>
      <c r="I217" s="18" t="s">
        <v>214</v>
      </c>
    </row>
    <row r="218" spans="1:9" x14ac:dyDescent="0.35">
      <c r="A218" s="14" t="s">
        <v>199</v>
      </c>
      <c r="B218" s="18" t="s">
        <v>214</v>
      </c>
      <c r="C218" s="18" t="s">
        <v>214</v>
      </c>
      <c r="D218" s="18" t="s">
        <v>214</v>
      </c>
      <c r="E218" s="18" t="s">
        <v>214</v>
      </c>
      <c r="F218" s="18" t="s">
        <v>214</v>
      </c>
      <c r="G218" s="18" t="s">
        <v>214</v>
      </c>
      <c r="H218" s="18" t="s">
        <v>214</v>
      </c>
      <c r="I218" s="18" t="s">
        <v>214</v>
      </c>
    </row>
    <row r="219" spans="1:9" x14ac:dyDescent="0.35">
      <c r="A219" s="14" t="s">
        <v>200</v>
      </c>
      <c r="B219" s="18" t="s">
        <v>214</v>
      </c>
      <c r="C219" s="18" t="s">
        <v>214</v>
      </c>
      <c r="D219" s="18" t="s">
        <v>214</v>
      </c>
      <c r="E219" s="18" t="s">
        <v>214</v>
      </c>
      <c r="F219" s="18" t="s">
        <v>214</v>
      </c>
      <c r="G219" s="18" t="s">
        <v>214</v>
      </c>
      <c r="H219" s="18" t="s">
        <v>214</v>
      </c>
      <c r="I219" s="18" t="s">
        <v>214</v>
      </c>
    </row>
    <row r="220" spans="1:9" x14ac:dyDescent="0.35">
      <c r="A220" s="14" t="s">
        <v>201</v>
      </c>
      <c r="B220" s="18" t="s">
        <v>214</v>
      </c>
      <c r="C220" s="18" t="s">
        <v>214</v>
      </c>
      <c r="D220" s="18" t="s">
        <v>214</v>
      </c>
      <c r="E220" s="18" t="s">
        <v>214</v>
      </c>
      <c r="F220" s="18" t="s">
        <v>214</v>
      </c>
      <c r="G220" s="18" t="s">
        <v>214</v>
      </c>
      <c r="H220" s="18" t="s">
        <v>214</v>
      </c>
      <c r="I220" s="18" t="s">
        <v>214</v>
      </c>
    </row>
    <row r="221" spans="1:9" x14ac:dyDescent="0.35">
      <c r="A221" s="14" t="s">
        <v>202</v>
      </c>
      <c r="B221" s="18" t="s">
        <v>214</v>
      </c>
      <c r="C221" s="18" t="s">
        <v>214</v>
      </c>
      <c r="D221" s="18" t="s">
        <v>214</v>
      </c>
      <c r="E221" s="18" t="s">
        <v>214</v>
      </c>
      <c r="F221" s="18" t="s">
        <v>214</v>
      </c>
      <c r="G221" s="18" t="s">
        <v>214</v>
      </c>
      <c r="H221" s="18" t="s">
        <v>214</v>
      </c>
      <c r="I221" s="18" t="s">
        <v>214</v>
      </c>
    </row>
    <row r="222" spans="1:9" x14ac:dyDescent="0.35">
      <c r="A222" s="14" t="s">
        <v>211</v>
      </c>
      <c r="B222" s="18" t="s">
        <v>214</v>
      </c>
      <c r="C222" s="18" t="s">
        <v>214</v>
      </c>
      <c r="D222" s="18" t="s">
        <v>214</v>
      </c>
      <c r="E222" s="18" t="s">
        <v>214</v>
      </c>
      <c r="F222" s="18" t="s">
        <v>214</v>
      </c>
      <c r="G222" s="18" t="s">
        <v>214</v>
      </c>
      <c r="H222" s="18" t="s">
        <v>214</v>
      </c>
      <c r="I222" s="18" t="s">
        <v>214</v>
      </c>
    </row>
    <row r="223" spans="1:9" x14ac:dyDescent="0.35">
      <c r="A223" s="14" t="s">
        <v>212</v>
      </c>
      <c r="B223" s="18" t="s">
        <v>214</v>
      </c>
      <c r="C223" s="18" t="s">
        <v>214</v>
      </c>
      <c r="D223" s="18" t="s">
        <v>214</v>
      </c>
      <c r="E223" s="18" t="s">
        <v>214</v>
      </c>
      <c r="F223" s="18" t="s">
        <v>214</v>
      </c>
      <c r="G223" s="18" t="s">
        <v>214</v>
      </c>
      <c r="H223" s="18" t="s">
        <v>214</v>
      </c>
      <c r="I223" s="18" t="s">
        <v>214</v>
      </c>
    </row>
    <row r="224" spans="1:9" x14ac:dyDescent="0.35">
      <c r="A224" s="14" t="s">
        <v>203</v>
      </c>
      <c r="B224" s="18" t="s">
        <v>214</v>
      </c>
      <c r="C224" s="18" t="s">
        <v>214</v>
      </c>
      <c r="D224" s="18" t="s">
        <v>214</v>
      </c>
      <c r="E224" s="18" t="s">
        <v>214</v>
      </c>
      <c r="F224" s="18" t="s">
        <v>214</v>
      </c>
      <c r="G224" s="18" t="s">
        <v>214</v>
      </c>
      <c r="H224" s="18" t="s">
        <v>214</v>
      </c>
      <c r="I224" s="18" t="s">
        <v>214</v>
      </c>
    </row>
    <row r="225" spans="1:9" x14ac:dyDescent="0.35">
      <c r="A225" s="14" t="s">
        <v>204</v>
      </c>
      <c r="B225" s="18" t="s">
        <v>214</v>
      </c>
      <c r="C225" s="18" t="s">
        <v>214</v>
      </c>
      <c r="D225" s="18" t="s">
        <v>214</v>
      </c>
      <c r="E225" s="18" t="s">
        <v>214</v>
      </c>
      <c r="F225" s="18" t="s">
        <v>214</v>
      </c>
      <c r="G225" s="18" t="s">
        <v>214</v>
      </c>
      <c r="H225" s="18" t="s">
        <v>214</v>
      </c>
      <c r="I225" s="18" t="s">
        <v>214</v>
      </c>
    </row>
    <row r="227" spans="1:9" x14ac:dyDescent="0.35">
      <c r="C227" s="187"/>
      <c r="D227" s="187"/>
      <c r="E227" s="187"/>
      <c r="F227" s="187"/>
      <c r="G227" s="170"/>
      <c r="H227" s="170"/>
      <c r="I227" s="170"/>
    </row>
    <row r="228" spans="1:9" ht="29" x14ac:dyDescent="0.35">
      <c r="A228" s="12" t="s">
        <v>505</v>
      </c>
      <c r="B228" s="13" t="s">
        <v>208</v>
      </c>
      <c r="C228" s="13" t="s">
        <v>458</v>
      </c>
      <c r="D228" s="13" t="s">
        <v>466</v>
      </c>
      <c r="E228" s="13" t="s">
        <v>467</v>
      </c>
      <c r="F228" s="13" t="s">
        <v>468</v>
      </c>
      <c r="G228" s="13" t="s">
        <v>636</v>
      </c>
      <c r="H228" s="13" t="s">
        <v>641</v>
      </c>
      <c r="I228" s="13" t="s">
        <v>647</v>
      </c>
    </row>
    <row r="229" spans="1:9" x14ac:dyDescent="0.35">
      <c r="A229" s="14" t="s">
        <v>209</v>
      </c>
      <c r="B229" s="15">
        <v>0</v>
      </c>
      <c r="C229" s="15">
        <v>0</v>
      </c>
      <c r="D229" s="15">
        <v>0</v>
      </c>
      <c r="E229" s="15">
        <v>0</v>
      </c>
      <c r="F229" s="15">
        <v>0</v>
      </c>
      <c r="G229" s="15">
        <v>0</v>
      </c>
      <c r="H229" s="15">
        <v>0</v>
      </c>
      <c r="I229" s="15">
        <v>0</v>
      </c>
    </row>
    <row r="230" spans="1:9" x14ac:dyDescent="0.35">
      <c r="A230" s="16" t="s">
        <v>336</v>
      </c>
      <c r="B230" s="17" t="s">
        <v>214</v>
      </c>
      <c r="C230" s="168" t="s">
        <v>214</v>
      </c>
      <c r="D230" s="168" t="s">
        <v>214</v>
      </c>
      <c r="E230" s="168" t="s">
        <v>214</v>
      </c>
      <c r="F230" s="168" t="s">
        <v>214</v>
      </c>
      <c r="G230" s="168" t="s">
        <v>214</v>
      </c>
      <c r="H230" s="168" t="s">
        <v>214</v>
      </c>
      <c r="I230" s="168" t="s">
        <v>214</v>
      </c>
    </row>
    <row r="231" spans="1:9" x14ac:dyDescent="0.35">
      <c r="A231" s="16" t="s">
        <v>194</v>
      </c>
      <c r="B231" s="17" t="s">
        <v>214</v>
      </c>
      <c r="C231" s="168" t="s">
        <v>214</v>
      </c>
      <c r="D231" s="168" t="s">
        <v>214</v>
      </c>
      <c r="E231" s="168" t="s">
        <v>214</v>
      </c>
      <c r="F231" s="168" t="s">
        <v>214</v>
      </c>
      <c r="G231" s="168" t="s">
        <v>214</v>
      </c>
      <c r="H231" s="168" t="s">
        <v>214</v>
      </c>
      <c r="I231" s="168" t="s">
        <v>214</v>
      </c>
    </row>
    <row r="232" spans="1:9" x14ac:dyDescent="0.35">
      <c r="A232" s="16" t="s">
        <v>195</v>
      </c>
      <c r="B232" s="17" t="s">
        <v>214</v>
      </c>
      <c r="C232" s="168" t="s">
        <v>214</v>
      </c>
      <c r="D232" s="168" t="s">
        <v>214</v>
      </c>
      <c r="E232" s="168" t="s">
        <v>214</v>
      </c>
      <c r="F232" s="168" t="s">
        <v>214</v>
      </c>
      <c r="G232" s="168" t="s">
        <v>214</v>
      </c>
      <c r="H232" s="168" t="s">
        <v>214</v>
      </c>
      <c r="I232" s="168" t="s">
        <v>214</v>
      </c>
    </row>
    <row r="233" spans="1:9" x14ac:dyDescent="0.35">
      <c r="A233" s="14" t="s">
        <v>210</v>
      </c>
      <c r="B233" s="18" t="s">
        <v>214</v>
      </c>
      <c r="C233" s="18" t="s">
        <v>214</v>
      </c>
      <c r="D233" s="18" t="s">
        <v>214</v>
      </c>
      <c r="E233" s="18" t="s">
        <v>214</v>
      </c>
      <c r="F233" s="18" t="s">
        <v>214</v>
      </c>
      <c r="G233" s="18" t="s">
        <v>214</v>
      </c>
      <c r="H233" s="18" t="s">
        <v>214</v>
      </c>
      <c r="I233" s="18" t="s">
        <v>214</v>
      </c>
    </row>
    <row r="234" spans="1:9" x14ac:dyDescent="0.35">
      <c r="A234" s="14" t="s">
        <v>197</v>
      </c>
      <c r="B234" s="18" t="s">
        <v>214</v>
      </c>
      <c r="C234" s="18" t="s">
        <v>214</v>
      </c>
      <c r="D234" s="18" t="s">
        <v>214</v>
      </c>
      <c r="E234" s="18" t="s">
        <v>214</v>
      </c>
      <c r="F234" s="18" t="s">
        <v>214</v>
      </c>
      <c r="G234" s="18" t="s">
        <v>214</v>
      </c>
      <c r="H234" s="18" t="s">
        <v>214</v>
      </c>
      <c r="I234" s="18" t="s">
        <v>214</v>
      </c>
    </row>
    <row r="235" spans="1:9" x14ac:dyDescent="0.35">
      <c r="A235" s="14" t="s">
        <v>198</v>
      </c>
      <c r="B235" s="18" t="s">
        <v>214</v>
      </c>
      <c r="C235" s="18" t="s">
        <v>214</v>
      </c>
      <c r="D235" s="18" t="s">
        <v>214</v>
      </c>
      <c r="E235" s="18" t="s">
        <v>214</v>
      </c>
      <c r="F235" s="18" t="s">
        <v>214</v>
      </c>
      <c r="G235" s="18" t="s">
        <v>214</v>
      </c>
      <c r="H235" s="18" t="s">
        <v>214</v>
      </c>
      <c r="I235" s="18" t="s">
        <v>214</v>
      </c>
    </row>
    <row r="236" spans="1:9" x14ac:dyDescent="0.35">
      <c r="A236" s="14" t="s">
        <v>199</v>
      </c>
      <c r="B236" s="18" t="s">
        <v>214</v>
      </c>
      <c r="C236" s="18" t="s">
        <v>214</v>
      </c>
      <c r="D236" s="18" t="s">
        <v>214</v>
      </c>
      <c r="E236" s="18" t="s">
        <v>214</v>
      </c>
      <c r="F236" s="18" t="s">
        <v>214</v>
      </c>
      <c r="G236" s="18" t="s">
        <v>214</v>
      </c>
      <c r="H236" s="18" t="s">
        <v>214</v>
      </c>
      <c r="I236" s="18" t="s">
        <v>214</v>
      </c>
    </row>
    <row r="237" spans="1:9" x14ac:dyDescent="0.35">
      <c r="A237" s="14" t="s">
        <v>200</v>
      </c>
      <c r="B237" s="18" t="s">
        <v>214</v>
      </c>
      <c r="C237" s="18" t="s">
        <v>214</v>
      </c>
      <c r="D237" s="18" t="s">
        <v>214</v>
      </c>
      <c r="E237" s="18" t="s">
        <v>214</v>
      </c>
      <c r="F237" s="18" t="s">
        <v>214</v>
      </c>
      <c r="G237" s="18" t="s">
        <v>214</v>
      </c>
      <c r="H237" s="18" t="s">
        <v>214</v>
      </c>
      <c r="I237" s="18" t="s">
        <v>214</v>
      </c>
    </row>
    <row r="238" spans="1:9" x14ac:dyDescent="0.35">
      <c r="A238" s="14" t="s">
        <v>201</v>
      </c>
      <c r="B238" s="18" t="s">
        <v>214</v>
      </c>
      <c r="C238" s="18" t="s">
        <v>214</v>
      </c>
      <c r="D238" s="18" t="s">
        <v>214</v>
      </c>
      <c r="E238" s="18" t="s">
        <v>214</v>
      </c>
      <c r="F238" s="18" t="s">
        <v>214</v>
      </c>
      <c r="G238" s="18" t="s">
        <v>214</v>
      </c>
      <c r="H238" s="18" t="s">
        <v>214</v>
      </c>
      <c r="I238" s="18" t="s">
        <v>214</v>
      </c>
    </row>
    <row r="239" spans="1:9" x14ac:dyDescent="0.35">
      <c r="A239" s="14" t="s">
        <v>202</v>
      </c>
      <c r="B239" s="18" t="s">
        <v>214</v>
      </c>
      <c r="C239" s="18" t="s">
        <v>214</v>
      </c>
      <c r="D239" s="18" t="s">
        <v>214</v>
      </c>
      <c r="E239" s="18" t="s">
        <v>214</v>
      </c>
      <c r="F239" s="18" t="s">
        <v>214</v>
      </c>
      <c r="G239" s="18" t="s">
        <v>214</v>
      </c>
      <c r="H239" s="18" t="s">
        <v>214</v>
      </c>
      <c r="I239" s="18" t="s">
        <v>214</v>
      </c>
    </row>
    <row r="240" spans="1:9" x14ac:dyDescent="0.35">
      <c r="A240" s="14" t="s">
        <v>211</v>
      </c>
      <c r="B240" s="18" t="s">
        <v>214</v>
      </c>
      <c r="C240" s="18" t="s">
        <v>214</v>
      </c>
      <c r="D240" s="18" t="s">
        <v>214</v>
      </c>
      <c r="E240" s="18" t="s">
        <v>214</v>
      </c>
      <c r="F240" s="18" t="s">
        <v>214</v>
      </c>
      <c r="G240" s="18" t="s">
        <v>214</v>
      </c>
      <c r="H240" s="18" t="s">
        <v>214</v>
      </c>
      <c r="I240" s="18" t="s">
        <v>214</v>
      </c>
    </row>
    <row r="241" spans="1:9" x14ac:dyDescent="0.35">
      <c r="A241" s="14" t="s">
        <v>212</v>
      </c>
      <c r="B241" s="18" t="s">
        <v>214</v>
      </c>
      <c r="C241" s="18" t="s">
        <v>214</v>
      </c>
      <c r="D241" s="18" t="s">
        <v>214</v>
      </c>
      <c r="E241" s="18" t="s">
        <v>214</v>
      </c>
      <c r="F241" s="18" t="s">
        <v>214</v>
      </c>
      <c r="G241" s="18" t="s">
        <v>214</v>
      </c>
      <c r="H241" s="18" t="s">
        <v>214</v>
      </c>
      <c r="I241" s="18" t="s">
        <v>214</v>
      </c>
    </row>
    <row r="242" spans="1:9" x14ac:dyDescent="0.35">
      <c r="A242" s="14" t="s">
        <v>203</v>
      </c>
      <c r="B242" s="18" t="s">
        <v>214</v>
      </c>
      <c r="C242" s="18" t="s">
        <v>214</v>
      </c>
      <c r="D242" s="18" t="s">
        <v>214</v>
      </c>
      <c r="E242" s="18" t="s">
        <v>214</v>
      </c>
      <c r="F242" s="18" t="s">
        <v>214</v>
      </c>
      <c r="G242" s="18" t="s">
        <v>214</v>
      </c>
      <c r="H242" s="18" t="s">
        <v>214</v>
      </c>
      <c r="I242" s="18" t="s">
        <v>214</v>
      </c>
    </row>
    <row r="243" spans="1:9" x14ac:dyDescent="0.35">
      <c r="A243" s="14" t="s">
        <v>204</v>
      </c>
      <c r="B243" s="18" t="s">
        <v>214</v>
      </c>
      <c r="C243" s="18" t="s">
        <v>214</v>
      </c>
      <c r="D243" s="18" t="s">
        <v>214</v>
      </c>
      <c r="E243" s="18" t="s">
        <v>214</v>
      </c>
      <c r="F243" s="18" t="s">
        <v>214</v>
      </c>
      <c r="G243" s="18" t="s">
        <v>214</v>
      </c>
      <c r="H243" s="18" t="s">
        <v>214</v>
      </c>
      <c r="I243" s="18" t="s">
        <v>214</v>
      </c>
    </row>
    <row r="245" spans="1:9" x14ac:dyDescent="0.35">
      <c r="C245" s="187"/>
      <c r="D245" s="187"/>
      <c r="E245" s="187"/>
      <c r="F245" s="187"/>
      <c r="G245" s="170"/>
      <c r="H245" s="170"/>
      <c r="I245" s="170"/>
    </row>
    <row r="246" spans="1:9" ht="29" x14ac:dyDescent="0.35">
      <c r="A246" s="12" t="s">
        <v>587</v>
      </c>
      <c r="B246" s="13" t="s">
        <v>208</v>
      </c>
      <c r="C246" s="13" t="s">
        <v>458</v>
      </c>
      <c r="D246" s="13" t="s">
        <v>466</v>
      </c>
      <c r="E246" s="13" t="s">
        <v>467</v>
      </c>
      <c r="F246" s="13" t="s">
        <v>468</v>
      </c>
      <c r="G246" s="13" t="s">
        <v>636</v>
      </c>
      <c r="H246" s="13" t="s">
        <v>641</v>
      </c>
      <c r="I246" s="13" t="s">
        <v>647</v>
      </c>
    </row>
    <row r="247" spans="1:9" x14ac:dyDescent="0.35">
      <c r="A247" s="14" t="s">
        <v>209</v>
      </c>
      <c r="B247" s="15">
        <v>29</v>
      </c>
      <c r="C247" s="15">
        <v>7</v>
      </c>
      <c r="D247" s="15">
        <v>12</v>
      </c>
      <c r="E247" s="15">
        <v>21</v>
      </c>
      <c r="F247" s="15">
        <v>29</v>
      </c>
      <c r="G247" s="15">
        <v>37</v>
      </c>
      <c r="H247" s="15">
        <v>40</v>
      </c>
      <c r="I247" s="15">
        <v>43</v>
      </c>
    </row>
    <row r="248" spans="1:9" x14ac:dyDescent="0.35">
      <c r="A248" s="16" t="s">
        <v>336</v>
      </c>
      <c r="B248" s="17">
        <v>0.65109982495879104</v>
      </c>
      <c r="C248" s="155">
        <v>0.2982097504005386</v>
      </c>
      <c r="D248" s="154">
        <v>0.45500173211879408</v>
      </c>
      <c r="E248" s="17">
        <v>0.59284335522502185</v>
      </c>
      <c r="F248" s="17">
        <v>0.65109982495879104</v>
      </c>
      <c r="G248" s="17">
        <v>0.6355662241379616</v>
      </c>
      <c r="H248" s="17">
        <v>0.66653442370326632</v>
      </c>
      <c r="I248" s="149">
        <v>0.74501569842590987</v>
      </c>
    </row>
    <row r="249" spans="1:9" x14ac:dyDescent="0.35">
      <c r="A249" s="16" t="s">
        <v>194</v>
      </c>
      <c r="B249" s="17">
        <v>0.31175205849366189</v>
      </c>
      <c r="C249" s="149">
        <v>0.62275503835074264</v>
      </c>
      <c r="D249" s="17">
        <v>0.4954382274495408</v>
      </c>
      <c r="E249" s="17">
        <v>0.34827925181118757</v>
      </c>
      <c r="F249" s="17">
        <v>0.31175205849366189</v>
      </c>
      <c r="G249" s="17">
        <v>0.27100860711550168</v>
      </c>
      <c r="H249" s="17">
        <v>0.24797932392347061</v>
      </c>
      <c r="I249" s="155">
        <v>0.19331461478328801</v>
      </c>
    </row>
    <row r="250" spans="1:9" x14ac:dyDescent="0.35">
      <c r="A250" s="16" t="s">
        <v>195</v>
      </c>
      <c r="B250" s="17">
        <v>3.7148116547547003E-2</v>
      </c>
      <c r="C250" s="17">
        <v>7.9035211248718817E-2</v>
      </c>
      <c r="D250" s="17">
        <v>4.9560040431665078E-2</v>
      </c>
      <c r="E250" s="17">
        <v>5.8877392963790472E-2</v>
      </c>
      <c r="F250" s="17">
        <v>3.7148116547547003E-2</v>
      </c>
      <c r="G250" s="17">
        <v>9.3425168746536516E-2</v>
      </c>
      <c r="H250" s="17">
        <v>8.5486252373263058E-2</v>
      </c>
      <c r="I250" s="17">
        <v>6.1669686790802182E-2</v>
      </c>
    </row>
    <row r="251" spans="1:9" x14ac:dyDescent="0.35">
      <c r="A251" s="14" t="s">
        <v>210</v>
      </c>
      <c r="B251" s="18">
        <v>0.51999343344632798</v>
      </c>
      <c r="C251" s="18">
        <v>0.2982097504005386</v>
      </c>
      <c r="D251" s="18">
        <v>0.36756105607127482</v>
      </c>
      <c r="E251" s="18">
        <v>0.54203520149436424</v>
      </c>
      <c r="F251" s="18">
        <v>0.51999343344632798</v>
      </c>
      <c r="G251" s="18">
        <v>0.4639139831492437</v>
      </c>
      <c r="H251" s="18">
        <v>0.42449233300905509</v>
      </c>
      <c r="I251" s="18">
        <v>0.45449576815213399</v>
      </c>
    </row>
    <row r="252" spans="1:9" x14ac:dyDescent="0.35">
      <c r="A252" s="14" t="s">
        <v>197</v>
      </c>
      <c r="B252" s="18">
        <v>0.13110639151246309</v>
      </c>
      <c r="C252" s="18">
        <v>0</v>
      </c>
      <c r="D252" s="18">
        <v>8.7440676047519345E-2</v>
      </c>
      <c r="E252" s="23">
        <v>5.0808153730657703E-2</v>
      </c>
      <c r="F252" s="18">
        <v>0.13110639151246309</v>
      </c>
      <c r="G252" s="18">
        <v>0.17165224098871801</v>
      </c>
      <c r="H252" s="18">
        <v>0.24204209069421109</v>
      </c>
      <c r="I252" s="18">
        <v>0.29051993027377571</v>
      </c>
    </row>
    <row r="253" spans="1:9" x14ac:dyDescent="0.35">
      <c r="A253" s="14" t="s">
        <v>198</v>
      </c>
      <c r="B253" s="18">
        <v>0.20479459978053369</v>
      </c>
      <c r="C253" s="20">
        <v>0.45772914394584702</v>
      </c>
      <c r="D253" s="20">
        <v>0.39195662893466499</v>
      </c>
      <c r="E253" s="18">
        <v>0.2277497562786488</v>
      </c>
      <c r="F253" s="18">
        <v>0.20479459978053369</v>
      </c>
      <c r="G253" s="18">
        <v>0.18559511899146741</v>
      </c>
      <c r="H253" s="18">
        <v>0.1698239499507305</v>
      </c>
      <c r="I253" s="23">
        <v>0.15024235326324861</v>
      </c>
    </row>
    <row r="254" spans="1:9" x14ac:dyDescent="0.35">
      <c r="A254" s="14" t="s">
        <v>199</v>
      </c>
      <c r="B254" s="18">
        <v>0.1069574587131282</v>
      </c>
      <c r="C254" s="18">
        <v>0.1650258944048956</v>
      </c>
      <c r="D254" s="18">
        <v>0.1034815985148758</v>
      </c>
      <c r="E254" s="18">
        <v>0.12052949553253869</v>
      </c>
      <c r="F254" s="18">
        <v>0.1069574587131282</v>
      </c>
      <c r="G254" s="18">
        <v>8.5413488124034403E-2</v>
      </c>
      <c r="H254" s="18">
        <v>7.8155373972740097E-2</v>
      </c>
      <c r="I254" s="18">
        <v>4.3072261520039352E-2</v>
      </c>
    </row>
    <row r="255" spans="1:9" x14ac:dyDescent="0.35">
      <c r="A255" s="14" t="s">
        <v>200</v>
      </c>
      <c r="B255" s="18">
        <v>0</v>
      </c>
      <c r="C255" s="18">
        <v>0</v>
      </c>
      <c r="D255" s="18">
        <v>0</v>
      </c>
      <c r="E255" s="18">
        <v>0</v>
      </c>
      <c r="F255" s="18">
        <v>0</v>
      </c>
      <c r="G255" s="18">
        <v>0</v>
      </c>
      <c r="H255" s="18">
        <v>0</v>
      </c>
      <c r="I255" s="18">
        <v>0</v>
      </c>
    </row>
    <row r="256" spans="1:9" x14ac:dyDescent="0.35">
      <c r="A256" s="14" t="s">
        <v>201</v>
      </c>
      <c r="B256" s="18">
        <v>1.897874998007365E-2</v>
      </c>
      <c r="C256" s="18">
        <v>0</v>
      </c>
      <c r="D256" s="18">
        <v>0</v>
      </c>
      <c r="E256" s="18">
        <v>3.0080106998375222E-2</v>
      </c>
      <c r="F256" s="18">
        <v>1.897874998007365E-2</v>
      </c>
      <c r="G256" s="18">
        <v>6.3271025506687825E-2</v>
      </c>
      <c r="H256" s="18">
        <v>5.7894493817335448E-2</v>
      </c>
      <c r="I256" s="18">
        <v>4.9444031649188952E-2</v>
      </c>
    </row>
    <row r="257" spans="1:9" x14ac:dyDescent="0.35">
      <c r="A257" s="14" t="s">
        <v>202</v>
      </c>
      <c r="B257" s="18">
        <v>0</v>
      </c>
      <c r="C257" s="18">
        <v>0</v>
      </c>
      <c r="D257" s="18">
        <v>0</v>
      </c>
      <c r="E257" s="18">
        <v>0</v>
      </c>
      <c r="F257" s="18">
        <v>0</v>
      </c>
      <c r="G257" s="18">
        <v>0</v>
      </c>
      <c r="H257" s="18">
        <v>0</v>
      </c>
      <c r="I257" s="18">
        <v>0</v>
      </c>
    </row>
    <row r="258" spans="1:9" x14ac:dyDescent="0.35">
      <c r="A258" s="14" t="s">
        <v>211</v>
      </c>
      <c r="B258" s="18">
        <v>0</v>
      </c>
      <c r="C258" s="18">
        <v>0</v>
      </c>
      <c r="D258" s="18">
        <v>0</v>
      </c>
      <c r="E258" s="18">
        <v>0</v>
      </c>
      <c r="F258" s="18">
        <v>0</v>
      </c>
      <c r="G258" s="18">
        <v>0</v>
      </c>
      <c r="H258" s="18">
        <v>0</v>
      </c>
      <c r="I258" s="18">
        <v>0</v>
      </c>
    </row>
    <row r="259" spans="1:9" x14ac:dyDescent="0.35">
      <c r="A259" s="14" t="s">
        <v>212</v>
      </c>
      <c r="B259" s="18">
        <v>0</v>
      </c>
      <c r="C259" s="18">
        <v>0</v>
      </c>
      <c r="D259" s="18">
        <v>0</v>
      </c>
      <c r="E259" s="18">
        <v>0</v>
      </c>
      <c r="F259" s="18">
        <v>0</v>
      </c>
      <c r="G259" s="18">
        <v>0</v>
      </c>
      <c r="H259" s="18">
        <v>0</v>
      </c>
      <c r="I259" s="18">
        <v>0</v>
      </c>
    </row>
    <row r="260" spans="1:9" x14ac:dyDescent="0.35">
      <c r="A260" s="14" t="s">
        <v>203</v>
      </c>
      <c r="B260" s="18">
        <v>0</v>
      </c>
      <c r="C260" s="18">
        <v>0</v>
      </c>
      <c r="D260" s="18">
        <v>0</v>
      </c>
      <c r="E260" s="18">
        <v>0</v>
      </c>
      <c r="F260" s="18">
        <v>0</v>
      </c>
      <c r="G260" s="18">
        <v>0</v>
      </c>
      <c r="H260" s="18">
        <v>0</v>
      </c>
      <c r="I260" s="18">
        <v>0</v>
      </c>
    </row>
    <row r="261" spans="1:9" x14ac:dyDescent="0.35">
      <c r="A261" s="14" t="s">
        <v>204</v>
      </c>
      <c r="B261" s="18">
        <v>1.8169366567473349E-2</v>
      </c>
      <c r="C261" s="18">
        <v>7.9035211248718817E-2</v>
      </c>
      <c r="D261" s="18">
        <v>4.9560040431665078E-2</v>
      </c>
      <c r="E261" s="18">
        <v>2.879728596541525E-2</v>
      </c>
      <c r="F261" s="18">
        <v>1.8169366567473349E-2</v>
      </c>
      <c r="G261" s="18">
        <v>3.0154143239848701E-2</v>
      </c>
      <c r="H261" s="18">
        <v>2.759175855592761E-2</v>
      </c>
      <c r="I261" s="18">
        <v>1.222565514161324E-2</v>
      </c>
    </row>
    <row r="262" spans="1:9" x14ac:dyDescent="0.35">
      <c r="A262" s="14" t="s">
        <v>213</v>
      </c>
      <c r="B262" s="1">
        <v>61.395170841124411</v>
      </c>
      <c r="C262" s="1">
        <v>21.91745391518198</v>
      </c>
      <c r="D262" s="1">
        <v>40.544169168712912</v>
      </c>
      <c r="E262" s="1">
        <v>53.396596226123137</v>
      </c>
      <c r="F262" s="1">
        <v>61.395170841124397</v>
      </c>
      <c r="G262" s="1">
        <v>54.214105539142523</v>
      </c>
      <c r="H262" s="1">
        <v>58.104817133000317</v>
      </c>
      <c r="I262" s="1">
        <v>68.334601163510783</v>
      </c>
    </row>
    <row r="264" spans="1:9" x14ac:dyDescent="0.35">
      <c r="C264" s="187"/>
      <c r="D264" s="187"/>
      <c r="E264" s="187"/>
      <c r="F264" s="187"/>
      <c r="G264" s="170"/>
      <c r="H264" s="170"/>
      <c r="I264" s="170"/>
    </row>
    <row r="265" spans="1:9" ht="29" x14ac:dyDescent="0.35">
      <c r="A265" s="12" t="s">
        <v>588</v>
      </c>
      <c r="B265" s="13" t="s">
        <v>208</v>
      </c>
      <c r="C265" s="13" t="s">
        <v>458</v>
      </c>
      <c r="D265" s="13" t="s">
        <v>466</v>
      </c>
      <c r="E265" s="13" t="s">
        <v>467</v>
      </c>
      <c r="F265" s="13" t="s">
        <v>468</v>
      </c>
      <c r="G265" s="13" t="s">
        <v>636</v>
      </c>
      <c r="H265" s="13" t="s">
        <v>641</v>
      </c>
      <c r="I265" s="13" t="s">
        <v>647</v>
      </c>
    </row>
    <row r="266" spans="1:9" x14ac:dyDescent="0.35">
      <c r="A266" s="14" t="s">
        <v>209</v>
      </c>
      <c r="B266" s="15">
        <v>5</v>
      </c>
      <c r="C266" s="15">
        <v>2</v>
      </c>
      <c r="D266" s="15">
        <v>5</v>
      </c>
      <c r="E266" s="15">
        <v>5</v>
      </c>
      <c r="F266" s="15">
        <v>5</v>
      </c>
      <c r="G266" s="15">
        <v>5</v>
      </c>
      <c r="H266" s="15">
        <v>5</v>
      </c>
      <c r="I266" s="15">
        <v>3</v>
      </c>
    </row>
    <row r="267" spans="1:9" x14ac:dyDescent="0.35">
      <c r="A267" s="16" t="s">
        <v>336</v>
      </c>
      <c r="B267" s="17">
        <v>0.36911005754991533</v>
      </c>
      <c r="C267" s="17">
        <v>0</v>
      </c>
      <c r="D267" s="17">
        <v>0.36911005754991533</v>
      </c>
      <c r="E267" s="17">
        <v>0.36911005754991533</v>
      </c>
      <c r="F267" s="17">
        <v>0.36911005754991533</v>
      </c>
      <c r="G267" s="17">
        <v>0.36911005754991533</v>
      </c>
      <c r="H267" s="17">
        <v>0.36911005754991533</v>
      </c>
      <c r="I267" s="17">
        <v>0.62191869594063276</v>
      </c>
    </row>
    <row r="268" spans="1:9" x14ac:dyDescent="0.35">
      <c r="A268" s="16" t="s">
        <v>194</v>
      </c>
      <c r="B268" s="17">
        <v>0.48333651237740499</v>
      </c>
      <c r="C268" s="17">
        <v>0.63701304909311285</v>
      </c>
      <c r="D268" s="17">
        <v>0.48333651237740499</v>
      </c>
      <c r="E268" s="17">
        <v>0.48333651237740499</v>
      </c>
      <c r="F268" s="17">
        <v>0.48333651237740499</v>
      </c>
      <c r="G268" s="17">
        <v>0.48333651237740499</v>
      </c>
      <c r="H268" s="17">
        <v>0.48333651237740499</v>
      </c>
      <c r="I268" s="17">
        <v>0.37808130405936718</v>
      </c>
    </row>
    <row r="269" spans="1:9" x14ac:dyDescent="0.35">
      <c r="A269" s="16" t="s">
        <v>195</v>
      </c>
      <c r="B269" s="17">
        <v>0.1475534300726799</v>
      </c>
      <c r="C269" s="17">
        <v>0.36298695090688721</v>
      </c>
      <c r="D269" s="17">
        <v>0.1475534300726799</v>
      </c>
      <c r="E269" s="17">
        <v>0.1475534300726799</v>
      </c>
      <c r="F269" s="17">
        <v>0.1475534300726799</v>
      </c>
      <c r="G269" s="17">
        <v>0.1475534300726799</v>
      </c>
      <c r="H269" s="17">
        <v>0.1475534300726799</v>
      </c>
      <c r="I269" s="17">
        <v>0</v>
      </c>
    </row>
    <row r="270" spans="1:9" x14ac:dyDescent="0.35">
      <c r="A270" s="14" t="s">
        <v>210</v>
      </c>
      <c r="B270" s="18">
        <v>0.36911005754991533</v>
      </c>
      <c r="C270" s="18">
        <v>0</v>
      </c>
      <c r="D270" s="18">
        <v>0.36911005754991533</v>
      </c>
      <c r="E270" s="18">
        <v>0.36911005754991533</v>
      </c>
      <c r="F270" s="18">
        <v>0.36911005754991533</v>
      </c>
      <c r="G270" s="18">
        <v>0.36911005754991533</v>
      </c>
      <c r="H270" s="18">
        <v>0.36911005754991533</v>
      </c>
      <c r="I270" s="18">
        <v>0.62191869594063276</v>
      </c>
    </row>
    <row r="271" spans="1:9" x14ac:dyDescent="0.35">
      <c r="A271" s="14" t="s">
        <v>197</v>
      </c>
      <c r="B271" s="18">
        <v>0</v>
      </c>
      <c r="C271" s="18">
        <v>0</v>
      </c>
      <c r="D271" s="18">
        <v>0</v>
      </c>
      <c r="E271" s="18">
        <v>0</v>
      </c>
      <c r="F271" s="18">
        <v>0</v>
      </c>
      <c r="G271" s="18">
        <v>0</v>
      </c>
      <c r="H271" s="18">
        <v>0</v>
      </c>
      <c r="I271" s="18">
        <v>0</v>
      </c>
    </row>
    <row r="272" spans="1:9" x14ac:dyDescent="0.35">
      <c r="A272" s="14" t="s">
        <v>198</v>
      </c>
      <c r="B272" s="18">
        <v>0.48333651237740499</v>
      </c>
      <c r="C272" s="18">
        <v>0.63701304909311285</v>
      </c>
      <c r="D272" s="18">
        <v>0.48333651237740499</v>
      </c>
      <c r="E272" s="18">
        <v>0.48333651237740499</v>
      </c>
      <c r="F272" s="18">
        <v>0.48333651237740499</v>
      </c>
      <c r="G272" s="18">
        <v>0.48333651237740499</v>
      </c>
      <c r="H272" s="18">
        <v>0.48333651237740499</v>
      </c>
      <c r="I272" s="18">
        <v>0.37808130405936718</v>
      </c>
    </row>
    <row r="273" spans="1:9" x14ac:dyDescent="0.35">
      <c r="A273" s="14" t="s">
        <v>199</v>
      </c>
      <c r="B273" s="18">
        <v>0</v>
      </c>
      <c r="C273" s="18">
        <v>0</v>
      </c>
      <c r="D273" s="18">
        <v>0</v>
      </c>
      <c r="E273" s="18">
        <v>0</v>
      </c>
      <c r="F273" s="18">
        <v>0</v>
      </c>
      <c r="G273" s="18">
        <v>0</v>
      </c>
      <c r="H273" s="18">
        <v>0</v>
      </c>
      <c r="I273" s="18">
        <v>0</v>
      </c>
    </row>
    <row r="274" spans="1:9" x14ac:dyDescent="0.35">
      <c r="A274" s="14" t="s">
        <v>200</v>
      </c>
      <c r="B274" s="18">
        <v>0.1475534300726799</v>
      </c>
      <c r="C274" s="18">
        <v>0.36298695090688721</v>
      </c>
      <c r="D274" s="18">
        <v>0.1475534300726799</v>
      </c>
      <c r="E274" s="18">
        <v>0.1475534300726799</v>
      </c>
      <c r="F274" s="18">
        <v>0.1475534300726799</v>
      </c>
      <c r="G274" s="18">
        <v>0.1475534300726799</v>
      </c>
      <c r="H274" s="18">
        <v>0.1475534300726799</v>
      </c>
      <c r="I274" s="18">
        <v>0</v>
      </c>
    </row>
    <row r="275" spans="1:9" x14ac:dyDescent="0.35">
      <c r="A275" s="14" t="s">
        <v>201</v>
      </c>
      <c r="B275" s="18">
        <v>0</v>
      </c>
      <c r="C275" s="18">
        <v>0</v>
      </c>
      <c r="D275" s="18">
        <v>0</v>
      </c>
      <c r="E275" s="18">
        <v>0</v>
      </c>
      <c r="F275" s="18">
        <v>0</v>
      </c>
      <c r="G275" s="18">
        <v>0</v>
      </c>
      <c r="H275" s="18">
        <v>0</v>
      </c>
      <c r="I275" s="18">
        <v>0</v>
      </c>
    </row>
    <row r="276" spans="1:9" x14ac:dyDescent="0.35">
      <c r="A276" s="14" t="s">
        <v>202</v>
      </c>
      <c r="B276" s="18">
        <v>0</v>
      </c>
      <c r="C276" s="18">
        <v>0</v>
      </c>
      <c r="D276" s="18">
        <v>0</v>
      </c>
      <c r="E276" s="18">
        <v>0</v>
      </c>
      <c r="F276" s="18">
        <v>0</v>
      </c>
      <c r="G276" s="18">
        <v>0</v>
      </c>
      <c r="H276" s="18">
        <v>0</v>
      </c>
      <c r="I276" s="18">
        <v>0</v>
      </c>
    </row>
    <row r="277" spans="1:9" x14ac:dyDescent="0.35">
      <c r="A277" s="14" t="s">
        <v>211</v>
      </c>
      <c r="B277" s="18">
        <v>0</v>
      </c>
      <c r="C277" s="18">
        <v>0</v>
      </c>
      <c r="D277" s="18">
        <v>0</v>
      </c>
      <c r="E277" s="18">
        <v>0</v>
      </c>
      <c r="F277" s="18">
        <v>0</v>
      </c>
      <c r="G277" s="18">
        <v>0</v>
      </c>
      <c r="H277" s="18">
        <v>0</v>
      </c>
      <c r="I277" s="18">
        <v>0</v>
      </c>
    </row>
    <row r="278" spans="1:9" x14ac:dyDescent="0.35">
      <c r="A278" s="14" t="s">
        <v>212</v>
      </c>
      <c r="B278" s="18">
        <v>0</v>
      </c>
      <c r="C278" s="18">
        <v>0</v>
      </c>
      <c r="D278" s="18">
        <v>0</v>
      </c>
      <c r="E278" s="18">
        <v>0</v>
      </c>
      <c r="F278" s="18">
        <v>0</v>
      </c>
      <c r="G278" s="18">
        <v>0</v>
      </c>
      <c r="H278" s="18">
        <v>0</v>
      </c>
      <c r="I278" s="18">
        <v>0</v>
      </c>
    </row>
    <row r="279" spans="1:9" x14ac:dyDescent="0.35">
      <c r="A279" s="14" t="s">
        <v>203</v>
      </c>
      <c r="B279" s="18">
        <v>0</v>
      </c>
      <c r="C279" s="18">
        <v>0</v>
      </c>
      <c r="D279" s="18">
        <v>0</v>
      </c>
      <c r="E279" s="18">
        <v>0</v>
      </c>
      <c r="F279" s="18">
        <v>0</v>
      </c>
      <c r="G279" s="18">
        <v>0</v>
      </c>
      <c r="H279" s="18">
        <v>0</v>
      </c>
      <c r="I279" s="18">
        <v>0</v>
      </c>
    </row>
    <row r="280" spans="1:9" x14ac:dyDescent="0.35">
      <c r="A280" s="14" t="s">
        <v>204</v>
      </c>
      <c r="B280" s="18">
        <v>0</v>
      </c>
      <c r="C280" s="18">
        <v>0</v>
      </c>
      <c r="D280" s="18">
        <v>0</v>
      </c>
      <c r="E280" s="18">
        <v>0</v>
      </c>
      <c r="F280" s="18">
        <v>0</v>
      </c>
      <c r="G280" s="18">
        <v>0</v>
      </c>
      <c r="H280" s="18">
        <v>0</v>
      </c>
      <c r="I280" s="18">
        <v>0</v>
      </c>
    </row>
    <row r="281" spans="1:9" x14ac:dyDescent="0.35">
      <c r="A281" s="14" t="s">
        <v>213</v>
      </c>
      <c r="B281" s="1">
        <v>22.155662747723539</v>
      </c>
      <c r="C281" s="1">
        <v>-36.298695090688717</v>
      </c>
      <c r="D281" s="1">
        <v>22.155662747723539</v>
      </c>
      <c r="E281" s="1">
        <v>22.155662747723539</v>
      </c>
      <c r="F281" s="1">
        <v>22.155662747723539</v>
      </c>
      <c r="G281" s="1">
        <v>22.155662747723539</v>
      </c>
      <c r="H281" s="1">
        <v>22.155662747723539</v>
      </c>
      <c r="I281" s="1">
        <v>62.191869594063277</v>
      </c>
    </row>
    <row r="283" spans="1:9" x14ac:dyDescent="0.35">
      <c r="C283" s="187"/>
      <c r="D283" s="187"/>
      <c r="E283" s="187"/>
      <c r="F283" s="187"/>
      <c r="G283" s="170"/>
      <c r="H283" s="170"/>
      <c r="I283" s="170"/>
    </row>
    <row r="284" spans="1:9" ht="29" x14ac:dyDescent="0.35">
      <c r="A284" s="12" t="s">
        <v>567</v>
      </c>
      <c r="B284" s="13" t="s">
        <v>208</v>
      </c>
      <c r="C284" s="13" t="s">
        <v>458</v>
      </c>
      <c r="D284" s="13" t="s">
        <v>466</v>
      </c>
      <c r="E284" s="13" t="s">
        <v>467</v>
      </c>
      <c r="F284" s="13" t="s">
        <v>468</v>
      </c>
      <c r="G284" s="13" t="s">
        <v>636</v>
      </c>
      <c r="H284" s="13" t="s">
        <v>641</v>
      </c>
      <c r="I284" s="13" t="s">
        <v>647</v>
      </c>
    </row>
    <row r="285" spans="1:9" x14ac:dyDescent="0.35">
      <c r="A285" s="14" t="s">
        <v>209</v>
      </c>
      <c r="B285" s="15">
        <v>0</v>
      </c>
      <c r="C285" s="15">
        <v>0</v>
      </c>
      <c r="D285" s="15">
        <v>0</v>
      </c>
      <c r="E285" s="15">
        <v>0</v>
      </c>
      <c r="F285" s="15">
        <v>0</v>
      </c>
      <c r="G285" s="15">
        <v>0</v>
      </c>
      <c r="H285" s="15">
        <v>0</v>
      </c>
      <c r="I285" s="15">
        <v>0</v>
      </c>
    </row>
    <row r="286" spans="1:9" x14ac:dyDescent="0.35">
      <c r="A286" s="16" t="s">
        <v>336</v>
      </c>
      <c r="B286" s="17" t="s">
        <v>214</v>
      </c>
      <c r="C286" s="168" t="s">
        <v>214</v>
      </c>
      <c r="D286" s="168" t="s">
        <v>214</v>
      </c>
      <c r="E286" s="168" t="s">
        <v>214</v>
      </c>
      <c r="F286" s="168" t="s">
        <v>214</v>
      </c>
      <c r="G286" s="168" t="s">
        <v>214</v>
      </c>
      <c r="H286" s="168" t="s">
        <v>214</v>
      </c>
      <c r="I286" s="168" t="s">
        <v>214</v>
      </c>
    </row>
    <row r="287" spans="1:9" x14ac:dyDescent="0.35">
      <c r="A287" s="16" t="s">
        <v>194</v>
      </c>
      <c r="B287" s="17" t="s">
        <v>214</v>
      </c>
      <c r="C287" s="168" t="s">
        <v>214</v>
      </c>
      <c r="D287" s="168" t="s">
        <v>214</v>
      </c>
      <c r="E287" s="168" t="s">
        <v>214</v>
      </c>
      <c r="F287" s="168" t="s">
        <v>214</v>
      </c>
      <c r="G287" s="168" t="s">
        <v>214</v>
      </c>
      <c r="H287" s="168" t="s">
        <v>214</v>
      </c>
      <c r="I287" s="168" t="s">
        <v>214</v>
      </c>
    </row>
    <row r="288" spans="1:9" x14ac:dyDescent="0.35">
      <c r="A288" s="16" t="s">
        <v>195</v>
      </c>
      <c r="B288" s="17" t="s">
        <v>214</v>
      </c>
      <c r="C288" s="168" t="s">
        <v>214</v>
      </c>
      <c r="D288" s="168" t="s">
        <v>214</v>
      </c>
      <c r="E288" s="168" t="s">
        <v>214</v>
      </c>
      <c r="F288" s="168" t="s">
        <v>214</v>
      </c>
      <c r="G288" s="168" t="s">
        <v>214</v>
      </c>
      <c r="H288" s="168" t="s">
        <v>214</v>
      </c>
      <c r="I288" s="168" t="s">
        <v>214</v>
      </c>
    </row>
    <row r="289" spans="1:9" x14ac:dyDescent="0.35">
      <c r="A289" s="14" t="s">
        <v>210</v>
      </c>
      <c r="B289" s="18" t="s">
        <v>214</v>
      </c>
      <c r="C289" s="18" t="s">
        <v>214</v>
      </c>
      <c r="D289" s="18" t="s">
        <v>214</v>
      </c>
      <c r="E289" s="18" t="s">
        <v>214</v>
      </c>
      <c r="F289" s="18" t="s">
        <v>214</v>
      </c>
      <c r="G289" s="18" t="s">
        <v>214</v>
      </c>
      <c r="H289" s="18" t="s">
        <v>214</v>
      </c>
      <c r="I289" s="18" t="s">
        <v>214</v>
      </c>
    </row>
    <row r="290" spans="1:9" x14ac:dyDescent="0.35">
      <c r="A290" s="14" t="s">
        <v>197</v>
      </c>
      <c r="B290" s="18" t="s">
        <v>214</v>
      </c>
      <c r="C290" s="18" t="s">
        <v>214</v>
      </c>
      <c r="D290" s="18" t="s">
        <v>214</v>
      </c>
      <c r="E290" s="18" t="s">
        <v>214</v>
      </c>
      <c r="F290" s="18" t="s">
        <v>214</v>
      </c>
      <c r="G290" s="18" t="s">
        <v>214</v>
      </c>
      <c r="H290" s="18" t="s">
        <v>214</v>
      </c>
      <c r="I290" s="18" t="s">
        <v>214</v>
      </c>
    </row>
    <row r="291" spans="1:9" x14ac:dyDescent="0.35">
      <c r="A291" s="14" t="s">
        <v>198</v>
      </c>
      <c r="B291" s="18" t="s">
        <v>214</v>
      </c>
      <c r="C291" s="18" t="s">
        <v>214</v>
      </c>
      <c r="D291" s="18" t="s">
        <v>214</v>
      </c>
      <c r="E291" s="18" t="s">
        <v>214</v>
      </c>
      <c r="F291" s="18" t="s">
        <v>214</v>
      </c>
      <c r="G291" s="18" t="s">
        <v>214</v>
      </c>
      <c r="H291" s="18" t="s">
        <v>214</v>
      </c>
      <c r="I291" s="18" t="s">
        <v>214</v>
      </c>
    </row>
    <row r="292" spans="1:9" x14ac:dyDescent="0.35">
      <c r="A292" s="14" t="s">
        <v>199</v>
      </c>
      <c r="B292" s="18" t="s">
        <v>214</v>
      </c>
      <c r="C292" s="18" t="s">
        <v>214</v>
      </c>
      <c r="D292" s="18" t="s">
        <v>214</v>
      </c>
      <c r="E292" s="18" t="s">
        <v>214</v>
      </c>
      <c r="F292" s="18" t="s">
        <v>214</v>
      </c>
      <c r="G292" s="18" t="s">
        <v>214</v>
      </c>
      <c r="H292" s="18" t="s">
        <v>214</v>
      </c>
      <c r="I292" s="18" t="s">
        <v>214</v>
      </c>
    </row>
    <row r="293" spans="1:9" x14ac:dyDescent="0.35">
      <c r="A293" s="14" t="s">
        <v>200</v>
      </c>
      <c r="B293" s="18" t="s">
        <v>214</v>
      </c>
      <c r="C293" s="18" t="s">
        <v>214</v>
      </c>
      <c r="D293" s="18" t="s">
        <v>214</v>
      </c>
      <c r="E293" s="18" t="s">
        <v>214</v>
      </c>
      <c r="F293" s="18" t="s">
        <v>214</v>
      </c>
      <c r="G293" s="18" t="s">
        <v>214</v>
      </c>
      <c r="H293" s="18" t="s">
        <v>214</v>
      </c>
      <c r="I293" s="18" t="s">
        <v>214</v>
      </c>
    </row>
    <row r="294" spans="1:9" x14ac:dyDescent="0.35">
      <c r="A294" s="14" t="s">
        <v>201</v>
      </c>
      <c r="B294" s="18" t="s">
        <v>214</v>
      </c>
      <c r="C294" s="18" t="s">
        <v>214</v>
      </c>
      <c r="D294" s="18" t="s">
        <v>214</v>
      </c>
      <c r="E294" s="18" t="s">
        <v>214</v>
      </c>
      <c r="F294" s="18" t="s">
        <v>214</v>
      </c>
      <c r="G294" s="18" t="s">
        <v>214</v>
      </c>
      <c r="H294" s="18" t="s">
        <v>214</v>
      </c>
      <c r="I294" s="18" t="s">
        <v>214</v>
      </c>
    </row>
    <row r="295" spans="1:9" x14ac:dyDescent="0.35">
      <c r="A295" s="14" t="s">
        <v>202</v>
      </c>
      <c r="B295" s="18" t="s">
        <v>214</v>
      </c>
      <c r="C295" s="18" t="s">
        <v>214</v>
      </c>
      <c r="D295" s="18" t="s">
        <v>214</v>
      </c>
      <c r="E295" s="18" t="s">
        <v>214</v>
      </c>
      <c r="F295" s="18" t="s">
        <v>214</v>
      </c>
      <c r="G295" s="18" t="s">
        <v>214</v>
      </c>
      <c r="H295" s="18" t="s">
        <v>214</v>
      </c>
      <c r="I295" s="18" t="s">
        <v>214</v>
      </c>
    </row>
    <row r="296" spans="1:9" x14ac:dyDescent="0.35">
      <c r="A296" s="14" t="s">
        <v>211</v>
      </c>
      <c r="B296" s="18" t="s">
        <v>214</v>
      </c>
      <c r="C296" s="18" t="s">
        <v>214</v>
      </c>
      <c r="D296" s="18" t="s">
        <v>214</v>
      </c>
      <c r="E296" s="18" t="s">
        <v>214</v>
      </c>
      <c r="F296" s="18" t="s">
        <v>214</v>
      </c>
      <c r="G296" s="18" t="s">
        <v>214</v>
      </c>
      <c r="H296" s="18" t="s">
        <v>214</v>
      </c>
      <c r="I296" s="18" t="s">
        <v>214</v>
      </c>
    </row>
    <row r="297" spans="1:9" x14ac:dyDescent="0.35">
      <c r="A297" s="14" t="s">
        <v>212</v>
      </c>
      <c r="B297" s="18" t="s">
        <v>214</v>
      </c>
      <c r="C297" s="18" t="s">
        <v>214</v>
      </c>
      <c r="D297" s="18" t="s">
        <v>214</v>
      </c>
      <c r="E297" s="18" t="s">
        <v>214</v>
      </c>
      <c r="F297" s="18" t="s">
        <v>214</v>
      </c>
      <c r="G297" s="18" t="s">
        <v>214</v>
      </c>
      <c r="H297" s="18" t="s">
        <v>214</v>
      </c>
      <c r="I297" s="18" t="s">
        <v>214</v>
      </c>
    </row>
    <row r="298" spans="1:9" x14ac:dyDescent="0.35">
      <c r="A298" s="14" t="s">
        <v>203</v>
      </c>
      <c r="B298" s="18" t="s">
        <v>214</v>
      </c>
      <c r="C298" s="18" t="s">
        <v>214</v>
      </c>
      <c r="D298" s="18" t="s">
        <v>214</v>
      </c>
      <c r="E298" s="18" t="s">
        <v>214</v>
      </c>
      <c r="F298" s="18" t="s">
        <v>214</v>
      </c>
      <c r="G298" s="18" t="s">
        <v>214</v>
      </c>
      <c r="H298" s="18" t="s">
        <v>214</v>
      </c>
      <c r="I298" s="18" t="s">
        <v>214</v>
      </c>
    </row>
    <row r="299" spans="1:9" x14ac:dyDescent="0.35">
      <c r="A299" s="14" t="s">
        <v>204</v>
      </c>
      <c r="B299" s="18" t="s">
        <v>214</v>
      </c>
      <c r="C299" s="18" t="s">
        <v>214</v>
      </c>
      <c r="D299" s="18" t="s">
        <v>214</v>
      </c>
      <c r="E299" s="18" t="s">
        <v>214</v>
      </c>
      <c r="F299" s="18" t="s">
        <v>214</v>
      </c>
      <c r="G299" s="18" t="s">
        <v>214</v>
      </c>
      <c r="H299" s="18" t="s">
        <v>214</v>
      </c>
      <c r="I299" s="18" t="s">
        <v>214</v>
      </c>
    </row>
    <row r="301" spans="1:9" x14ac:dyDescent="0.35">
      <c r="C301" s="187"/>
      <c r="D301" s="187"/>
      <c r="E301" s="187"/>
      <c r="F301" s="187"/>
      <c r="G301" s="170"/>
      <c r="H301" s="170"/>
      <c r="I301" s="170"/>
    </row>
    <row r="302" spans="1:9" ht="29" x14ac:dyDescent="0.35">
      <c r="A302" s="12" t="s">
        <v>589</v>
      </c>
      <c r="B302" s="13" t="s">
        <v>208</v>
      </c>
      <c r="C302" s="13" t="s">
        <v>458</v>
      </c>
      <c r="D302" s="13" t="s">
        <v>466</v>
      </c>
      <c r="E302" s="13" t="s">
        <v>467</v>
      </c>
      <c r="F302" s="13" t="s">
        <v>468</v>
      </c>
      <c r="G302" s="13" t="s">
        <v>636</v>
      </c>
      <c r="H302" s="13" t="s">
        <v>641</v>
      </c>
      <c r="I302" s="13" t="s">
        <v>647</v>
      </c>
    </row>
    <row r="303" spans="1:9" x14ac:dyDescent="0.35">
      <c r="A303" s="14" t="s">
        <v>209</v>
      </c>
      <c r="B303" s="15">
        <v>7</v>
      </c>
      <c r="C303" s="15">
        <v>1</v>
      </c>
      <c r="D303" s="15">
        <v>3</v>
      </c>
      <c r="E303" s="15">
        <v>4</v>
      </c>
      <c r="F303" s="15">
        <v>7</v>
      </c>
      <c r="G303" s="15">
        <v>9</v>
      </c>
      <c r="H303" s="15">
        <v>12</v>
      </c>
      <c r="I303" s="15">
        <v>14</v>
      </c>
    </row>
    <row r="304" spans="1:9" x14ac:dyDescent="0.35">
      <c r="A304" s="16" t="s">
        <v>336</v>
      </c>
      <c r="B304" s="17">
        <v>0.80990388328633178</v>
      </c>
      <c r="C304" s="154">
        <v>0</v>
      </c>
      <c r="D304" s="17">
        <v>0.70113895881548971</v>
      </c>
      <c r="E304" s="17">
        <v>0.80865128187854085</v>
      </c>
      <c r="F304" s="17">
        <v>0.80990388328633189</v>
      </c>
      <c r="G304" s="152">
        <v>0.85436581081531338</v>
      </c>
      <c r="H304" s="17">
        <v>0.79994838641213017</v>
      </c>
      <c r="I304" s="17">
        <v>0.73587712431609464</v>
      </c>
    </row>
    <row r="305" spans="1:9" x14ac:dyDescent="0.35">
      <c r="A305" s="16" t="s">
        <v>194</v>
      </c>
      <c r="B305" s="17">
        <v>0.19009611671366819</v>
      </c>
      <c r="C305" s="153">
        <v>1</v>
      </c>
      <c r="D305" s="17">
        <v>0.29886104118451018</v>
      </c>
      <c r="E305" s="17">
        <v>0.19134871812145909</v>
      </c>
      <c r="F305" s="17">
        <v>0.19009611671366819</v>
      </c>
      <c r="G305" s="17">
        <v>0.14563418918468671</v>
      </c>
      <c r="H305" s="17">
        <v>0.20005161358786991</v>
      </c>
      <c r="I305" s="17">
        <v>0.2641228756839053</v>
      </c>
    </row>
    <row r="306" spans="1:9" x14ac:dyDescent="0.35">
      <c r="A306" s="16" t="s">
        <v>195</v>
      </c>
      <c r="B306" s="17">
        <v>0</v>
      </c>
      <c r="C306" s="17">
        <v>0</v>
      </c>
      <c r="D306" s="17">
        <v>0</v>
      </c>
      <c r="E306" s="17">
        <v>0</v>
      </c>
      <c r="F306" s="17">
        <v>0</v>
      </c>
      <c r="G306" s="17">
        <v>0</v>
      </c>
      <c r="H306" s="17">
        <v>0</v>
      </c>
      <c r="I306" s="17">
        <v>0</v>
      </c>
    </row>
    <row r="307" spans="1:9" x14ac:dyDescent="0.35">
      <c r="A307" s="14" t="s">
        <v>210</v>
      </c>
      <c r="B307" s="18">
        <v>0.50063228585258679</v>
      </c>
      <c r="C307" s="18">
        <v>0</v>
      </c>
      <c r="D307" s="18">
        <v>0.70113895881548971</v>
      </c>
      <c r="E307" s="18">
        <v>0.44891110752548619</v>
      </c>
      <c r="F307" s="18">
        <v>0.50063228585258679</v>
      </c>
      <c r="G307" s="18">
        <v>0.61743031150704253</v>
      </c>
      <c r="H307" s="18">
        <v>0.62871497992927183</v>
      </c>
      <c r="I307" s="18">
        <v>0.54528662470566314</v>
      </c>
    </row>
    <row r="308" spans="1:9" x14ac:dyDescent="0.35">
      <c r="A308" s="14" t="s">
        <v>197</v>
      </c>
      <c r="B308" s="18">
        <v>0.30927159743374522</v>
      </c>
      <c r="C308" s="18">
        <v>0</v>
      </c>
      <c r="D308" s="18">
        <v>0</v>
      </c>
      <c r="E308" s="18">
        <v>0.35974017435305461</v>
      </c>
      <c r="F308" s="18">
        <v>0.30927159743374522</v>
      </c>
      <c r="G308" s="18">
        <v>0.23693549930827079</v>
      </c>
      <c r="H308" s="18">
        <v>0.1712334064828584</v>
      </c>
      <c r="I308" s="18">
        <v>0.19059049961043159</v>
      </c>
    </row>
    <row r="309" spans="1:9" x14ac:dyDescent="0.35">
      <c r="A309" s="14" t="s">
        <v>198</v>
      </c>
      <c r="B309" s="18">
        <v>9.092543606691153E-2</v>
      </c>
      <c r="C309" s="18">
        <v>0</v>
      </c>
      <c r="D309" s="18">
        <v>0</v>
      </c>
      <c r="E309" s="18">
        <v>0</v>
      </c>
      <c r="F309" s="18">
        <v>9.0925436066911544E-2</v>
      </c>
      <c r="G309" s="18">
        <v>6.9658719950677558E-2</v>
      </c>
      <c r="H309" s="18">
        <v>0.14514410313015419</v>
      </c>
      <c r="I309" s="18">
        <v>0.2641228756839053</v>
      </c>
    </row>
    <row r="310" spans="1:9" x14ac:dyDescent="0.35">
      <c r="A310" s="14" t="s">
        <v>199</v>
      </c>
      <c r="B310" s="18">
        <v>9.9170680646756618E-2</v>
      </c>
      <c r="C310" s="22">
        <v>1</v>
      </c>
      <c r="D310" s="18">
        <v>0.29886104118451018</v>
      </c>
      <c r="E310" s="18">
        <v>0.19134871812145909</v>
      </c>
      <c r="F310" s="18">
        <v>9.9170680646756632E-2</v>
      </c>
      <c r="G310" s="18">
        <v>7.5975469234009094E-2</v>
      </c>
      <c r="H310" s="18">
        <v>5.4907510457715733E-2</v>
      </c>
      <c r="I310" s="25">
        <v>0</v>
      </c>
    </row>
    <row r="311" spans="1:9" x14ac:dyDescent="0.35">
      <c r="A311" s="14" t="s">
        <v>200</v>
      </c>
      <c r="B311" s="18">
        <v>0</v>
      </c>
      <c r="C311" s="18">
        <v>0</v>
      </c>
      <c r="D311" s="18">
        <v>0</v>
      </c>
      <c r="E311" s="18">
        <v>0</v>
      </c>
      <c r="F311" s="18">
        <v>0</v>
      </c>
      <c r="G311" s="18">
        <v>0</v>
      </c>
      <c r="H311" s="18">
        <v>0</v>
      </c>
      <c r="I311" s="18">
        <v>0</v>
      </c>
    </row>
    <row r="312" spans="1:9" x14ac:dyDescent="0.35">
      <c r="A312" s="14" t="s">
        <v>201</v>
      </c>
      <c r="B312" s="18">
        <v>0</v>
      </c>
      <c r="C312" s="18">
        <v>0</v>
      </c>
      <c r="D312" s="18">
        <v>0</v>
      </c>
      <c r="E312" s="18">
        <v>0</v>
      </c>
      <c r="F312" s="18">
        <v>0</v>
      </c>
      <c r="G312" s="18">
        <v>0</v>
      </c>
      <c r="H312" s="18">
        <v>0</v>
      </c>
      <c r="I312" s="18">
        <v>0</v>
      </c>
    </row>
    <row r="313" spans="1:9" x14ac:dyDescent="0.35">
      <c r="A313" s="14" t="s">
        <v>202</v>
      </c>
      <c r="B313" s="18">
        <v>0</v>
      </c>
      <c r="C313" s="18">
        <v>0</v>
      </c>
      <c r="D313" s="18">
        <v>0</v>
      </c>
      <c r="E313" s="18">
        <v>0</v>
      </c>
      <c r="F313" s="18">
        <v>0</v>
      </c>
      <c r="G313" s="18">
        <v>0</v>
      </c>
      <c r="H313" s="18">
        <v>0</v>
      </c>
      <c r="I313" s="18">
        <v>0</v>
      </c>
    </row>
    <row r="314" spans="1:9" x14ac:dyDescent="0.35">
      <c r="A314" s="14" t="s">
        <v>211</v>
      </c>
      <c r="B314" s="18">
        <v>0</v>
      </c>
      <c r="C314" s="18">
        <v>0</v>
      </c>
      <c r="D314" s="18">
        <v>0</v>
      </c>
      <c r="E314" s="18">
        <v>0</v>
      </c>
      <c r="F314" s="18">
        <v>0</v>
      </c>
      <c r="G314" s="18">
        <v>0</v>
      </c>
      <c r="H314" s="18">
        <v>0</v>
      </c>
      <c r="I314" s="18">
        <v>0</v>
      </c>
    </row>
    <row r="315" spans="1:9" x14ac:dyDescent="0.35">
      <c r="A315" s="14" t="s">
        <v>212</v>
      </c>
      <c r="B315" s="18">
        <v>0</v>
      </c>
      <c r="C315" s="18">
        <v>0</v>
      </c>
      <c r="D315" s="18">
        <v>0</v>
      </c>
      <c r="E315" s="18">
        <v>0</v>
      </c>
      <c r="F315" s="18">
        <v>0</v>
      </c>
      <c r="G315" s="18">
        <v>0</v>
      </c>
      <c r="H315" s="18">
        <v>0</v>
      </c>
      <c r="I315" s="18">
        <v>0</v>
      </c>
    </row>
    <row r="316" spans="1:9" x14ac:dyDescent="0.35">
      <c r="A316" s="14" t="s">
        <v>203</v>
      </c>
      <c r="B316" s="18">
        <v>0</v>
      </c>
      <c r="C316" s="18">
        <v>0</v>
      </c>
      <c r="D316" s="18">
        <v>0</v>
      </c>
      <c r="E316" s="18">
        <v>0</v>
      </c>
      <c r="F316" s="18">
        <v>0</v>
      </c>
      <c r="G316" s="18">
        <v>0</v>
      </c>
      <c r="H316" s="18">
        <v>0</v>
      </c>
      <c r="I316" s="18">
        <v>0</v>
      </c>
    </row>
    <row r="317" spans="1:9" x14ac:dyDescent="0.35">
      <c r="A317" s="14" t="s">
        <v>204</v>
      </c>
      <c r="B317" s="18">
        <v>0</v>
      </c>
      <c r="C317" s="18">
        <v>0</v>
      </c>
      <c r="D317" s="18">
        <v>0</v>
      </c>
      <c r="E317" s="18">
        <v>0</v>
      </c>
      <c r="F317" s="18">
        <v>0</v>
      </c>
      <c r="G317" s="18">
        <v>0</v>
      </c>
      <c r="H317" s="18">
        <v>0</v>
      </c>
      <c r="I317" s="18">
        <v>0</v>
      </c>
    </row>
    <row r="318" spans="1:9" x14ac:dyDescent="0.35">
      <c r="A318" s="14" t="s">
        <v>213</v>
      </c>
      <c r="B318" s="1">
        <v>80.990388328633188</v>
      </c>
      <c r="C318" s="1">
        <v>0</v>
      </c>
      <c r="D318" s="1">
        <v>70.11389588154897</v>
      </c>
      <c r="E318" s="1">
        <v>80.865128187854097</v>
      </c>
      <c r="F318" s="1">
        <v>80.990388328633188</v>
      </c>
      <c r="G318" s="1">
        <v>85.43658108153133</v>
      </c>
      <c r="H318" s="1">
        <v>79.994838641213022</v>
      </c>
      <c r="I318" s="1">
        <v>73.587712431609475</v>
      </c>
    </row>
    <row r="320" spans="1:9" x14ac:dyDescent="0.35">
      <c r="C320" s="187"/>
      <c r="D320" s="187"/>
      <c r="E320" s="187"/>
      <c r="F320" s="187"/>
      <c r="G320" s="170"/>
      <c r="H320" s="170"/>
      <c r="I320" s="170"/>
    </row>
    <row r="321" spans="1:9" ht="29" x14ac:dyDescent="0.35">
      <c r="A321" s="12" t="s">
        <v>590</v>
      </c>
      <c r="B321" s="13" t="s">
        <v>208</v>
      </c>
      <c r="C321" s="13" t="s">
        <v>458</v>
      </c>
      <c r="D321" s="13" t="s">
        <v>466</v>
      </c>
      <c r="E321" s="13" t="s">
        <v>467</v>
      </c>
      <c r="F321" s="13" t="s">
        <v>468</v>
      </c>
      <c r="G321" s="13" t="s">
        <v>636</v>
      </c>
      <c r="H321" s="13" t="s">
        <v>641</v>
      </c>
      <c r="I321" s="13" t="s">
        <v>647</v>
      </c>
    </row>
    <row r="322" spans="1:9" x14ac:dyDescent="0.35">
      <c r="A322" s="14" t="s">
        <v>209</v>
      </c>
      <c r="B322" s="15">
        <v>6</v>
      </c>
      <c r="C322" s="15">
        <v>1</v>
      </c>
      <c r="D322" s="15">
        <v>3</v>
      </c>
      <c r="E322" s="15">
        <v>3</v>
      </c>
      <c r="F322" s="15">
        <v>6</v>
      </c>
      <c r="G322" s="15">
        <v>7</v>
      </c>
      <c r="H322" s="15">
        <v>9</v>
      </c>
      <c r="I322" s="15">
        <v>12</v>
      </c>
    </row>
    <row r="323" spans="1:9" x14ac:dyDescent="0.35">
      <c r="A323" s="16" t="s">
        <v>336</v>
      </c>
      <c r="B323" s="17">
        <v>0.5003704151684859</v>
      </c>
      <c r="C323" s="17">
        <v>1</v>
      </c>
      <c r="D323" s="149">
        <v>1</v>
      </c>
      <c r="E323" s="149">
        <v>1</v>
      </c>
      <c r="F323" s="17">
        <v>0.5003704151684859</v>
      </c>
      <c r="G323" s="152">
        <v>0.5901636180549068</v>
      </c>
      <c r="H323" s="17">
        <v>0.41866295401764808</v>
      </c>
      <c r="I323" s="17">
        <v>0.25502846341935531</v>
      </c>
    </row>
    <row r="324" spans="1:9" x14ac:dyDescent="0.35">
      <c r="A324" s="16" t="s">
        <v>194</v>
      </c>
      <c r="B324" s="17">
        <v>0.49962958483151398</v>
      </c>
      <c r="C324" s="17">
        <v>0</v>
      </c>
      <c r="D324" s="155">
        <v>0</v>
      </c>
      <c r="E324" s="155">
        <v>0</v>
      </c>
      <c r="F324" s="17">
        <v>0.49962958483151398</v>
      </c>
      <c r="G324" s="17">
        <v>0.40983638194509298</v>
      </c>
      <c r="H324" s="17">
        <v>0.58133704598235181</v>
      </c>
      <c r="I324" s="17">
        <v>0.68831712798696931</v>
      </c>
    </row>
    <row r="325" spans="1:9" x14ac:dyDescent="0.35">
      <c r="A325" s="16" t="s">
        <v>195</v>
      </c>
      <c r="B325" s="17">
        <v>0</v>
      </c>
      <c r="C325" s="17">
        <v>0</v>
      </c>
      <c r="D325" s="17">
        <v>0</v>
      </c>
      <c r="E325" s="17">
        <v>0</v>
      </c>
      <c r="F325" s="17">
        <v>0</v>
      </c>
      <c r="G325" s="17">
        <v>0</v>
      </c>
      <c r="H325" s="17">
        <v>0</v>
      </c>
      <c r="I325" s="17">
        <v>5.6654408593675307E-2</v>
      </c>
    </row>
    <row r="326" spans="1:9" x14ac:dyDescent="0.35">
      <c r="A326" s="14" t="s">
        <v>210</v>
      </c>
      <c r="B326" s="18">
        <v>0.5003704151684859</v>
      </c>
      <c r="C326" s="18">
        <v>1</v>
      </c>
      <c r="D326" s="19">
        <v>1</v>
      </c>
      <c r="E326" s="19">
        <v>1</v>
      </c>
      <c r="F326" s="18">
        <v>0.5003704151684859</v>
      </c>
      <c r="G326" s="18">
        <v>0.4104440705891555</v>
      </c>
      <c r="H326" s="18">
        <v>0.29116963803739032</v>
      </c>
      <c r="I326" s="23">
        <v>0.1782160724776696</v>
      </c>
    </row>
    <row r="327" spans="1:9" x14ac:dyDescent="0.35">
      <c r="A327" s="14" t="s">
        <v>197</v>
      </c>
      <c r="B327" s="18">
        <v>0</v>
      </c>
      <c r="C327" s="18">
        <v>0</v>
      </c>
      <c r="D327" s="18">
        <v>0</v>
      </c>
      <c r="E327" s="18">
        <v>0</v>
      </c>
      <c r="F327" s="18">
        <v>0</v>
      </c>
      <c r="G327" s="18">
        <v>0.17971954746575139</v>
      </c>
      <c r="H327" s="18">
        <v>0.12749331598025779</v>
      </c>
      <c r="I327" s="18">
        <v>7.6812390941685654E-2</v>
      </c>
    </row>
    <row r="328" spans="1:9" x14ac:dyDescent="0.35">
      <c r="A328" s="14" t="s">
        <v>198</v>
      </c>
      <c r="B328" s="18">
        <v>0.21282128783065901</v>
      </c>
      <c r="C328" s="18">
        <v>0</v>
      </c>
      <c r="D328" s="18">
        <v>0</v>
      </c>
      <c r="E328" s="18">
        <v>0</v>
      </c>
      <c r="F328" s="18">
        <v>0.21282128783065901</v>
      </c>
      <c r="G328" s="18">
        <v>0.17457314229065449</v>
      </c>
      <c r="H328" s="18">
        <v>0.32512691267210481</v>
      </c>
      <c r="I328" s="18">
        <v>0.53395520891902748</v>
      </c>
    </row>
    <row r="329" spans="1:9" x14ac:dyDescent="0.35">
      <c r="A329" s="14" t="s">
        <v>199</v>
      </c>
      <c r="B329" s="18">
        <v>0.28680829700085508</v>
      </c>
      <c r="C329" s="18">
        <v>0</v>
      </c>
      <c r="D329" s="18">
        <v>0</v>
      </c>
      <c r="E329" s="18">
        <v>0</v>
      </c>
      <c r="F329" s="18">
        <v>0.28680829700085508</v>
      </c>
      <c r="G329" s="18">
        <v>0.2352632396544386</v>
      </c>
      <c r="H329" s="18">
        <v>0.25621013331024711</v>
      </c>
      <c r="I329" s="18">
        <v>0.15436191906794189</v>
      </c>
    </row>
    <row r="330" spans="1:9" x14ac:dyDescent="0.35">
      <c r="A330" s="14" t="s">
        <v>200</v>
      </c>
      <c r="B330" s="18">
        <v>0</v>
      </c>
      <c r="C330" s="18">
        <v>0</v>
      </c>
      <c r="D330" s="18">
        <v>0</v>
      </c>
      <c r="E330" s="18">
        <v>0</v>
      </c>
      <c r="F330" s="18">
        <v>0</v>
      </c>
      <c r="G330" s="18">
        <v>0</v>
      </c>
      <c r="H330" s="18">
        <v>0</v>
      </c>
      <c r="I330" s="18">
        <v>5.6654408593675307E-2</v>
      </c>
    </row>
    <row r="331" spans="1:9" x14ac:dyDescent="0.35">
      <c r="A331" s="14" t="s">
        <v>201</v>
      </c>
      <c r="B331" s="18">
        <v>0</v>
      </c>
      <c r="C331" s="18">
        <v>0</v>
      </c>
      <c r="D331" s="18">
        <v>0</v>
      </c>
      <c r="E331" s="18">
        <v>0</v>
      </c>
      <c r="F331" s="18">
        <v>0</v>
      </c>
      <c r="G331" s="18">
        <v>0</v>
      </c>
      <c r="H331" s="18">
        <v>0</v>
      </c>
      <c r="I331" s="18">
        <v>0</v>
      </c>
    </row>
    <row r="332" spans="1:9" x14ac:dyDescent="0.35">
      <c r="A332" s="14" t="s">
        <v>202</v>
      </c>
      <c r="B332" s="18">
        <v>0</v>
      </c>
      <c r="C332" s="18">
        <v>0</v>
      </c>
      <c r="D332" s="18">
        <v>0</v>
      </c>
      <c r="E332" s="18">
        <v>0</v>
      </c>
      <c r="F332" s="18">
        <v>0</v>
      </c>
      <c r="G332" s="18">
        <v>0</v>
      </c>
      <c r="H332" s="18">
        <v>0</v>
      </c>
      <c r="I332" s="18">
        <v>0</v>
      </c>
    </row>
    <row r="333" spans="1:9" x14ac:dyDescent="0.35">
      <c r="A333" s="14" t="s">
        <v>211</v>
      </c>
      <c r="B333" s="18">
        <v>0</v>
      </c>
      <c r="C333" s="18">
        <v>0</v>
      </c>
      <c r="D333" s="18">
        <v>0</v>
      </c>
      <c r="E333" s="18">
        <v>0</v>
      </c>
      <c r="F333" s="18">
        <v>0</v>
      </c>
      <c r="G333" s="18">
        <v>0</v>
      </c>
      <c r="H333" s="18">
        <v>0</v>
      </c>
      <c r="I333" s="18">
        <v>0</v>
      </c>
    </row>
    <row r="334" spans="1:9" x14ac:dyDescent="0.35">
      <c r="A334" s="14" t="s">
        <v>212</v>
      </c>
      <c r="B334" s="18">
        <v>0</v>
      </c>
      <c r="C334" s="18">
        <v>0</v>
      </c>
      <c r="D334" s="18">
        <v>0</v>
      </c>
      <c r="E334" s="18">
        <v>0</v>
      </c>
      <c r="F334" s="18">
        <v>0</v>
      </c>
      <c r="G334" s="18">
        <v>0</v>
      </c>
      <c r="H334" s="18">
        <v>0</v>
      </c>
      <c r="I334" s="18">
        <v>0</v>
      </c>
    </row>
    <row r="335" spans="1:9" x14ac:dyDescent="0.35">
      <c r="A335" s="14" t="s">
        <v>203</v>
      </c>
      <c r="B335" s="18">
        <v>0</v>
      </c>
      <c r="C335" s="18">
        <v>0</v>
      </c>
      <c r="D335" s="18">
        <v>0</v>
      </c>
      <c r="E335" s="18">
        <v>0</v>
      </c>
      <c r="F335" s="18">
        <v>0</v>
      </c>
      <c r="G335" s="18">
        <v>0</v>
      </c>
      <c r="H335" s="18">
        <v>0</v>
      </c>
      <c r="I335" s="18">
        <v>0</v>
      </c>
    </row>
    <row r="336" spans="1:9" x14ac:dyDescent="0.35">
      <c r="A336" s="14" t="s">
        <v>204</v>
      </c>
      <c r="B336" s="18">
        <v>0</v>
      </c>
      <c r="C336" s="18">
        <v>0</v>
      </c>
      <c r="D336" s="18">
        <v>0</v>
      </c>
      <c r="E336" s="18">
        <v>0</v>
      </c>
      <c r="F336" s="18">
        <v>0</v>
      </c>
      <c r="G336" s="18">
        <v>0</v>
      </c>
      <c r="H336" s="18">
        <v>0</v>
      </c>
      <c r="I336" s="18">
        <v>0</v>
      </c>
    </row>
    <row r="337" spans="1:9" x14ac:dyDescent="0.35">
      <c r="A337" s="14" t="s">
        <v>213</v>
      </c>
      <c r="B337" s="1">
        <v>50.037041516848603</v>
      </c>
      <c r="C337" s="1">
        <v>100</v>
      </c>
      <c r="D337" s="1">
        <v>100</v>
      </c>
      <c r="E337" s="1">
        <v>100</v>
      </c>
      <c r="F337" s="1">
        <v>50.037041516848589</v>
      </c>
      <c r="G337" s="1">
        <v>59.016361805490703</v>
      </c>
      <c r="H337" s="1">
        <v>41.866295401764809</v>
      </c>
      <c r="I337" s="1">
        <v>19.837405482567991</v>
      </c>
    </row>
    <row r="339" spans="1:9" x14ac:dyDescent="0.35">
      <c r="C339" s="187"/>
      <c r="D339" s="187"/>
      <c r="E339" s="187"/>
      <c r="F339" s="187"/>
      <c r="G339" s="170"/>
      <c r="H339" s="170"/>
      <c r="I339" s="170"/>
    </row>
    <row r="340" spans="1:9" ht="29" x14ac:dyDescent="0.35">
      <c r="A340" s="12" t="s">
        <v>492</v>
      </c>
      <c r="B340" s="13" t="s">
        <v>208</v>
      </c>
      <c r="C340" s="13" t="s">
        <v>458</v>
      </c>
      <c r="D340" s="13" t="s">
        <v>466</v>
      </c>
      <c r="E340" s="13" t="s">
        <v>467</v>
      </c>
      <c r="F340" s="13" t="s">
        <v>468</v>
      </c>
      <c r="G340" s="13" t="s">
        <v>636</v>
      </c>
      <c r="H340" s="13" t="s">
        <v>641</v>
      </c>
      <c r="I340" s="13" t="s">
        <v>647</v>
      </c>
    </row>
    <row r="341" spans="1:9" x14ac:dyDescent="0.35">
      <c r="A341" s="14" t="s">
        <v>209</v>
      </c>
      <c r="B341" s="15">
        <v>224</v>
      </c>
      <c r="C341" s="15">
        <v>50</v>
      </c>
      <c r="D341" s="15">
        <v>104</v>
      </c>
      <c r="E341" s="15">
        <v>170</v>
      </c>
      <c r="F341" s="15">
        <v>224</v>
      </c>
      <c r="G341" s="15">
        <v>294</v>
      </c>
      <c r="H341" s="15">
        <v>348</v>
      </c>
      <c r="I341" s="15">
        <v>361</v>
      </c>
    </row>
    <row r="342" spans="1:9" x14ac:dyDescent="0.35">
      <c r="A342" s="16" t="s">
        <v>336</v>
      </c>
      <c r="B342" s="17">
        <v>0.69994318807230071</v>
      </c>
      <c r="C342" s="154">
        <v>0.59369499940950854</v>
      </c>
      <c r="D342" s="17">
        <v>0.69741985532746709</v>
      </c>
      <c r="E342" s="17">
        <v>0.69205971601170257</v>
      </c>
      <c r="F342" s="17">
        <v>0.69994318807230083</v>
      </c>
      <c r="G342" s="17">
        <v>0.71069202531040665</v>
      </c>
      <c r="H342" s="17">
        <v>0.71015124011293407</v>
      </c>
      <c r="I342" s="149">
        <v>0.75258792652047612</v>
      </c>
    </row>
    <row r="343" spans="1:9" x14ac:dyDescent="0.35">
      <c r="A343" s="16" t="s">
        <v>194</v>
      </c>
      <c r="B343" s="17">
        <v>0.2117161954612673</v>
      </c>
      <c r="C343" s="149">
        <v>0.31365789836965152</v>
      </c>
      <c r="D343" s="17">
        <v>0.23043309166787521</v>
      </c>
      <c r="E343" s="17">
        <v>0.2240735128223314</v>
      </c>
      <c r="F343" s="17">
        <v>0.2117161954612673</v>
      </c>
      <c r="G343" s="17">
        <v>0.21265606177346219</v>
      </c>
      <c r="H343" s="17">
        <v>0.2090348824097473</v>
      </c>
      <c r="I343" s="155">
        <v>0.17311815997987079</v>
      </c>
    </row>
    <row r="344" spans="1:9" x14ac:dyDescent="0.35">
      <c r="A344" s="16" t="s">
        <v>195</v>
      </c>
      <c r="B344" s="17">
        <v>8.8340616466431904E-2</v>
      </c>
      <c r="C344" s="17">
        <v>9.2647102220839939E-2</v>
      </c>
      <c r="D344" s="17">
        <v>7.2147053004657694E-2</v>
      </c>
      <c r="E344" s="17">
        <v>8.386677116596622E-2</v>
      </c>
      <c r="F344" s="17">
        <v>8.834061646643189E-2</v>
      </c>
      <c r="G344" s="17">
        <v>7.6651912916130882E-2</v>
      </c>
      <c r="H344" s="17">
        <v>8.0813877477318746E-2</v>
      </c>
      <c r="I344" s="17">
        <v>7.4293913499653086E-2</v>
      </c>
    </row>
    <row r="345" spans="1:9" x14ac:dyDescent="0.35">
      <c r="A345" s="14" t="s">
        <v>210</v>
      </c>
      <c r="B345" s="18">
        <v>0.46155769441402428</v>
      </c>
      <c r="C345" s="18">
        <v>0.45068168513255952</v>
      </c>
      <c r="D345" s="18">
        <v>0.4554111912303383</v>
      </c>
      <c r="E345" s="18">
        <v>0.44770208369316139</v>
      </c>
      <c r="F345" s="18">
        <v>0.46155769441402439</v>
      </c>
      <c r="G345" s="18">
        <v>0.4831411185644921</v>
      </c>
      <c r="H345" s="18">
        <v>0.49462704187602119</v>
      </c>
      <c r="I345" s="18">
        <v>0.51405492764547511</v>
      </c>
    </row>
    <row r="346" spans="1:9" x14ac:dyDescent="0.35">
      <c r="A346" s="14" t="s">
        <v>197</v>
      </c>
      <c r="B346" s="18">
        <v>0.23838549365827649</v>
      </c>
      <c r="C346" s="23">
        <v>0.14301331427694899</v>
      </c>
      <c r="D346" s="18">
        <v>0.24200866409712879</v>
      </c>
      <c r="E346" s="18">
        <v>0.2443576323185411</v>
      </c>
      <c r="F346" s="18">
        <v>0.23838549365827649</v>
      </c>
      <c r="G346" s="18">
        <v>0.22755090674591449</v>
      </c>
      <c r="H346" s="18">
        <v>0.21552419823691291</v>
      </c>
      <c r="I346" s="18">
        <v>0.2385329988750009</v>
      </c>
    </row>
    <row r="347" spans="1:9" x14ac:dyDescent="0.35">
      <c r="A347" s="14" t="s">
        <v>198</v>
      </c>
      <c r="B347" s="18">
        <v>0.16837428947974359</v>
      </c>
      <c r="C347" s="18">
        <v>0.20056355666667491</v>
      </c>
      <c r="D347" s="18">
        <v>0.173246971168665</v>
      </c>
      <c r="E347" s="18">
        <v>0.1792860186311685</v>
      </c>
      <c r="F347" s="18">
        <v>0.16837428947974359</v>
      </c>
      <c r="G347" s="18">
        <v>0.16571316632382679</v>
      </c>
      <c r="H347" s="18">
        <v>0.15996745545888269</v>
      </c>
      <c r="I347" s="18">
        <v>0.13802182038832159</v>
      </c>
    </row>
    <row r="348" spans="1:9" x14ac:dyDescent="0.35">
      <c r="A348" s="14" t="s">
        <v>199</v>
      </c>
      <c r="B348" s="18">
        <v>4.3341905981523723E-2</v>
      </c>
      <c r="C348" s="22">
        <v>0.11309434170297659</v>
      </c>
      <c r="D348" s="18">
        <v>5.718612049921025E-2</v>
      </c>
      <c r="E348" s="18">
        <v>4.4787494191162888E-2</v>
      </c>
      <c r="F348" s="18">
        <v>4.334190598152371E-2</v>
      </c>
      <c r="G348" s="18">
        <v>4.6942895449635431E-2</v>
      </c>
      <c r="H348" s="18">
        <v>4.9067426950864593E-2</v>
      </c>
      <c r="I348" s="21">
        <v>3.50963395915493E-2</v>
      </c>
    </row>
    <row r="349" spans="1:9" x14ac:dyDescent="0.35">
      <c r="A349" s="14" t="s">
        <v>200</v>
      </c>
      <c r="B349" s="18">
        <v>3.7343653974977908E-2</v>
      </c>
      <c r="C349" s="18">
        <v>0</v>
      </c>
      <c r="D349" s="18">
        <v>2.530007311402574E-2</v>
      </c>
      <c r="E349" s="18">
        <v>3.120199814401094E-2</v>
      </c>
      <c r="F349" s="18">
        <v>3.7343653974977888E-2</v>
      </c>
      <c r="G349" s="18">
        <v>3.091930853536615E-2</v>
      </c>
      <c r="H349" s="18">
        <v>3.1599905843000077E-2</v>
      </c>
      <c r="I349" s="18">
        <v>3.0083424468090911E-2</v>
      </c>
    </row>
    <row r="350" spans="1:9" x14ac:dyDescent="0.35">
      <c r="A350" s="14" t="s">
        <v>201</v>
      </c>
      <c r="B350" s="18">
        <v>2.344025328462121E-2</v>
      </c>
      <c r="C350" s="18">
        <v>2.331581402058102E-2</v>
      </c>
      <c r="D350" s="18">
        <v>1.1789634477204171E-2</v>
      </c>
      <c r="E350" s="18">
        <v>3.1368901275469249E-2</v>
      </c>
      <c r="F350" s="18">
        <v>2.344025328462121E-2</v>
      </c>
      <c r="G350" s="18">
        <v>1.8187242857995011E-2</v>
      </c>
      <c r="H350" s="18">
        <v>2.1740658400142159E-2</v>
      </c>
      <c r="I350" s="18">
        <v>2.3428695070173769E-2</v>
      </c>
    </row>
    <row r="351" spans="1:9" x14ac:dyDescent="0.35">
      <c r="A351" s="14" t="s">
        <v>202</v>
      </c>
      <c r="B351" s="18">
        <v>2.6980952120516208E-3</v>
      </c>
      <c r="C351" s="18">
        <v>0</v>
      </c>
      <c r="D351" s="18">
        <v>0</v>
      </c>
      <c r="E351" s="18">
        <v>0</v>
      </c>
      <c r="F351" s="18">
        <v>2.6980952120516208E-3</v>
      </c>
      <c r="G351" s="18">
        <v>2.093446358268281E-3</v>
      </c>
      <c r="H351" s="18">
        <v>3.8639633536284379E-3</v>
      </c>
      <c r="I351" s="18">
        <v>3.6785315207545719E-3</v>
      </c>
    </row>
    <row r="352" spans="1:9" x14ac:dyDescent="0.35">
      <c r="A352" s="14" t="s">
        <v>211</v>
      </c>
      <c r="B352" s="18">
        <v>1.085720701893301E-2</v>
      </c>
      <c r="C352" s="18">
        <v>2.1032564286509819E-2</v>
      </c>
      <c r="D352" s="18">
        <v>1.0635109923134911E-2</v>
      </c>
      <c r="E352" s="18">
        <v>6.4603846715134711E-3</v>
      </c>
      <c r="F352" s="18">
        <v>1.085720701893301E-2</v>
      </c>
      <c r="G352" s="18">
        <v>8.4240839215852202E-3</v>
      </c>
      <c r="H352" s="18">
        <v>7.089976268153139E-3</v>
      </c>
      <c r="I352" s="18">
        <v>3.748565346287537E-3</v>
      </c>
    </row>
    <row r="353" spans="1:9" x14ac:dyDescent="0.35">
      <c r="A353" s="14" t="s">
        <v>212</v>
      </c>
      <c r="B353" s="18">
        <v>2.91566407448545E-3</v>
      </c>
      <c r="C353" s="18">
        <v>0</v>
      </c>
      <c r="D353" s="18">
        <v>0</v>
      </c>
      <c r="E353" s="18">
        <v>0</v>
      </c>
      <c r="F353" s="18">
        <v>2.9156640744854492E-3</v>
      </c>
      <c r="G353" s="18">
        <v>4.6160949544935556E-3</v>
      </c>
      <c r="H353" s="18">
        <v>6.0732626108164376E-3</v>
      </c>
      <c r="I353" s="18">
        <v>7.9209122896332484E-3</v>
      </c>
    </row>
    <row r="354" spans="1:9" x14ac:dyDescent="0.35">
      <c r="A354" s="14" t="s">
        <v>203</v>
      </c>
      <c r="B354" s="18">
        <v>0</v>
      </c>
      <c r="C354" s="18">
        <v>0</v>
      </c>
      <c r="D354" s="18">
        <v>0</v>
      </c>
      <c r="E354" s="18">
        <v>0</v>
      </c>
      <c r="F354" s="18">
        <v>0</v>
      </c>
      <c r="G354" s="18">
        <v>3.8103318598853241E-3</v>
      </c>
      <c r="H354" s="18">
        <v>3.206896169582688E-3</v>
      </c>
      <c r="I354" s="18">
        <v>3.052997030243418E-3</v>
      </c>
    </row>
    <row r="355" spans="1:9" x14ac:dyDescent="0.35">
      <c r="A355" s="14" t="s">
        <v>204</v>
      </c>
      <c r="B355" s="18">
        <v>1.108574290136272E-2</v>
      </c>
      <c r="C355" s="22">
        <v>4.8298723913749099E-2</v>
      </c>
      <c r="D355" s="20">
        <v>2.4422235490292869E-2</v>
      </c>
      <c r="E355" s="18">
        <v>1.4835487074972561E-2</v>
      </c>
      <c r="F355" s="18">
        <v>1.1085742901362709E-2</v>
      </c>
      <c r="G355" s="18">
        <v>8.6014044285373462E-3</v>
      </c>
      <c r="H355" s="18">
        <v>7.2392148319958029E-3</v>
      </c>
      <c r="I355" s="25">
        <v>2.380787774469627E-3</v>
      </c>
    </row>
    <row r="356" spans="1:9" x14ac:dyDescent="0.35">
      <c r="A356" s="14" t="s">
        <v>213</v>
      </c>
      <c r="B356" s="1">
        <v>61.160257160586873</v>
      </c>
      <c r="C356" s="1">
        <v>50.104789718866847</v>
      </c>
      <c r="D356" s="1">
        <v>62.527280232280937</v>
      </c>
      <c r="E356" s="1">
        <v>60.819294484573618</v>
      </c>
      <c r="F356" s="1">
        <v>61.160257160586909</v>
      </c>
      <c r="G356" s="1">
        <v>63.404011239427597</v>
      </c>
      <c r="H356" s="1">
        <v>62.933736263561528</v>
      </c>
      <c r="I356" s="1">
        <v>67.829401302082303</v>
      </c>
    </row>
    <row r="358" spans="1:9" x14ac:dyDescent="0.35">
      <c r="C358" s="187"/>
      <c r="D358" s="187"/>
      <c r="E358" s="187"/>
      <c r="F358" s="187"/>
      <c r="G358" s="170"/>
      <c r="H358" s="170"/>
      <c r="I358" s="170"/>
    </row>
    <row r="359" spans="1:9" ht="29" x14ac:dyDescent="0.35">
      <c r="A359" s="12" t="s">
        <v>591</v>
      </c>
      <c r="B359" s="13" t="s">
        <v>208</v>
      </c>
      <c r="C359" s="13" t="s">
        <v>458</v>
      </c>
      <c r="D359" s="13" t="s">
        <v>466</v>
      </c>
      <c r="E359" s="13" t="s">
        <v>467</v>
      </c>
      <c r="F359" s="13" t="s">
        <v>468</v>
      </c>
      <c r="G359" s="13" t="s">
        <v>636</v>
      </c>
      <c r="H359" s="13" t="s">
        <v>641</v>
      </c>
      <c r="I359" s="13" t="s">
        <v>647</v>
      </c>
    </row>
    <row r="360" spans="1:9" x14ac:dyDescent="0.35">
      <c r="A360" s="14" t="s">
        <v>209</v>
      </c>
      <c r="B360" s="15">
        <v>31</v>
      </c>
      <c r="C360" s="15">
        <v>5</v>
      </c>
      <c r="D360" s="15">
        <v>12</v>
      </c>
      <c r="E360" s="15">
        <v>21</v>
      </c>
      <c r="F360" s="15">
        <v>31</v>
      </c>
      <c r="G360" s="15">
        <v>40</v>
      </c>
      <c r="H360" s="15">
        <v>48</v>
      </c>
      <c r="I360" s="15">
        <v>52</v>
      </c>
    </row>
    <row r="361" spans="1:9" x14ac:dyDescent="0.35">
      <c r="A361" s="16" t="s">
        <v>336</v>
      </c>
      <c r="B361" s="17">
        <v>0.87371663877283146</v>
      </c>
      <c r="C361" s="17">
        <v>1</v>
      </c>
      <c r="D361" s="17">
        <v>1</v>
      </c>
      <c r="E361" s="17">
        <v>0.93437262551504019</v>
      </c>
      <c r="F361" s="17">
        <v>0.87371663877283146</v>
      </c>
      <c r="G361" s="17">
        <v>0.81351123199097297</v>
      </c>
      <c r="H361" s="17">
        <v>0.82441158050231811</v>
      </c>
      <c r="I361" s="17">
        <v>0.70103045478029946</v>
      </c>
    </row>
    <row r="362" spans="1:9" x14ac:dyDescent="0.35">
      <c r="A362" s="16" t="s">
        <v>194</v>
      </c>
      <c r="B362" s="17">
        <v>0.10730359446663711</v>
      </c>
      <c r="C362" s="17">
        <v>0</v>
      </c>
      <c r="D362" s="17">
        <v>0</v>
      </c>
      <c r="E362" s="154">
        <v>3.5854856427936711E-2</v>
      </c>
      <c r="F362" s="17">
        <v>0.10730359446663711</v>
      </c>
      <c r="G362" s="17">
        <v>0.17142516874068001</v>
      </c>
      <c r="H362" s="17">
        <v>0.1633723425011504</v>
      </c>
      <c r="I362" s="17">
        <v>0.257412183486804</v>
      </c>
    </row>
    <row r="363" spans="1:9" x14ac:dyDescent="0.35">
      <c r="A363" s="16" t="s">
        <v>195</v>
      </c>
      <c r="B363" s="17">
        <v>1.8979766760531539E-2</v>
      </c>
      <c r="C363" s="17">
        <v>0</v>
      </c>
      <c r="D363" s="17">
        <v>0</v>
      </c>
      <c r="E363" s="17">
        <v>2.9772518057022961E-2</v>
      </c>
      <c r="F363" s="17">
        <v>1.8979766760531539E-2</v>
      </c>
      <c r="G363" s="17">
        <v>1.506359926834713E-2</v>
      </c>
      <c r="H363" s="17">
        <v>1.221607699653162E-2</v>
      </c>
      <c r="I363" s="17">
        <v>4.1557361732896543E-2</v>
      </c>
    </row>
    <row r="364" spans="1:9" x14ac:dyDescent="0.35">
      <c r="A364" s="14" t="s">
        <v>210</v>
      </c>
      <c r="B364" s="18">
        <v>0.48553837059630911</v>
      </c>
      <c r="C364" s="18">
        <v>0.67094541001223973</v>
      </c>
      <c r="D364" s="18">
        <v>0.53055000282452969</v>
      </c>
      <c r="E364" s="18">
        <v>0.46102170483871929</v>
      </c>
      <c r="F364" s="18">
        <v>0.48553837059630911</v>
      </c>
      <c r="G364" s="18">
        <v>0.44430030246363772</v>
      </c>
      <c r="H364" s="18">
        <v>0.456241948836699</v>
      </c>
      <c r="I364" s="18">
        <v>0.39542137759224449</v>
      </c>
    </row>
    <row r="365" spans="1:9" x14ac:dyDescent="0.35">
      <c r="A365" s="14" t="s">
        <v>197</v>
      </c>
      <c r="B365" s="18">
        <v>0.38817826817652229</v>
      </c>
      <c r="C365" s="18">
        <v>0.32905458998776033</v>
      </c>
      <c r="D365" s="18">
        <v>0.46944999717547031</v>
      </c>
      <c r="E365" s="18">
        <v>0.47335092067632079</v>
      </c>
      <c r="F365" s="18">
        <v>0.38817826817652229</v>
      </c>
      <c r="G365" s="18">
        <v>0.36921092952733531</v>
      </c>
      <c r="H365" s="18">
        <v>0.36816963166561911</v>
      </c>
      <c r="I365" s="18">
        <v>0.30560907718805491</v>
      </c>
    </row>
    <row r="366" spans="1:9" x14ac:dyDescent="0.35">
      <c r="A366" s="14" t="s">
        <v>198</v>
      </c>
      <c r="B366" s="18">
        <v>0.10730359446663711</v>
      </c>
      <c r="C366" s="18">
        <v>0</v>
      </c>
      <c r="D366" s="18">
        <v>0</v>
      </c>
      <c r="E366" s="23">
        <v>3.5854856427936711E-2</v>
      </c>
      <c r="F366" s="18">
        <v>0.10730359446663711</v>
      </c>
      <c r="G366" s="18">
        <v>0.1252270465985488</v>
      </c>
      <c r="H366" s="18">
        <v>0.1015549614699742</v>
      </c>
      <c r="I366" s="18">
        <v>0.20354274455308261</v>
      </c>
    </row>
    <row r="367" spans="1:9" x14ac:dyDescent="0.35">
      <c r="A367" s="14" t="s">
        <v>199</v>
      </c>
      <c r="B367" s="18">
        <v>0</v>
      </c>
      <c r="C367" s="18">
        <v>0</v>
      </c>
      <c r="D367" s="18">
        <v>0</v>
      </c>
      <c r="E367" s="18">
        <v>0</v>
      </c>
      <c r="F367" s="18">
        <v>0</v>
      </c>
      <c r="G367" s="18">
        <v>4.6198122142131218E-2</v>
      </c>
      <c r="H367" s="18">
        <v>6.1817381031176177E-2</v>
      </c>
      <c r="I367" s="18">
        <v>5.386943893372146E-2</v>
      </c>
    </row>
    <row r="368" spans="1:9" x14ac:dyDescent="0.35">
      <c r="A368" s="14" t="s">
        <v>200</v>
      </c>
      <c r="B368" s="18">
        <v>0</v>
      </c>
      <c r="C368" s="18">
        <v>0</v>
      </c>
      <c r="D368" s="18">
        <v>0</v>
      </c>
      <c r="E368" s="18">
        <v>0</v>
      </c>
      <c r="F368" s="18">
        <v>0</v>
      </c>
      <c r="G368" s="18">
        <v>0</v>
      </c>
      <c r="H368" s="18">
        <v>0</v>
      </c>
      <c r="I368" s="18">
        <v>9.6494102465957046E-3</v>
      </c>
    </row>
    <row r="369" spans="1:9" x14ac:dyDescent="0.35">
      <c r="A369" s="14" t="s">
        <v>201</v>
      </c>
      <c r="B369" s="18">
        <v>1.8979766760531539E-2</v>
      </c>
      <c r="C369" s="18">
        <v>0</v>
      </c>
      <c r="D369" s="18">
        <v>0</v>
      </c>
      <c r="E369" s="18">
        <v>2.9772518057022961E-2</v>
      </c>
      <c r="F369" s="18">
        <v>1.8979766760531539E-2</v>
      </c>
      <c r="G369" s="18">
        <v>1.506359926834713E-2</v>
      </c>
      <c r="H369" s="18">
        <v>1.221607699653162E-2</v>
      </c>
      <c r="I369" s="18">
        <v>3.1907951486300837E-2</v>
      </c>
    </row>
    <row r="370" spans="1:9" x14ac:dyDescent="0.35">
      <c r="A370" s="14" t="s">
        <v>202</v>
      </c>
      <c r="B370" s="18">
        <v>0</v>
      </c>
      <c r="C370" s="18">
        <v>0</v>
      </c>
      <c r="D370" s="18">
        <v>0</v>
      </c>
      <c r="E370" s="18">
        <v>0</v>
      </c>
      <c r="F370" s="18">
        <v>0</v>
      </c>
      <c r="G370" s="18">
        <v>0</v>
      </c>
      <c r="H370" s="18">
        <v>0</v>
      </c>
      <c r="I370" s="18">
        <v>0</v>
      </c>
    </row>
    <row r="371" spans="1:9" x14ac:dyDescent="0.35">
      <c r="A371" s="14" t="s">
        <v>211</v>
      </c>
      <c r="B371" s="18">
        <v>0</v>
      </c>
      <c r="C371" s="18">
        <v>0</v>
      </c>
      <c r="D371" s="18">
        <v>0</v>
      </c>
      <c r="E371" s="18">
        <v>0</v>
      </c>
      <c r="F371" s="18">
        <v>0</v>
      </c>
      <c r="G371" s="18">
        <v>0</v>
      </c>
      <c r="H371" s="18">
        <v>0</v>
      </c>
      <c r="I371" s="18">
        <v>0</v>
      </c>
    </row>
    <row r="372" spans="1:9" x14ac:dyDescent="0.35">
      <c r="A372" s="14" t="s">
        <v>212</v>
      </c>
      <c r="B372" s="18">
        <v>0</v>
      </c>
      <c r="C372" s="18">
        <v>0</v>
      </c>
      <c r="D372" s="18">
        <v>0</v>
      </c>
      <c r="E372" s="18">
        <v>0</v>
      </c>
      <c r="F372" s="18">
        <v>0</v>
      </c>
      <c r="G372" s="18">
        <v>0</v>
      </c>
      <c r="H372" s="18">
        <v>0</v>
      </c>
      <c r="I372" s="18">
        <v>0</v>
      </c>
    </row>
    <row r="373" spans="1:9" x14ac:dyDescent="0.35">
      <c r="A373" s="14" t="s">
        <v>203</v>
      </c>
      <c r="B373" s="18">
        <v>0</v>
      </c>
      <c r="C373" s="18">
        <v>0</v>
      </c>
      <c r="D373" s="18">
        <v>0</v>
      </c>
      <c r="E373" s="18">
        <v>0</v>
      </c>
      <c r="F373" s="18">
        <v>0</v>
      </c>
      <c r="G373" s="18">
        <v>0</v>
      </c>
      <c r="H373" s="18">
        <v>0</v>
      </c>
      <c r="I373" s="18">
        <v>0</v>
      </c>
    </row>
    <row r="374" spans="1:9" x14ac:dyDescent="0.35">
      <c r="A374" s="14" t="s">
        <v>204</v>
      </c>
      <c r="B374" s="18">
        <v>0</v>
      </c>
      <c r="C374" s="18">
        <v>0</v>
      </c>
      <c r="D374" s="18">
        <v>0</v>
      </c>
      <c r="E374" s="18">
        <v>0</v>
      </c>
      <c r="F374" s="18">
        <v>0</v>
      </c>
      <c r="G374" s="18">
        <v>0</v>
      </c>
      <c r="H374" s="18">
        <v>0</v>
      </c>
      <c r="I374" s="18">
        <v>0</v>
      </c>
    </row>
    <row r="375" spans="1:9" x14ac:dyDescent="0.35">
      <c r="A375" s="14" t="s">
        <v>213</v>
      </c>
      <c r="B375" s="1">
        <v>85.473687201229993</v>
      </c>
      <c r="C375" s="1">
        <v>100</v>
      </c>
      <c r="D375" s="1">
        <v>100</v>
      </c>
      <c r="E375" s="1">
        <v>90.460010745801739</v>
      </c>
      <c r="F375" s="1">
        <v>85.473687201229993</v>
      </c>
      <c r="G375" s="1">
        <v>79.844763272262554</v>
      </c>
      <c r="H375" s="1">
        <v>81.219550350578643</v>
      </c>
      <c r="I375" s="1">
        <v>65.947309304740287</v>
      </c>
    </row>
    <row r="377" spans="1:9" x14ac:dyDescent="0.35">
      <c r="C377" s="187"/>
      <c r="D377" s="187"/>
      <c r="E377" s="187"/>
      <c r="F377" s="187"/>
      <c r="G377" s="170"/>
      <c r="H377" s="170"/>
      <c r="I377" s="170"/>
    </row>
    <row r="378" spans="1:9" ht="29" x14ac:dyDescent="0.35">
      <c r="A378" s="12" t="s">
        <v>517</v>
      </c>
      <c r="B378" s="13" t="s">
        <v>208</v>
      </c>
      <c r="C378" s="13" t="s">
        <v>458</v>
      </c>
      <c r="D378" s="13" t="s">
        <v>466</v>
      </c>
      <c r="E378" s="13" t="s">
        <v>467</v>
      </c>
      <c r="F378" s="13" t="s">
        <v>468</v>
      </c>
      <c r="G378" s="13" t="s">
        <v>636</v>
      </c>
      <c r="H378" s="13" t="s">
        <v>641</v>
      </c>
      <c r="I378" s="13" t="s">
        <v>647</v>
      </c>
    </row>
    <row r="379" spans="1:9" x14ac:dyDescent="0.35">
      <c r="A379" s="14" t="s">
        <v>209</v>
      </c>
      <c r="B379" s="15">
        <v>182</v>
      </c>
      <c r="C379" s="15">
        <v>0</v>
      </c>
      <c r="D379" s="15">
        <v>0</v>
      </c>
      <c r="E379" s="15">
        <v>84</v>
      </c>
      <c r="F379" s="15">
        <v>182</v>
      </c>
      <c r="G379" s="15">
        <v>270</v>
      </c>
      <c r="H379" s="15">
        <v>346</v>
      </c>
      <c r="I379" s="15">
        <v>365</v>
      </c>
    </row>
    <row r="380" spans="1:9" x14ac:dyDescent="0.35">
      <c r="A380" s="16" t="s">
        <v>336</v>
      </c>
      <c r="B380" s="17">
        <v>0.52487946648747286</v>
      </c>
      <c r="C380" s="168" t="s">
        <v>214</v>
      </c>
      <c r="D380" s="168" t="s">
        <v>214</v>
      </c>
      <c r="E380" s="17">
        <v>0.55624698488304625</v>
      </c>
      <c r="F380" s="152">
        <v>0.52487946648747263</v>
      </c>
      <c r="G380" s="17">
        <v>0.54805540285518128</v>
      </c>
      <c r="H380" s="17">
        <v>0.56958566132952781</v>
      </c>
      <c r="I380" s="17">
        <v>0.57710198386047062</v>
      </c>
    </row>
    <row r="381" spans="1:9" x14ac:dyDescent="0.35">
      <c r="A381" s="16" t="s">
        <v>194</v>
      </c>
      <c r="B381" s="17">
        <v>0.33121849407964432</v>
      </c>
      <c r="C381" s="168" t="s">
        <v>214</v>
      </c>
      <c r="D381" s="168" t="s">
        <v>214</v>
      </c>
      <c r="E381" s="17">
        <v>0.32266833735627071</v>
      </c>
      <c r="F381" s="17">
        <v>0.33121849407964421</v>
      </c>
      <c r="G381" s="17">
        <v>0.31903063042517232</v>
      </c>
      <c r="H381" s="17">
        <v>0.31356100713679391</v>
      </c>
      <c r="I381" s="17">
        <v>0.30559789122606063</v>
      </c>
    </row>
    <row r="382" spans="1:9" x14ac:dyDescent="0.35">
      <c r="A382" s="16" t="s">
        <v>195</v>
      </c>
      <c r="B382" s="17">
        <v>0.14390203943288291</v>
      </c>
      <c r="C382" s="168" t="s">
        <v>214</v>
      </c>
      <c r="D382" s="168" t="s">
        <v>214</v>
      </c>
      <c r="E382" s="17">
        <v>0.121084677760683</v>
      </c>
      <c r="F382" s="152">
        <v>0.14390203943288291</v>
      </c>
      <c r="G382" s="17">
        <v>0.13291396671964631</v>
      </c>
      <c r="H382" s="17">
        <v>0.1168533315336783</v>
      </c>
      <c r="I382" s="17">
        <v>0.1173001249134689</v>
      </c>
    </row>
    <row r="383" spans="1:9" x14ac:dyDescent="0.35">
      <c r="A383" s="14" t="s">
        <v>210</v>
      </c>
      <c r="B383" s="18">
        <v>0.35861697019333699</v>
      </c>
      <c r="C383" s="18" t="s">
        <v>214</v>
      </c>
      <c r="D383" s="18" t="s">
        <v>214</v>
      </c>
      <c r="E383" s="18">
        <v>0.32131310898797788</v>
      </c>
      <c r="F383" s="18">
        <v>0.35861697019333699</v>
      </c>
      <c r="G383" s="18">
        <v>0.36840006420674087</v>
      </c>
      <c r="H383" s="18">
        <v>0.39379801546800292</v>
      </c>
      <c r="I383" s="18">
        <v>0.39132262531620832</v>
      </c>
    </row>
    <row r="384" spans="1:9" x14ac:dyDescent="0.35">
      <c r="A384" s="14" t="s">
        <v>197</v>
      </c>
      <c r="B384" s="18">
        <v>0.16626249629413581</v>
      </c>
      <c r="C384" s="18" t="s">
        <v>214</v>
      </c>
      <c r="D384" s="18" t="s">
        <v>214</v>
      </c>
      <c r="E384" s="19">
        <v>0.23493387589506831</v>
      </c>
      <c r="F384" s="18">
        <v>0.1662624962941357</v>
      </c>
      <c r="G384" s="18">
        <v>0.1796553386484403</v>
      </c>
      <c r="H384" s="18">
        <v>0.1757876458615249</v>
      </c>
      <c r="I384" s="18">
        <v>0.18577935854426231</v>
      </c>
    </row>
    <row r="385" spans="1:9" x14ac:dyDescent="0.35">
      <c r="A385" s="14" t="s">
        <v>198</v>
      </c>
      <c r="B385" s="18">
        <v>0.22197277370710511</v>
      </c>
      <c r="C385" s="18" t="s">
        <v>214</v>
      </c>
      <c r="D385" s="18" t="s">
        <v>214</v>
      </c>
      <c r="E385" s="18">
        <v>0.1696215851851044</v>
      </c>
      <c r="F385" s="18">
        <v>0.221972773707105</v>
      </c>
      <c r="G385" s="25">
        <v>0.21811847402184509</v>
      </c>
      <c r="H385" s="18">
        <v>0.20358352708918301</v>
      </c>
      <c r="I385" s="18">
        <v>0.1955296606272488</v>
      </c>
    </row>
    <row r="386" spans="1:9" x14ac:dyDescent="0.35">
      <c r="A386" s="14" t="s">
        <v>199</v>
      </c>
      <c r="B386" s="18">
        <v>0.1092457203725392</v>
      </c>
      <c r="C386" s="18" t="s">
        <v>214</v>
      </c>
      <c r="D386" s="18" t="s">
        <v>214</v>
      </c>
      <c r="E386" s="20">
        <v>0.15304675217116631</v>
      </c>
      <c r="F386" s="25">
        <v>0.1092457203725391</v>
      </c>
      <c r="G386" s="18">
        <v>0.10091215640332719</v>
      </c>
      <c r="H386" s="18">
        <v>0.1099774800476109</v>
      </c>
      <c r="I386" s="18">
        <v>0.11006823059881179</v>
      </c>
    </row>
    <row r="387" spans="1:9" x14ac:dyDescent="0.35">
      <c r="A387" s="14" t="s">
        <v>200</v>
      </c>
      <c r="B387" s="18">
        <v>9.726431840058182E-2</v>
      </c>
      <c r="C387" s="18" t="s">
        <v>214</v>
      </c>
      <c r="D387" s="18" t="s">
        <v>214</v>
      </c>
      <c r="E387" s="18">
        <v>9.0998073431780346E-2</v>
      </c>
      <c r="F387" s="18">
        <v>9.7264318400581792E-2</v>
      </c>
      <c r="G387" s="18">
        <v>7.2537176255159513E-2</v>
      </c>
      <c r="H387" s="18">
        <v>6.3460754411960973E-2</v>
      </c>
      <c r="I387" s="25">
        <v>6.6881953778198638E-2</v>
      </c>
    </row>
    <row r="388" spans="1:9" x14ac:dyDescent="0.35">
      <c r="A388" s="14" t="s">
        <v>201</v>
      </c>
      <c r="B388" s="18">
        <v>2.501647018444908E-2</v>
      </c>
      <c r="C388" s="18" t="s">
        <v>214</v>
      </c>
      <c r="D388" s="18" t="s">
        <v>214</v>
      </c>
      <c r="E388" s="18">
        <v>8.461931361979454E-3</v>
      </c>
      <c r="F388" s="18">
        <v>2.501647018444907E-2</v>
      </c>
      <c r="G388" s="18">
        <v>2.68782821445144E-2</v>
      </c>
      <c r="H388" s="18">
        <v>2.4571253935321911E-2</v>
      </c>
      <c r="I388" s="18">
        <v>2.32024328605661E-2</v>
      </c>
    </row>
    <row r="389" spans="1:9" x14ac:dyDescent="0.35">
      <c r="A389" s="14" t="s">
        <v>202</v>
      </c>
      <c r="B389" s="18">
        <v>0</v>
      </c>
      <c r="C389" s="18" t="s">
        <v>214</v>
      </c>
      <c r="D389" s="18" t="s">
        <v>214</v>
      </c>
      <c r="E389" s="18">
        <v>0</v>
      </c>
      <c r="F389" s="18">
        <v>0</v>
      </c>
      <c r="G389" s="18">
        <v>8.0394740863109874E-3</v>
      </c>
      <c r="H389" s="18">
        <v>6.3377131320151384E-3</v>
      </c>
      <c r="I389" s="18">
        <v>5.9846503488257072E-3</v>
      </c>
    </row>
    <row r="390" spans="1:9" x14ac:dyDescent="0.35">
      <c r="A390" s="14" t="s">
        <v>211</v>
      </c>
      <c r="B390" s="18">
        <v>7.234081858612993E-3</v>
      </c>
      <c r="C390" s="18" t="s">
        <v>214</v>
      </c>
      <c r="D390" s="18" t="s">
        <v>214</v>
      </c>
      <c r="E390" s="18">
        <v>0</v>
      </c>
      <c r="F390" s="18">
        <v>7.2340818586129913E-3</v>
      </c>
      <c r="G390" s="18">
        <v>7.6138605419914362E-3</v>
      </c>
      <c r="H390" s="18">
        <v>8.415825217389223E-3</v>
      </c>
      <c r="I390" s="18">
        <v>7.946994487409105E-3</v>
      </c>
    </row>
    <row r="391" spans="1:9" x14ac:dyDescent="0.35">
      <c r="A391" s="14" t="s">
        <v>212</v>
      </c>
      <c r="B391" s="18">
        <v>0</v>
      </c>
      <c r="C391" s="18" t="s">
        <v>214</v>
      </c>
      <c r="D391" s="18" t="s">
        <v>214</v>
      </c>
      <c r="E391" s="18">
        <v>0</v>
      </c>
      <c r="F391" s="18">
        <v>0</v>
      </c>
      <c r="G391" s="18">
        <v>0</v>
      </c>
      <c r="H391" s="18">
        <v>0</v>
      </c>
      <c r="I391" s="18">
        <v>0</v>
      </c>
    </row>
    <row r="392" spans="1:9" x14ac:dyDescent="0.35">
      <c r="A392" s="14" t="s">
        <v>203</v>
      </c>
      <c r="B392" s="18">
        <v>3.0432525640032471E-3</v>
      </c>
      <c r="C392" s="18" t="s">
        <v>214</v>
      </c>
      <c r="D392" s="18" t="s">
        <v>214</v>
      </c>
      <c r="E392" s="18">
        <v>6.871301336492862E-3</v>
      </c>
      <c r="F392" s="18">
        <v>3.0432525640032462E-3</v>
      </c>
      <c r="G392" s="18">
        <v>5.9221019053573064E-3</v>
      </c>
      <c r="H392" s="18">
        <v>4.6685370972987571E-3</v>
      </c>
      <c r="I392" s="18">
        <v>4.4084611571825914E-3</v>
      </c>
    </row>
    <row r="393" spans="1:9" x14ac:dyDescent="0.35">
      <c r="A393" s="14" t="s">
        <v>204</v>
      </c>
      <c r="B393" s="18">
        <v>1.13439164252358E-2</v>
      </c>
      <c r="C393" s="18" t="s">
        <v>214</v>
      </c>
      <c r="D393" s="18" t="s">
        <v>214</v>
      </c>
      <c r="E393" s="18">
        <v>1.4753371630430339E-2</v>
      </c>
      <c r="F393" s="18">
        <v>1.134391642523579E-2</v>
      </c>
      <c r="G393" s="18">
        <v>1.1923071786312659E-2</v>
      </c>
      <c r="H393" s="25">
        <v>9.3992477396922479E-3</v>
      </c>
      <c r="I393" s="18">
        <v>8.87563228128674E-3</v>
      </c>
    </row>
    <row r="394" spans="1:9" x14ac:dyDescent="0.35">
      <c r="A394" s="14" t="s">
        <v>213</v>
      </c>
      <c r="B394" s="1">
        <v>38.097742705458977</v>
      </c>
      <c r="C394" s="1" t="s">
        <v>214</v>
      </c>
      <c r="D394" s="1" t="s">
        <v>214</v>
      </c>
      <c r="E394" s="1">
        <v>43.516230712236322</v>
      </c>
      <c r="F394" s="1">
        <v>38.097742705458977</v>
      </c>
      <c r="G394" s="1">
        <v>41.514143613553493</v>
      </c>
      <c r="H394" s="1">
        <v>45.273232979584961</v>
      </c>
      <c r="I394" s="1">
        <v>45.980185894700163</v>
      </c>
    </row>
    <row r="396" spans="1:9" x14ac:dyDescent="0.35">
      <c r="C396" s="187"/>
      <c r="D396" s="187"/>
      <c r="E396" s="187"/>
      <c r="F396" s="187"/>
      <c r="G396" s="170"/>
      <c r="H396" s="170"/>
      <c r="I396" s="170"/>
    </row>
    <row r="397" spans="1:9" ht="29" x14ac:dyDescent="0.35">
      <c r="A397" s="12" t="s">
        <v>518</v>
      </c>
      <c r="B397" s="13" t="s">
        <v>208</v>
      </c>
      <c r="C397" s="13" t="s">
        <v>458</v>
      </c>
      <c r="D397" s="13" t="s">
        <v>466</v>
      </c>
      <c r="E397" s="13" t="s">
        <v>467</v>
      </c>
      <c r="F397" s="13" t="s">
        <v>468</v>
      </c>
      <c r="G397" s="13" t="s">
        <v>636</v>
      </c>
      <c r="H397" s="13" t="s">
        <v>641</v>
      </c>
      <c r="I397" s="13" t="s">
        <v>647</v>
      </c>
    </row>
    <row r="398" spans="1:9" x14ac:dyDescent="0.35">
      <c r="A398" s="14" t="s">
        <v>209</v>
      </c>
      <c r="B398" s="15">
        <v>130</v>
      </c>
      <c r="C398" s="15">
        <v>0</v>
      </c>
      <c r="D398" s="15">
        <v>0</v>
      </c>
      <c r="E398" s="15">
        <v>55</v>
      </c>
      <c r="F398" s="15">
        <v>130</v>
      </c>
      <c r="G398" s="15">
        <v>203</v>
      </c>
      <c r="H398" s="15">
        <v>258</v>
      </c>
      <c r="I398" s="15">
        <v>264</v>
      </c>
    </row>
    <row r="399" spans="1:9" x14ac:dyDescent="0.35">
      <c r="A399" s="16" t="s">
        <v>336</v>
      </c>
      <c r="B399" s="17">
        <v>0.49399122401205048</v>
      </c>
      <c r="C399" s="168" t="s">
        <v>214</v>
      </c>
      <c r="D399" s="168" t="s">
        <v>214</v>
      </c>
      <c r="E399" s="17">
        <v>0.42410535639919827</v>
      </c>
      <c r="F399" s="17">
        <v>0.49399122401205048</v>
      </c>
      <c r="G399" s="152">
        <v>0.48647365287255001</v>
      </c>
      <c r="H399" s="17">
        <v>0.50476863977138875</v>
      </c>
      <c r="I399" s="17">
        <v>0.50302298905485721</v>
      </c>
    </row>
    <row r="400" spans="1:9" x14ac:dyDescent="0.35">
      <c r="A400" s="16" t="s">
        <v>194</v>
      </c>
      <c r="B400" s="17">
        <v>0.36549423076636522</v>
      </c>
      <c r="C400" s="168" t="s">
        <v>214</v>
      </c>
      <c r="D400" s="168" t="s">
        <v>214</v>
      </c>
      <c r="E400" s="17">
        <v>0.40376438553194499</v>
      </c>
      <c r="F400" s="17">
        <v>0.36549423076636522</v>
      </c>
      <c r="G400" s="17">
        <v>0.33998252457900208</v>
      </c>
      <c r="H400" s="17">
        <v>0.33200672996957409</v>
      </c>
      <c r="I400" s="17">
        <v>0.33898033108955627</v>
      </c>
    </row>
    <row r="401" spans="1:9" x14ac:dyDescent="0.35">
      <c r="A401" s="16" t="s">
        <v>195</v>
      </c>
      <c r="B401" s="17">
        <v>0.14051454522158441</v>
      </c>
      <c r="C401" s="168" t="s">
        <v>214</v>
      </c>
      <c r="D401" s="168" t="s">
        <v>214</v>
      </c>
      <c r="E401" s="17">
        <v>0.17213025806885679</v>
      </c>
      <c r="F401" s="17">
        <v>0.14051454522158441</v>
      </c>
      <c r="G401" s="17">
        <v>0.173543822548448</v>
      </c>
      <c r="H401" s="17">
        <v>0.16322463025903691</v>
      </c>
      <c r="I401" s="17">
        <v>0.1579966798555863</v>
      </c>
    </row>
    <row r="402" spans="1:9" x14ac:dyDescent="0.35">
      <c r="A402" s="14" t="s">
        <v>210</v>
      </c>
      <c r="B402" s="18">
        <v>0.33457582760104371</v>
      </c>
      <c r="C402" s="18" t="s">
        <v>214</v>
      </c>
      <c r="D402" s="18" t="s">
        <v>214</v>
      </c>
      <c r="E402" s="18">
        <v>0.30534444021896412</v>
      </c>
      <c r="F402" s="18">
        <v>0.33457582760104371</v>
      </c>
      <c r="G402" s="18">
        <v>0.32811806299125629</v>
      </c>
      <c r="H402" s="18">
        <v>0.34855121680819279</v>
      </c>
      <c r="I402" s="18">
        <v>0.34810182814861618</v>
      </c>
    </row>
    <row r="403" spans="1:9" x14ac:dyDescent="0.35">
      <c r="A403" s="14" t="s">
        <v>197</v>
      </c>
      <c r="B403" s="18">
        <v>0.1594153964110068</v>
      </c>
      <c r="C403" s="18" t="s">
        <v>214</v>
      </c>
      <c r="D403" s="18" t="s">
        <v>214</v>
      </c>
      <c r="E403" s="18">
        <v>0.11876091618023429</v>
      </c>
      <c r="F403" s="18">
        <v>0.15941539641100669</v>
      </c>
      <c r="G403" s="18">
        <v>0.15835558988129361</v>
      </c>
      <c r="H403" s="18">
        <v>0.15621742296319599</v>
      </c>
      <c r="I403" s="18">
        <v>0.15492116090624111</v>
      </c>
    </row>
    <row r="404" spans="1:9" x14ac:dyDescent="0.35">
      <c r="A404" s="14" t="s">
        <v>198</v>
      </c>
      <c r="B404" s="18">
        <v>0.2073310627485131</v>
      </c>
      <c r="C404" s="18" t="s">
        <v>214</v>
      </c>
      <c r="D404" s="18" t="s">
        <v>214</v>
      </c>
      <c r="E404" s="18">
        <v>0.21253336152837471</v>
      </c>
      <c r="F404" s="18">
        <v>0.2073310627485131</v>
      </c>
      <c r="G404" s="18">
        <v>0.2133505988679506</v>
      </c>
      <c r="H404" s="18">
        <v>0.22127049905398899</v>
      </c>
      <c r="I404" s="18">
        <v>0.23179089039903089</v>
      </c>
    </row>
    <row r="405" spans="1:9" x14ac:dyDescent="0.35">
      <c r="A405" s="14" t="s">
        <v>199</v>
      </c>
      <c r="B405" s="18">
        <v>0.1581631680178521</v>
      </c>
      <c r="C405" s="18" t="s">
        <v>214</v>
      </c>
      <c r="D405" s="18" t="s">
        <v>214</v>
      </c>
      <c r="E405" s="18">
        <v>0.1912310240035702</v>
      </c>
      <c r="F405" s="18">
        <v>0.15816316801785199</v>
      </c>
      <c r="G405" s="18">
        <v>0.12663192571105139</v>
      </c>
      <c r="H405" s="18">
        <v>0.1107362309155851</v>
      </c>
      <c r="I405" s="18">
        <v>0.1071894406905254</v>
      </c>
    </row>
    <row r="406" spans="1:9" x14ac:dyDescent="0.35">
      <c r="A406" s="14" t="s">
        <v>200</v>
      </c>
      <c r="B406" s="18">
        <v>2.210601613356206E-2</v>
      </c>
      <c r="C406" s="18" t="s">
        <v>214</v>
      </c>
      <c r="D406" s="18" t="s">
        <v>214</v>
      </c>
      <c r="E406" s="18">
        <v>3.5282040215136458E-2</v>
      </c>
      <c r="F406" s="18">
        <v>2.210601613356206E-2</v>
      </c>
      <c r="G406" s="18">
        <v>4.4264547912959938E-2</v>
      </c>
      <c r="H406" s="18">
        <v>4.6249889757720777E-2</v>
      </c>
      <c r="I406" s="18">
        <v>4.4768543900574713E-2</v>
      </c>
    </row>
    <row r="407" spans="1:9" x14ac:dyDescent="0.35">
      <c r="A407" s="14" t="s">
        <v>201</v>
      </c>
      <c r="B407" s="18">
        <v>8.6734856184236195E-2</v>
      </c>
      <c r="C407" s="18" t="s">
        <v>214</v>
      </c>
      <c r="D407" s="18" t="s">
        <v>214</v>
      </c>
      <c r="E407" s="18">
        <v>7.0178667989611559E-2</v>
      </c>
      <c r="F407" s="18">
        <v>8.6734856184236181E-2</v>
      </c>
      <c r="G407" s="18">
        <v>7.8912062247628839E-2</v>
      </c>
      <c r="H407" s="18">
        <v>6.9935438246555764E-2</v>
      </c>
      <c r="I407" s="18">
        <v>6.7695463789169394E-2</v>
      </c>
    </row>
    <row r="408" spans="1:9" x14ac:dyDescent="0.35">
      <c r="A408" s="14" t="s">
        <v>202</v>
      </c>
      <c r="B408" s="18">
        <v>1.7032776385281979E-2</v>
      </c>
      <c r="C408" s="18" t="s">
        <v>214</v>
      </c>
      <c r="D408" s="18" t="s">
        <v>214</v>
      </c>
      <c r="E408" s="18">
        <v>2.979417493088159E-2</v>
      </c>
      <c r="F408" s="18">
        <v>1.7032776385281979E-2</v>
      </c>
      <c r="G408" s="18">
        <v>1.8331012902787922E-2</v>
      </c>
      <c r="H408" s="18">
        <v>2.1647852500511999E-2</v>
      </c>
      <c r="I408" s="18">
        <v>2.0954489623633159E-2</v>
      </c>
    </row>
    <row r="409" spans="1:9" x14ac:dyDescent="0.35">
      <c r="A409" s="14" t="s">
        <v>211</v>
      </c>
      <c r="B409" s="18">
        <v>0</v>
      </c>
      <c r="C409" s="18" t="s">
        <v>214</v>
      </c>
      <c r="D409" s="18" t="s">
        <v>214</v>
      </c>
      <c r="E409" s="18">
        <v>0</v>
      </c>
      <c r="F409" s="18">
        <v>0</v>
      </c>
      <c r="G409" s="25">
        <v>1.712977932186148E-2</v>
      </c>
      <c r="H409" s="18">
        <v>1.357682677544486E-2</v>
      </c>
      <c r="I409" s="18">
        <v>1.314197220168585E-2</v>
      </c>
    </row>
    <row r="410" spans="1:9" x14ac:dyDescent="0.35">
      <c r="A410" s="14" t="s">
        <v>212</v>
      </c>
      <c r="B410" s="18">
        <v>0</v>
      </c>
      <c r="C410" s="18" t="s">
        <v>214</v>
      </c>
      <c r="D410" s="18" t="s">
        <v>214</v>
      </c>
      <c r="E410" s="18">
        <v>0</v>
      </c>
      <c r="F410" s="18">
        <v>0</v>
      </c>
      <c r="G410" s="18">
        <v>5.7484932336609486E-3</v>
      </c>
      <c r="H410" s="18">
        <v>4.556176433261277E-3</v>
      </c>
      <c r="I410" s="18">
        <v>4.4102458565789529E-3</v>
      </c>
    </row>
    <row r="411" spans="1:9" x14ac:dyDescent="0.35">
      <c r="A411" s="14" t="s">
        <v>203</v>
      </c>
      <c r="B411" s="18">
        <v>1.0128603626989601E-2</v>
      </c>
      <c r="C411" s="18" t="s">
        <v>214</v>
      </c>
      <c r="D411" s="18" t="s">
        <v>214</v>
      </c>
      <c r="E411" s="18">
        <v>2.5510463503600169E-2</v>
      </c>
      <c r="F411" s="18">
        <v>1.0128603626989601E-2</v>
      </c>
      <c r="G411" s="18">
        <v>6.3354735003489848E-3</v>
      </c>
      <c r="H411" s="18">
        <v>5.0214088949111016E-3</v>
      </c>
      <c r="I411" s="18">
        <v>4.8605773058526388E-3</v>
      </c>
    </row>
    <row r="412" spans="1:9" x14ac:dyDescent="0.35">
      <c r="A412" s="14" t="s">
        <v>204</v>
      </c>
      <c r="B412" s="18">
        <v>4.5122928915145204E-3</v>
      </c>
      <c r="C412" s="18" t="s">
        <v>214</v>
      </c>
      <c r="D412" s="18" t="s">
        <v>214</v>
      </c>
      <c r="E412" s="18">
        <v>1.1364911429627001E-2</v>
      </c>
      <c r="F412" s="18">
        <v>4.5122928915145204E-3</v>
      </c>
      <c r="G412" s="18">
        <v>2.8224534291999E-3</v>
      </c>
      <c r="H412" s="18">
        <v>2.237037650631169E-3</v>
      </c>
      <c r="I412" s="18">
        <v>2.1653871780916299E-3</v>
      </c>
    </row>
    <row r="413" spans="1:9" x14ac:dyDescent="0.35">
      <c r="A413" s="14" t="s">
        <v>213</v>
      </c>
      <c r="B413" s="1">
        <v>35.347667879046597</v>
      </c>
      <c r="C413" s="1" t="s">
        <v>214</v>
      </c>
      <c r="D413" s="1" t="s">
        <v>214</v>
      </c>
      <c r="E413" s="1">
        <v>25.19750983303415</v>
      </c>
      <c r="F413" s="1">
        <v>35.347667879046632</v>
      </c>
      <c r="G413" s="1">
        <v>31.292983032410199</v>
      </c>
      <c r="H413" s="1">
        <v>34.154400951235203</v>
      </c>
      <c r="I413" s="1">
        <v>34.5026309199271</v>
      </c>
    </row>
    <row r="415" spans="1:9" x14ac:dyDescent="0.35">
      <c r="C415" s="187"/>
      <c r="D415" s="187"/>
      <c r="E415" s="187"/>
      <c r="F415" s="187"/>
      <c r="G415" s="170"/>
      <c r="H415" s="170"/>
      <c r="I415" s="170"/>
    </row>
    <row r="416" spans="1:9" ht="29" x14ac:dyDescent="0.35">
      <c r="A416" s="12" t="s">
        <v>519</v>
      </c>
      <c r="B416" s="13" t="s">
        <v>208</v>
      </c>
      <c r="C416" s="13" t="s">
        <v>458</v>
      </c>
      <c r="D416" s="13" t="s">
        <v>466</v>
      </c>
      <c r="E416" s="13" t="s">
        <v>467</v>
      </c>
      <c r="F416" s="13" t="s">
        <v>468</v>
      </c>
      <c r="G416" s="13" t="s">
        <v>636</v>
      </c>
      <c r="H416" s="13" t="s">
        <v>641</v>
      </c>
      <c r="I416" s="13" t="s">
        <v>647</v>
      </c>
    </row>
    <row r="417" spans="1:9" x14ac:dyDescent="0.35">
      <c r="A417" s="14" t="s">
        <v>209</v>
      </c>
      <c r="B417" s="15">
        <v>86</v>
      </c>
      <c r="C417" s="15">
        <v>0</v>
      </c>
      <c r="D417" s="15">
        <v>0</v>
      </c>
      <c r="E417" s="15">
        <v>43</v>
      </c>
      <c r="F417" s="15">
        <v>86</v>
      </c>
      <c r="G417" s="15">
        <v>130</v>
      </c>
      <c r="H417" s="15">
        <v>167</v>
      </c>
      <c r="I417" s="15">
        <v>168</v>
      </c>
    </row>
    <row r="418" spans="1:9" x14ac:dyDescent="0.35">
      <c r="A418" s="16" t="s">
        <v>336</v>
      </c>
      <c r="B418" s="17">
        <v>0.45456826733455657</v>
      </c>
      <c r="C418" s="168" t="s">
        <v>214</v>
      </c>
      <c r="D418" s="168" t="s">
        <v>214</v>
      </c>
      <c r="E418" s="17">
        <v>0.45393817807228443</v>
      </c>
      <c r="F418" s="17">
        <v>0.45456826733455669</v>
      </c>
      <c r="G418" s="17">
        <v>0.4674778315094919</v>
      </c>
      <c r="H418" s="17">
        <v>0.47189603950549219</v>
      </c>
      <c r="I418" s="17">
        <v>0.4746626265919317</v>
      </c>
    </row>
    <row r="419" spans="1:9" x14ac:dyDescent="0.35">
      <c r="A419" s="16" t="s">
        <v>194</v>
      </c>
      <c r="B419" s="17">
        <v>0.32843779827125807</v>
      </c>
      <c r="C419" s="168" t="s">
        <v>214</v>
      </c>
      <c r="D419" s="168" t="s">
        <v>214</v>
      </c>
      <c r="E419" s="17">
        <v>0.27658285530321031</v>
      </c>
      <c r="F419" s="17">
        <v>0.32843779827125819</v>
      </c>
      <c r="G419" s="17">
        <v>0.28511995451371802</v>
      </c>
      <c r="H419" s="17">
        <v>0.3041723316947243</v>
      </c>
      <c r="I419" s="17">
        <v>0.30257885899262438</v>
      </c>
    </row>
    <row r="420" spans="1:9" x14ac:dyDescent="0.35">
      <c r="A420" s="16" t="s">
        <v>195</v>
      </c>
      <c r="B420" s="17">
        <v>0.21699393439418521</v>
      </c>
      <c r="C420" s="168" t="s">
        <v>214</v>
      </c>
      <c r="D420" s="168" t="s">
        <v>214</v>
      </c>
      <c r="E420" s="17">
        <v>0.26947896662450538</v>
      </c>
      <c r="F420" s="17">
        <v>0.21699393439418521</v>
      </c>
      <c r="G420" s="17">
        <v>0.24740221397679019</v>
      </c>
      <c r="H420" s="17">
        <v>0.22393162879978351</v>
      </c>
      <c r="I420" s="17">
        <v>0.22275851441544389</v>
      </c>
    </row>
    <row r="421" spans="1:9" x14ac:dyDescent="0.35">
      <c r="A421" s="14" t="s">
        <v>210</v>
      </c>
      <c r="B421" s="18">
        <v>0.3476403920972555</v>
      </c>
      <c r="C421" s="18" t="s">
        <v>214</v>
      </c>
      <c r="D421" s="18" t="s">
        <v>214</v>
      </c>
      <c r="E421" s="18">
        <v>0.34179312612426282</v>
      </c>
      <c r="F421" s="18">
        <v>0.34764039209725561</v>
      </c>
      <c r="G421" s="18">
        <v>0.32477463512395638</v>
      </c>
      <c r="H421" s="18">
        <v>0.33130766535444928</v>
      </c>
      <c r="I421" s="18">
        <v>0.33481075511749347</v>
      </c>
    </row>
    <row r="422" spans="1:9" x14ac:dyDescent="0.35">
      <c r="A422" s="14" t="s">
        <v>197</v>
      </c>
      <c r="B422" s="18">
        <v>0.1069278752373011</v>
      </c>
      <c r="C422" s="18" t="s">
        <v>214</v>
      </c>
      <c r="D422" s="18" t="s">
        <v>214</v>
      </c>
      <c r="E422" s="18">
        <v>0.1121450519480215</v>
      </c>
      <c r="F422" s="18">
        <v>0.1069278752373011</v>
      </c>
      <c r="G422" s="18">
        <v>0.14270319638553541</v>
      </c>
      <c r="H422" s="18">
        <v>0.140588374151043</v>
      </c>
      <c r="I422" s="25">
        <v>0.1398518714744382</v>
      </c>
    </row>
    <row r="423" spans="1:9" x14ac:dyDescent="0.35">
      <c r="A423" s="14" t="s">
        <v>198</v>
      </c>
      <c r="B423" s="18">
        <v>0.20424336089371639</v>
      </c>
      <c r="C423" s="18" t="s">
        <v>214</v>
      </c>
      <c r="D423" s="18" t="s">
        <v>214</v>
      </c>
      <c r="E423" s="18">
        <v>0.18278353082390539</v>
      </c>
      <c r="F423" s="18">
        <v>0.20424336089371639</v>
      </c>
      <c r="G423" s="18">
        <v>0.16909190500258209</v>
      </c>
      <c r="H423" s="18">
        <v>0.18643683633339481</v>
      </c>
      <c r="I423" s="18">
        <v>0.1854601465480093</v>
      </c>
    </row>
    <row r="424" spans="1:9" x14ac:dyDescent="0.35">
      <c r="A424" s="14" t="s">
        <v>199</v>
      </c>
      <c r="B424" s="18">
        <v>0.1241944373775417</v>
      </c>
      <c r="C424" s="18" t="s">
        <v>214</v>
      </c>
      <c r="D424" s="18" t="s">
        <v>214</v>
      </c>
      <c r="E424" s="18">
        <v>9.3799324479304905E-2</v>
      </c>
      <c r="F424" s="18">
        <v>0.12419443737754179</v>
      </c>
      <c r="G424" s="18">
        <v>0.11602804951113591</v>
      </c>
      <c r="H424" s="18">
        <v>0.1177354953613295</v>
      </c>
      <c r="I424" s="18">
        <v>0.11711871244461509</v>
      </c>
    </row>
    <row r="425" spans="1:9" x14ac:dyDescent="0.35">
      <c r="A425" s="14" t="s">
        <v>200</v>
      </c>
      <c r="B425" s="18">
        <v>0.1051828144935345</v>
      </c>
      <c r="C425" s="18" t="s">
        <v>214</v>
      </c>
      <c r="D425" s="18" t="s">
        <v>214</v>
      </c>
      <c r="E425" s="18">
        <v>0.106515796418124</v>
      </c>
      <c r="F425" s="18">
        <v>0.1051828144935345</v>
      </c>
      <c r="G425" s="18">
        <v>0.1036767420728837</v>
      </c>
      <c r="H425" s="18">
        <v>9.4995386812857352E-2</v>
      </c>
      <c r="I425" s="18">
        <v>9.4497732884676847E-2</v>
      </c>
    </row>
    <row r="426" spans="1:9" x14ac:dyDescent="0.35">
      <c r="A426" s="14" t="s">
        <v>201</v>
      </c>
      <c r="B426" s="18">
        <v>8.9203574088522045E-2</v>
      </c>
      <c r="C426" s="18" t="s">
        <v>214</v>
      </c>
      <c r="D426" s="18" t="s">
        <v>214</v>
      </c>
      <c r="E426" s="20">
        <v>0.14766233328221309</v>
      </c>
      <c r="F426" s="18">
        <v>8.9203574088522072E-2</v>
      </c>
      <c r="G426" s="18">
        <v>0.1104075709599365</v>
      </c>
      <c r="H426" s="18">
        <v>0.1026638285283471</v>
      </c>
      <c r="I426" s="18">
        <v>0.1021260018057733</v>
      </c>
    </row>
    <row r="427" spans="1:9" x14ac:dyDescent="0.35">
      <c r="A427" s="14" t="s">
        <v>202</v>
      </c>
      <c r="B427" s="18">
        <v>0</v>
      </c>
      <c r="C427" s="18" t="s">
        <v>214</v>
      </c>
      <c r="D427" s="18" t="s">
        <v>214</v>
      </c>
      <c r="E427" s="18">
        <v>0</v>
      </c>
      <c r="F427" s="18">
        <v>0</v>
      </c>
      <c r="G427" s="18">
        <v>2.0058754054366821E-4</v>
      </c>
      <c r="H427" s="18">
        <v>1.5817079259179801E-4</v>
      </c>
      <c r="I427" s="18">
        <v>1.5734218060444119E-4</v>
      </c>
    </row>
    <row r="428" spans="1:9" x14ac:dyDescent="0.35">
      <c r="A428" s="14" t="s">
        <v>211</v>
      </c>
      <c r="B428" s="18">
        <v>9.0490851669135196E-3</v>
      </c>
      <c r="C428" s="18" t="s">
        <v>214</v>
      </c>
      <c r="D428" s="18" t="s">
        <v>214</v>
      </c>
      <c r="E428" s="18">
        <v>0</v>
      </c>
      <c r="F428" s="18">
        <v>9.049085166913523E-3</v>
      </c>
      <c r="G428" s="18">
        <v>1.53380812393964E-2</v>
      </c>
      <c r="H428" s="18">
        <v>1.2094651840773549E-2</v>
      </c>
      <c r="I428" s="18">
        <v>1.203129138506643E-2</v>
      </c>
    </row>
    <row r="429" spans="1:9" x14ac:dyDescent="0.35">
      <c r="A429" s="14" t="s">
        <v>212</v>
      </c>
      <c r="B429" s="18">
        <v>0</v>
      </c>
      <c r="C429" s="18" t="s">
        <v>214</v>
      </c>
      <c r="D429" s="18" t="s">
        <v>214</v>
      </c>
      <c r="E429" s="18">
        <v>0</v>
      </c>
      <c r="F429" s="18">
        <v>0</v>
      </c>
      <c r="G429" s="18">
        <v>0</v>
      </c>
      <c r="H429" s="18">
        <v>0</v>
      </c>
      <c r="I429" s="18">
        <v>0</v>
      </c>
    </row>
    <row r="430" spans="1:9" x14ac:dyDescent="0.35">
      <c r="A430" s="14" t="s">
        <v>203</v>
      </c>
      <c r="B430" s="18">
        <v>6.5267190804914844E-3</v>
      </c>
      <c r="C430" s="18" t="s">
        <v>214</v>
      </c>
      <c r="D430" s="18" t="s">
        <v>214</v>
      </c>
      <c r="E430" s="18">
        <v>0</v>
      </c>
      <c r="F430" s="18">
        <v>6.5267190804914853E-3</v>
      </c>
      <c r="G430" s="18">
        <v>4.4711860361164287E-3</v>
      </c>
      <c r="H430" s="18">
        <v>3.5256977439431449E-3</v>
      </c>
      <c r="I430" s="18">
        <v>3.5072276119639261E-3</v>
      </c>
    </row>
    <row r="431" spans="1:9" x14ac:dyDescent="0.35">
      <c r="A431" s="14" t="s">
        <v>204</v>
      </c>
      <c r="B431" s="18">
        <v>7.0317415647235867E-3</v>
      </c>
      <c r="C431" s="18" t="s">
        <v>214</v>
      </c>
      <c r="D431" s="18" t="s">
        <v>214</v>
      </c>
      <c r="E431" s="18">
        <v>1.5300836924168301E-2</v>
      </c>
      <c r="F431" s="18">
        <v>7.0317415647235893E-3</v>
      </c>
      <c r="G431" s="18">
        <v>1.330804612791354E-2</v>
      </c>
      <c r="H431" s="25">
        <v>1.049389308127064E-2</v>
      </c>
      <c r="I431" s="18">
        <v>1.043891854735892E-2</v>
      </c>
    </row>
    <row r="432" spans="1:9" x14ac:dyDescent="0.35">
      <c r="A432" s="14" t="s">
        <v>213</v>
      </c>
      <c r="B432" s="1">
        <v>23.757433294037138</v>
      </c>
      <c r="C432" s="1" t="s">
        <v>214</v>
      </c>
      <c r="D432" s="1" t="s">
        <v>214</v>
      </c>
      <c r="E432" s="1">
        <v>18.445921144777891</v>
      </c>
      <c r="F432" s="1">
        <v>23.757433294037138</v>
      </c>
      <c r="G432" s="1">
        <v>22.007561753270171</v>
      </c>
      <c r="H432" s="1">
        <v>24.796441070570861</v>
      </c>
      <c r="I432" s="1">
        <v>25.190411217648769</v>
      </c>
    </row>
    <row r="434" spans="1:9" x14ac:dyDescent="0.35">
      <c r="C434" s="187"/>
      <c r="D434" s="187"/>
      <c r="E434" s="187"/>
      <c r="F434" s="187"/>
      <c r="G434" s="170"/>
      <c r="H434" s="170"/>
      <c r="I434" s="170"/>
    </row>
    <row r="435" spans="1:9" ht="29" x14ac:dyDescent="0.35">
      <c r="A435" s="12" t="s">
        <v>520</v>
      </c>
      <c r="B435" s="13" t="s">
        <v>208</v>
      </c>
      <c r="C435" s="13" t="s">
        <v>458</v>
      </c>
      <c r="D435" s="13" t="s">
        <v>466</v>
      </c>
      <c r="E435" s="13" t="s">
        <v>467</v>
      </c>
      <c r="F435" s="13" t="s">
        <v>468</v>
      </c>
      <c r="G435" s="13" t="s">
        <v>636</v>
      </c>
      <c r="H435" s="13" t="s">
        <v>641</v>
      </c>
      <c r="I435" s="13" t="s">
        <v>647</v>
      </c>
    </row>
    <row r="436" spans="1:9" x14ac:dyDescent="0.35">
      <c r="A436" s="14" t="s">
        <v>209</v>
      </c>
      <c r="B436" s="15">
        <v>131</v>
      </c>
      <c r="C436" s="15">
        <v>0</v>
      </c>
      <c r="D436" s="15">
        <v>0</v>
      </c>
      <c r="E436" s="15">
        <v>62</v>
      </c>
      <c r="F436" s="15">
        <v>131</v>
      </c>
      <c r="G436" s="15">
        <v>185</v>
      </c>
      <c r="H436" s="15">
        <v>233</v>
      </c>
      <c r="I436" s="15">
        <v>237</v>
      </c>
    </row>
    <row r="437" spans="1:9" x14ac:dyDescent="0.35">
      <c r="A437" s="16" t="s">
        <v>336</v>
      </c>
      <c r="B437" s="17">
        <v>0.37645995620905559</v>
      </c>
      <c r="C437" s="168" t="s">
        <v>214</v>
      </c>
      <c r="D437" s="168" t="s">
        <v>214</v>
      </c>
      <c r="E437" s="17">
        <v>0.4019989469635718</v>
      </c>
      <c r="F437" s="17">
        <v>0.37645995620905559</v>
      </c>
      <c r="G437" s="17">
        <v>0.42971329315056522</v>
      </c>
      <c r="H437" s="17">
        <v>0.45376501097332128</v>
      </c>
      <c r="I437" s="17">
        <v>0.44976863771764408</v>
      </c>
    </row>
    <row r="438" spans="1:9" x14ac:dyDescent="0.35">
      <c r="A438" s="16" t="s">
        <v>194</v>
      </c>
      <c r="B438" s="17">
        <v>0.37676143540679269</v>
      </c>
      <c r="C438" s="168" t="s">
        <v>214</v>
      </c>
      <c r="D438" s="168" t="s">
        <v>214</v>
      </c>
      <c r="E438" s="154">
        <v>0.29408079878910198</v>
      </c>
      <c r="F438" s="17">
        <v>0.37676143540679269</v>
      </c>
      <c r="G438" s="17">
        <v>0.34398346280624109</v>
      </c>
      <c r="H438" s="17">
        <v>0.33448806204073539</v>
      </c>
      <c r="I438" s="17">
        <v>0.34446632984299919</v>
      </c>
    </row>
    <row r="439" spans="1:9" x14ac:dyDescent="0.35">
      <c r="A439" s="16" t="s">
        <v>195</v>
      </c>
      <c r="B439" s="17">
        <v>0.24677860838415169</v>
      </c>
      <c r="C439" s="168" t="s">
        <v>214</v>
      </c>
      <c r="D439" s="168" t="s">
        <v>214</v>
      </c>
      <c r="E439" s="17">
        <v>0.3039202542473261</v>
      </c>
      <c r="F439" s="17">
        <v>0.24677860838415169</v>
      </c>
      <c r="G439" s="152">
        <v>0.22630324404319371</v>
      </c>
      <c r="H439" s="17">
        <v>0.21174692698594341</v>
      </c>
      <c r="I439" s="17">
        <v>0.20576503243935679</v>
      </c>
    </row>
    <row r="440" spans="1:9" x14ac:dyDescent="0.35">
      <c r="A440" s="14" t="s">
        <v>210</v>
      </c>
      <c r="B440" s="18">
        <v>0.25938897962717572</v>
      </c>
      <c r="C440" s="18" t="s">
        <v>214</v>
      </c>
      <c r="D440" s="18" t="s">
        <v>214</v>
      </c>
      <c r="E440" s="18">
        <v>0.22566834829753599</v>
      </c>
      <c r="F440" s="18">
        <v>0.25938897962717578</v>
      </c>
      <c r="G440" s="18">
        <v>0.28472601984185231</v>
      </c>
      <c r="H440" s="18">
        <v>0.28605616611164092</v>
      </c>
      <c r="I440" s="18">
        <v>0.28679760246091263</v>
      </c>
    </row>
    <row r="441" spans="1:9" x14ac:dyDescent="0.35">
      <c r="A441" s="14" t="s">
        <v>197</v>
      </c>
      <c r="B441" s="18">
        <v>0.1170709765818799</v>
      </c>
      <c r="C441" s="18" t="s">
        <v>214</v>
      </c>
      <c r="D441" s="18" t="s">
        <v>214</v>
      </c>
      <c r="E441" s="19">
        <v>0.17633059866603579</v>
      </c>
      <c r="F441" s="18">
        <v>0.1170709765818799</v>
      </c>
      <c r="G441" s="18">
        <v>0.14498727330871289</v>
      </c>
      <c r="H441" s="18">
        <v>0.16770884486168039</v>
      </c>
      <c r="I441" s="18">
        <v>0.16297103525673151</v>
      </c>
    </row>
    <row r="442" spans="1:9" x14ac:dyDescent="0.35">
      <c r="A442" s="14" t="s">
        <v>198</v>
      </c>
      <c r="B442" s="18">
        <v>0.18980674476559961</v>
      </c>
      <c r="C442" s="18" t="s">
        <v>214</v>
      </c>
      <c r="D442" s="18" t="s">
        <v>214</v>
      </c>
      <c r="E442" s="21">
        <v>0.11824375758827869</v>
      </c>
      <c r="F442" s="18">
        <v>0.18980674476559961</v>
      </c>
      <c r="G442" s="18">
        <v>0.18993818140300869</v>
      </c>
      <c r="H442" s="18">
        <v>0.1806165939611438</v>
      </c>
      <c r="I442" s="18">
        <v>0.19494176260812071</v>
      </c>
    </row>
    <row r="443" spans="1:9" x14ac:dyDescent="0.35">
      <c r="A443" s="14" t="s">
        <v>199</v>
      </c>
      <c r="B443" s="18">
        <v>0.18695469064119319</v>
      </c>
      <c r="C443" s="18" t="s">
        <v>214</v>
      </c>
      <c r="D443" s="18" t="s">
        <v>214</v>
      </c>
      <c r="E443" s="18">
        <v>0.17583704120082341</v>
      </c>
      <c r="F443" s="18">
        <v>0.18695469064119319</v>
      </c>
      <c r="G443" s="18">
        <v>0.15404528140323251</v>
      </c>
      <c r="H443" s="18">
        <v>0.15387146807959159</v>
      </c>
      <c r="I443" s="18">
        <v>0.14952456723487861</v>
      </c>
    </row>
    <row r="444" spans="1:9" x14ac:dyDescent="0.35">
      <c r="A444" s="14" t="s">
        <v>200</v>
      </c>
      <c r="B444" s="18">
        <v>6.7987958233899998E-2</v>
      </c>
      <c r="C444" s="18" t="s">
        <v>214</v>
      </c>
      <c r="D444" s="18" t="s">
        <v>214</v>
      </c>
      <c r="E444" s="18">
        <v>3.2012202729587373E-2</v>
      </c>
      <c r="F444" s="18">
        <v>6.7987958233900012E-2</v>
      </c>
      <c r="G444" s="18">
        <v>7.0616374708055998E-2</v>
      </c>
      <c r="H444" s="18">
        <v>6.9151890060985308E-2</v>
      </c>
      <c r="I444" s="18">
        <v>6.7198334843301205E-2</v>
      </c>
    </row>
    <row r="445" spans="1:9" x14ac:dyDescent="0.35">
      <c r="A445" s="14" t="s">
        <v>201</v>
      </c>
      <c r="B445" s="18">
        <v>0.1175745161789556</v>
      </c>
      <c r="C445" s="18" t="s">
        <v>214</v>
      </c>
      <c r="D445" s="18" t="s">
        <v>214</v>
      </c>
      <c r="E445" s="19">
        <v>0.1905976949336555</v>
      </c>
      <c r="F445" s="18">
        <v>0.1175745161789556</v>
      </c>
      <c r="G445" s="18">
        <v>0.1025342136440389</v>
      </c>
      <c r="H445" s="18">
        <v>9.0887798630581287E-2</v>
      </c>
      <c r="I445" s="18">
        <v>8.8320199493637855E-2</v>
      </c>
    </row>
    <row r="446" spans="1:9" x14ac:dyDescent="0.35">
      <c r="A446" s="14" t="s">
        <v>202</v>
      </c>
      <c r="B446" s="18">
        <v>4.9012974905383276E-3</v>
      </c>
      <c r="C446" s="18" t="s">
        <v>214</v>
      </c>
      <c r="D446" s="18" t="s">
        <v>214</v>
      </c>
      <c r="E446" s="18">
        <v>0</v>
      </c>
      <c r="F446" s="18">
        <v>4.9012974905383276E-3</v>
      </c>
      <c r="G446" s="18">
        <v>6.5245679684783958E-3</v>
      </c>
      <c r="H446" s="18">
        <v>1.4080616460687759E-2</v>
      </c>
      <c r="I446" s="18">
        <v>1.3682836129149081E-2</v>
      </c>
    </row>
    <row r="447" spans="1:9" x14ac:dyDescent="0.35">
      <c r="A447" s="14" t="s">
        <v>211</v>
      </c>
      <c r="B447" s="18">
        <v>1.091609267049533E-2</v>
      </c>
      <c r="C447" s="18" t="s">
        <v>214</v>
      </c>
      <c r="D447" s="18" t="s">
        <v>214</v>
      </c>
      <c r="E447" s="18">
        <v>0</v>
      </c>
      <c r="F447" s="18">
        <v>1.091609267049533E-2</v>
      </c>
      <c r="G447" s="18">
        <v>7.8252787340393447E-3</v>
      </c>
      <c r="H447" s="18">
        <v>6.3146231820711829E-3</v>
      </c>
      <c r="I447" s="18">
        <v>6.1362337692270081E-3</v>
      </c>
    </row>
    <row r="448" spans="1:9" x14ac:dyDescent="0.35">
      <c r="A448" s="14" t="s">
        <v>212</v>
      </c>
      <c r="B448" s="18">
        <v>3.2443090105888209E-2</v>
      </c>
      <c r="C448" s="18" t="s">
        <v>214</v>
      </c>
      <c r="D448" s="18" t="s">
        <v>214</v>
      </c>
      <c r="E448" s="19">
        <v>7.022995697199326E-2</v>
      </c>
      <c r="F448" s="18">
        <v>3.2443090105888209E-2</v>
      </c>
      <c r="G448" s="18">
        <v>2.3257060079594341E-2</v>
      </c>
      <c r="H448" s="18">
        <v>1.8767327748544109E-2</v>
      </c>
      <c r="I448" s="18">
        <v>1.8237146852362919E-2</v>
      </c>
    </row>
    <row r="449" spans="1:9" x14ac:dyDescent="0.35">
      <c r="A449" s="14" t="s">
        <v>203</v>
      </c>
      <c r="B449" s="18">
        <v>1.295565370437424E-2</v>
      </c>
      <c r="C449" s="18" t="s">
        <v>214</v>
      </c>
      <c r="D449" s="18" t="s">
        <v>214</v>
      </c>
      <c r="E449" s="18">
        <v>1.108039961208993E-2</v>
      </c>
      <c r="F449" s="18">
        <v>1.295565370437424E-2</v>
      </c>
      <c r="G449" s="18">
        <v>9.2873525792281052E-3</v>
      </c>
      <c r="H449" s="18">
        <v>7.4944463820510749E-3</v>
      </c>
      <c r="I449" s="18">
        <v>7.2827267194301706E-3</v>
      </c>
    </row>
    <row r="450" spans="1:9" x14ac:dyDescent="0.35">
      <c r="A450" s="14" t="s">
        <v>204</v>
      </c>
      <c r="B450" s="18">
        <v>0</v>
      </c>
      <c r="C450" s="18" t="s">
        <v>214</v>
      </c>
      <c r="D450" s="18" t="s">
        <v>214</v>
      </c>
      <c r="E450" s="18">
        <v>0</v>
      </c>
      <c r="F450" s="18">
        <v>0</v>
      </c>
      <c r="G450" s="18">
        <v>6.2583963297586347E-3</v>
      </c>
      <c r="H450" s="18">
        <v>5.0502245210227144E-3</v>
      </c>
      <c r="I450" s="18">
        <v>4.9075546322486074E-3</v>
      </c>
    </row>
    <row r="451" spans="1:9" x14ac:dyDescent="0.35">
      <c r="A451" s="14" t="s">
        <v>213</v>
      </c>
      <c r="B451" s="1">
        <v>12.968134782490379</v>
      </c>
      <c r="C451" s="1" t="s">
        <v>214</v>
      </c>
      <c r="D451" s="1" t="s">
        <v>214</v>
      </c>
      <c r="E451" s="1">
        <v>9.8078692716245683</v>
      </c>
      <c r="F451" s="1">
        <v>12.96813478249039</v>
      </c>
      <c r="G451" s="1">
        <v>20.341004910737151</v>
      </c>
      <c r="H451" s="1">
        <v>24.2018083987378</v>
      </c>
      <c r="I451" s="1">
        <v>24.40036052782872</v>
      </c>
    </row>
    <row r="453" spans="1:9" x14ac:dyDescent="0.35">
      <c r="A453" s="1" t="s">
        <v>215</v>
      </c>
    </row>
    <row r="455" spans="1:9" x14ac:dyDescent="0.35">
      <c r="B455" s="3" t="s">
        <v>216</v>
      </c>
    </row>
    <row r="456" spans="1:9" x14ac:dyDescent="0.35">
      <c r="B456" s="1" t="s">
        <v>217</v>
      </c>
    </row>
  </sheetData>
  <mergeCells count="24">
    <mergeCell ref="C434:F434"/>
    <mergeCell ref="C227:F227"/>
    <mergeCell ref="C245:F245"/>
    <mergeCell ref="C264:F264"/>
    <mergeCell ref="C283:F283"/>
    <mergeCell ref="C301:F301"/>
    <mergeCell ref="C320:F320"/>
    <mergeCell ref="C339:F339"/>
    <mergeCell ref="C358:F358"/>
    <mergeCell ref="C377:F377"/>
    <mergeCell ref="C396:F396"/>
    <mergeCell ref="C415:F415"/>
    <mergeCell ref="C209:F209"/>
    <mergeCell ref="C4:F4"/>
    <mergeCell ref="C23:F23"/>
    <mergeCell ref="C42:F42"/>
    <mergeCell ref="C61:F61"/>
    <mergeCell ref="C80:F80"/>
    <mergeCell ref="C99:F99"/>
    <mergeCell ref="C118:F118"/>
    <mergeCell ref="C136:F136"/>
    <mergeCell ref="C154:F154"/>
    <mergeCell ref="C172:F172"/>
    <mergeCell ref="C191:F19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EB29-7E2E-4EC3-9273-BE3AA984CC35}">
  <sheetPr codeName="Sheet28">
    <tabColor theme="5" tint="0.59999389629810485"/>
  </sheetPr>
  <dimension ref="B1:C60"/>
  <sheetViews>
    <sheetView zoomScale="80" zoomScaleNormal="80" workbookViewId="0">
      <selection activeCell="C6" sqref="C6"/>
    </sheetView>
  </sheetViews>
  <sheetFormatPr defaultColWidth="9.453125" defaultRowHeight="14.5" x14ac:dyDescent="0.35"/>
  <cols>
    <col min="1" max="1" width="1.54296875" style="31" customWidth="1"/>
    <col min="2" max="2" width="76.81640625" style="8" customWidth="1"/>
    <col min="3" max="3" width="16.453125" style="31" customWidth="1"/>
    <col min="4" max="16384" width="9.453125" style="31"/>
  </cols>
  <sheetData>
    <row r="1" spans="2:3" ht="6.75" customHeight="1" thickBot="1" x14ac:dyDescent="0.4">
      <c r="B1" s="30"/>
    </row>
    <row r="2" spans="2:3" ht="41.25" customHeight="1" thickBot="1" x14ac:dyDescent="0.4">
      <c r="B2" s="55" t="s">
        <v>556</v>
      </c>
      <c r="C2" s="54" t="s">
        <v>469</v>
      </c>
    </row>
    <row r="3" spans="2:3" s="2" customFormat="1" ht="15" thickBot="1" x14ac:dyDescent="0.4">
      <c r="B3" s="29"/>
      <c r="C3" s="53"/>
    </row>
    <row r="4" spans="2:3" x14ac:dyDescent="0.35">
      <c r="B4" s="96" t="s">
        <v>139</v>
      </c>
      <c r="C4" s="114"/>
    </row>
    <row r="5" spans="2:3" x14ac:dyDescent="0.35">
      <c r="B5" s="163" t="s">
        <v>31</v>
      </c>
      <c r="C5" s="164"/>
    </row>
    <row r="6" spans="2:3" s="48" customFormat="1" x14ac:dyDescent="0.35">
      <c r="B6" s="49" t="s">
        <v>140</v>
      </c>
      <c r="C6" s="51" t="e">
        <f>'Spain (month)'!#REF!</f>
        <v>#REF!</v>
      </c>
    </row>
    <row r="7" spans="2:3" s="48" customFormat="1" x14ac:dyDescent="0.35">
      <c r="B7" s="49" t="s">
        <v>141</v>
      </c>
      <c r="C7" s="51" t="e">
        <f t="shared" ref="C7" si="0">C49</f>
        <v>#REF!</v>
      </c>
    </row>
    <row r="8" spans="2:3" x14ac:dyDescent="0.35">
      <c r="B8" s="28" t="s">
        <v>142</v>
      </c>
      <c r="C8" s="43" t="e">
        <f>'Spain (month)'!#REF!</f>
        <v>#REF!</v>
      </c>
    </row>
    <row r="9" spans="2:3" x14ac:dyDescent="0.35">
      <c r="B9" s="28" t="s">
        <v>143</v>
      </c>
      <c r="C9" s="43" t="e">
        <f>'Spain (month)'!#REF!</f>
        <v>#REF!</v>
      </c>
    </row>
    <row r="10" spans="2:3" x14ac:dyDescent="0.35">
      <c r="B10" s="28" t="s">
        <v>144</v>
      </c>
      <c r="C10" s="43" t="e">
        <f>'Spain (month)'!#REF!</f>
        <v>#REF!</v>
      </c>
    </row>
    <row r="11" spans="2:3" x14ac:dyDescent="0.35">
      <c r="B11" s="29"/>
      <c r="C11" s="53"/>
    </row>
    <row r="12" spans="2:3" x14ac:dyDescent="0.35">
      <c r="B12" s="90" t="s">
        <v>145</v>
      </c>
      <c r="C12" s="92"/>
    </row>
    <row r="13" spans="2:3" x14ac:dyDescent="0.35">
      <c r="B13" s="86" t="s">
        <v>68</v>
      </c>
      <c r="C13" s="88"/>
    </row>
    <row r="14" spans="2:3" x14ac:dyDescent="0.35">
      <c r="B14" s="28" t="s">
        <v>393</v>
      </c>
      <c r="C14" s="51" t="e">
        <f>'Spain (month)'!#REF!</f>
        <v>#REF!</v>
      </c>
    </row>
    <row r="15" spans="2:3" x14ac:dyDescent="0.35">
      <c r="B15" s="28" t="s">
        <v>394</v>
      </c>
      <c r="C15" s="51" t="e">
        <f t="shared" ref="C15" si="1">C50</f>
        <v>#REF!</v>
      </c>
    </row>
    <row r="16" spans="2:3" x14ac:dyDescent="0.35">
      <c r="B16" s="28" t="s">
        <v>395</v>
      </c>
      <c r="C16" s="43" t="e">
        <f>'Spain (month)'!#REF!</f>
        <v>#REF!</v>
      </c>
    </row>
    <row r="17" spans="2:3" x14ac:dyDescent="0.35">
      <c r="B17" s="28" t="s">
        <v>396</v>
      </c>
      <c r="C17" s="43" t="e">
        <f>'Spain (month)'!#REF!</f>
        <v>#REF!</v>
      </c>
    </row>
    <row r="18" spans="2:3" x14ac:dyDescent="0.35">
      <c r="B18" s="28" t="s">
        <v>397</v>
      </c>
      <c r="C18" s="43" t="e">
        <f>'Spain (month)'!#REF!</f>
        <v>#REF!</v>
      </c>
    </row>
    <row r="19" spans="2:3" x14ac:dyDescent="0.35">
      <c r="B19" s="27"/>
      <c r="C19" s="33"/>
    </row>
    <row r="20" spans="2:3" x14ac:dyDescent="0.35">
      <c r="B20" s="86" t="s">
        <v>69</v>
      </c>
      <c r="C20" s="88"/>
    </row>
    <row r="21" spans="2:3" x14ac:dyDescent="0.35">
      <c r="B21" s="28" t="s">
        <v>398</v>
      </c>
      <c r="C21" s="51" t="e">
        <f>'Spain (month)'!#REF!</f>
        <v>#REF!</v>
      </c>
    </row>
    <row r="22" spans="2:3" x14ac:dyDescent="0.35">
      <c r="B22" s="28" t="s">
        <v>399</v>
      </c>
      <c r="C22" s="51" t="e">
        <f t="shared" ref="C22" si="2">C51</f>
        <v>#REF!</v>
      </c>
    </row>
    <row r="23" spans="2:3" x14ac:dyDescent="0.35">
      <c r="B23" s="28" t="s">
        <v>400</v>
      </c>
      <c r="C23" s="43" t="e">
        <f>'Spain (month)'!#REF!</f>
        <v>#REF!</v>
      </c>
    </row>
    <row r="24" spans="2:3" x14ac:dyDescent="0.35">
      <c r="B24" s="28" t="s">
        <v>401</v>
      </c>
      <c r="C24" s="43" t="e">
        <f>'Spain (month)'!#REF!</f>
        <v>#REF!</v>
      </c>
    </row>
    <row r="25" spans="2:3" x14ac:dyDescent="0.35">
      <c r="B25" s="28" t="s">
        <v>402</v>
      </c>
      <c r="C25" s="43" t="e">
        <f>'Spain (month)'!#REF!</f>
        <v>#REF!</v>
      </c>
    </row>
    <row r="26" spans="2:3" x14ac:dyDescent="0.35">
      <c r="B26" s="27"/>
      <c r="C26" s="33"/>
    </row>
    <row r="27" spans="2:3" x14ac:dyDescent="0.35">
      <c r="B27" s="166" t="s">
        <v>70</v>
      </c>
      <c r="C27" s="165"/>
    </row>
    <row r="28" spans="2:3" x14ac:dyDescent="0.35">
      <c r="B28" s="28" t="s">
        <v>403</v>
      </c>
      <c r="C28" s="51" t="e">
        <f>'Spain (month)'!#REF!</f>
        <v>#REF!</v>
      </c>
    </row>
    <row r="29" spans="2:3" x14ac:dyDescent="0.35">
      <c r="B29" s="28" t="s">
        <v>404</v>
      </c>
      <c r="C29" s="51" t="e">
        <f>'Spain (quarter)'!C52</f>
        <v>#REF!</v>
      </c>
    </row>
    <row r="30" spans="2:3" x14ac:dyDescent="0.35">
      <c r="B30" s="28" t="s">
        <v>405</v>
      </c>
      <c r="C30" s="43" t="e">
        <f>'Spain (month)'!#REF!</f>
        <v>#REF!</v>
      </c>
    </row>
    <row r="31" spans="2:3" x14ac:dyDescent="0.35">
      <c r="B31" s="28" t="s">
        <v>406</v>
      </c>
      <c r="C31" s="43" t="e">
        <f>'Spain (month)'!#REF!</f>
        <v>#REF!</v>
      </c>
    </row>
    <row r="32" spans="2:3" x14ac:dyDescent="0.35">
      <c r="B32" s="28" t="s">
        <v>407</v>
      </c>
      <c r="C32" s="43" t="e">
        <f>'Spain (month)'!#REF!</f>
        <v>#REF!</v>
      </c>
    </row>
    <row r="33" spans="2:3" x14ac:dyDescent="0.35">
      <c r="B33" s="27"/>
      <c r="C33" s="33"/>
    </row>
    <row r="34" spans="2:3" x14ac:dyDescent="0.35">
      <c r="B34" s="86" t="s">
        <v>71</v>
      </c>
      <c r="C34" s="88"/>
    </row>
    <row r="35" spans="2:3" x14ac:dyDescent="0.35">
      <c r="B35" s="28" t="s">
        <v>408</v>
      </c>
      <c r="C35" s="51" t="e">
        <f>'Spain (month)'!#REF!</f>
        <v>#REF!</v>
      </c>
    </row>
    <row r="36" spans="2:3" x14ac:dyDescent="0.35">
      <c r="B36" s="28" t="s">
        <v>409</v>
      </c>
      <c r="C36" s="51" t="e">
        <f t="shared" ref="C36" si="3">C53</f>
        <v>#REF!</v>
      </c>
    </row>
    <row r="37" spans="2:3" x14ac:dyDescent="0.35">
      <c r="B37" s="28" t="s">
        <v>410</v>
      </c>
      <c r="C37" s="43" t="e">
        <f>'Spain (month)'!#REF!</f>
        <v>#REF!</v>
      </c>
    </row>
    <row r="38" spans="2:3" x14ac:dyDescent="0.35">
      <c r="B38" s="28" t="s">
        <v>411</v>
      </c>
      <c r="C38" s="43" t="e">
        <f>'Spain (month)'!#REF!</f>
        <v>#REF!</v>
      </c>
    </row>
    <row r="39" spans="2:3" x14ac:dyDescent="0.35">
      <c r="B39" s="28" t="s">
        <v>412</v>
      </c>
      <c r="C39" s="43" t="e">
        <f>'Spain (month)'!#REF!</f>
        <v>#REF!</v>
      </c>
    </row>
    <row r="40" spans="2:3" x14ac:dyDescent="0.35">
      <c r="B40" s="27"/>
      <c r="C40" s="33"/>
    </row>
    <row r="41" spans="2:3" x14ac:dyDescent="0.35">
      <c r="B41" s="93" t="s">
        <v>167</v>
      </c>
      <c r="C41" s="95"/>
    </row>
    <row r="42" spans="2:3" x14ac:dyDescent="0.35">
      <c r="B42" s="28" t="s">
        <v>25</v>
      </c>
      <c r="C42" s="51" t="e">
        <f t="shared" ref="C42" si="4">C6</f>
        <v>#REF!</v>
      </c>
    </row>
    <row r="43" spans="2:3" x14ac:dyDescent="0.35">
      <c r="B43" s="28" t="s">
        <v>68</v>
      </c>
      <c r="C43" s="51" t="e">
        <f t="shared" ref="C43" si="5">C14</f>
        <v>#REF!</v>
      </c>
    </row>
    <row r="44" spans="2:3" x14ac:dyDescent="0.35">
      <c r="B44" s="28" t="s">
        <v>69</v>
      </c>
      <c r="C44" s="51" t="e">
        <f t="shared" ref="C44" si="6">C21</f>
        <v>#REF!</v>
      </c>
    </row>
    <row r="45" spans="2:3" x14ac:dyDescent="0.35">
      <c r="B45" s="28" t="s">
        <v>70</v>
      </c>
      <c r="C45" s="51" t="e">
        <f t="shared" ref="C45" si="7">C28</f>
        <v>#REF!</v>
      </c>
    </row>
    <row r="46" spans="2:3" x14ac:dyDescent="0.35">
      <c r="B46" s="28" t="s">
        <v>71</v>
      </c>
      <c r="C46" s="51" t="e">
        <f t="shared" ref="C46" si="8">C35</f>
        <v>#REF!</v>
      </c>
    </row>
    <row r="47" spans="2:3" x14ac:dyDescent="0.35">
      <c r="B47" s="58"/>
      <c r="C47" s="33"/>
    </row>
    <row r="48" spans="2:3" x14ac:dyDescent="0.35">
      <c r="B48" s="93" t="s">
        <v>168</v>
      </c>
      <c r="C48" s="95"/>
    </row>
    <row r="49" spans="2:3" x14ac:dyDescent="0.35">
      <c r="B49" s="28" t="s">
        <v>25</v>
      </c>
      <c r="C49" s="51" t="e">
        <f t="shared" ref="C49" si="9">RANK(C42,C$42:C$46,0)</f>
        <v>#REF!</v>
      </c>
    </row>
    <row r="50" spans="2:3" x14ac:dyDescent="0.35">
      <c r="B50" s="28" t="s">
        <v>68</v>
      </c>
      <c r="C50" s="51" t="e">
        <f t="shared" ref="C50" si="10">RANK(C43,C$42:C$46,0)</f>
        <v>#REF!</v>
      </c>
    </row>
    <row r="51" spans="2:3" x14ac:dyDescent="0.35">
      <c r="B51" s="28" t="s">
        <v>69</v>
      </c>
      <c r="C51" s="51" t="e">
        <f t="shared" ref="C51" si="11">RANK(C44,C$42:C$46,0)</f>
        <v>#REF!</v>
      </c>
    </row>
    <row r="52" spans="2:3" x14ac:dyDescent="0.35">
      <c r="B52" s="28" t="s">
        <v>70</v>
      </c>
      <c r="C52" s="51" t="e">
        <f t="shared" ref="C52" si="12">RANK(C45,C$42:C$46,0)</f>
        <v>#REF!</v>
      </c>
    </row>
    <row r="53" spans="2:3" x14ac:dyDescent="0.35">
      <c r="B53" s="28" t="s">
        <v>71</v>
      </c>
      <c r="C53" s="51" t="e">
        <f t="shared" ref="C53" si="13">RANK(C46,C$42:C$46,0)</f>
        <v>#REF!</v>
      </c>
    </row>
    <row r="54" spans="2:3" x14ac:dyDescent="0.35">
      <c r="B54" s="58"/>
      <c r="C54" s="103"/>
    </row>
    <row r="55" spans="2:3" x14ac:dyDescent="0.35">
      <c r="B55" s="93" t="s">
        <v>169</v>
      </c>
      <c r="C55" s="95"/>
    </row>
    <row r="56" spans="2:3" x14ac:dyDescent="0.35">
      <c r="B56" s="28" t="s">
        <v>25</v>
      </c>
      <c r="C56" s="51" t="e">
        <f>'Spain (month)'!#REF!</f>
        <v>#REF!</v>
      </c>
    </row>
    <row r="57" spans="2:3" x14ac:dyDescent="0.35">
      <c r="B57" s="28" t="s">
        <v>68</v>
      </c>
      <c r="C57" s="51" t="e">
        <f>'Spain (month)'!#REF!</f>
        <v>#REF!</v>
      </c>
    </row>
    <row r="58" spans="2:3" x14ac:dyDescent="0.35">
      <c r="B58" s="28" t="s">
        <v>69</v>
      </c>
      <c r="C58" s="51" t="e">
        <f>'Spain (month)'!#REF!</f>
        <v>#REF!</v>
      </c>
    </row>
    <row r="59" spans="2:3" x14ac:dyDescent="0.35">
      <c r="B59" s="28" t="s">
        <v>70</v>
      </c>
      <c r="C59" s="51" t="e">
        <f>'Spain (month)'!#REF!</f>
        <v>#REF!</v>
      </c>
    </row>
    <row r="60" spans="2:3" ht="15" thickBot="1" x14ac:dyDescent="0.4">
      <c r="B60" s="52" t="s">
        <v>71</v>
      </c>
      <c r="C60" s="72" t="e">
        <f>'Spain (month)'!#REF!</f>
        <v>#REF!</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4E9B-D092-46C3-B37E-9AC57579C9AB}">
  <sheetPr codeName="Sheet29">
    <tabColor theme="8" tint="0.59999389629810485"/>
  </sheetPr>
  <dimension ref="B1:E327"/>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31" customWidth="1"/>
    <col min="6" max="16384" width="9.453125" style="31"/>
  </cols>
  <sheetData>
    <row r="1" spans="2:5" ht="6.7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47" t="s">
        <v>22</v>
      </c>
      <c r="D5" s="47" t="s">
        <v>22</v>
      </c>
      <c r="E5" s="47" t="s">
        <v>22</v>
      </c>
    </row>
    <row r="6" spans="2:5" x14ac:dyDescent="0.35">
      <c r="B6" s="163"/>
      <c r="C6" s="40">
        <f>'Spain Crunch Output'!G21</f>
        <v>37.95772679550371</v>
      </c>
      <c r="D6" s="40">
        <f>'Spain Crunch Output'!H21</f>
        <v>36.216701368420843</v>
      </c>
      <c r="E6" s="40">
        <f>'Spain Crunch Output'!I21</f>
        <v>37.860937214715527</v>
      </c>
    </row>
    <row r="7" spans="2:5" x14ac:dyDescent="0.35">
      <c r="B7" s="41" t="s">
        <v>336</v>
      </c>
      <c r="C7" s="42">
        <f>'Spain Crunch Output'!G7</f>
        <v>0.50999232441834608</v>
      </c>
      <c r="D7" s="42">
        <f>'Spain Crunch Output'!H7</f>
        <v>0.50127838649650491</v>
      </c>
      <c r="E7" s="42">
        <f>'Spain Crunch Output'!I7</f>
        <v>0.50282839377720367</v>
      </c>
    </row>
    <row r="8" spans="2:5" x14ac:dyDescent="0.35">
      <c r="B8" s="41" t="s">
        <v>194</v>
      </c>
      <c r="C8" s="42">
        <f>'Spain Crunch Output'!G8</f>
        <v>0.35959261911834522</v>
      </c>
      <c r="D8" s="42">
        <f>'Spain Crunch Output'!H8</f>
        <v>0.35961024069119879</v>
      </c>
      <c r="E8" s="42">
        <f>'Spain Crunch Output'!I8</f>
        <v>0.37295258459274783</v>
      </c>
    </row>
    <row r="9" spans="2:5" x14ac:dyDescent="0.35">
      <c r="B9" s="41" t="s">
        <v>195</v>
      </c>
      <c r="C9" s="42">
        <f>'Spain Crunch Output'!G9</f>
        <v>0.130415056463309</v>
      </c>
      <c r="D9" s="42">
        <f>'Spain Crunch Output'!H9</f>
        <v>0.13911137281229649</v>
      </c>
      <c r="E9" s="42">
        <f>'Spain Crunch Output'!I9</f>
        <v>0.1242190216300484</v>
      </c>
    </row>
    <row r="10" spans="2:5" x14ac:dyDescent="0.35">
      <c r="B10" s="28" t="s">
        <v>196</v>
      </c>
      <c r="C10" s="43">
        <f>'Spain Crunch Output'!G10</f>
        <v>0.2484887354602078</v>
      </c>
      <c r="D10" s="43">
        <f>'Spain Crunch Output'!H10</f>
        <v>0.22647852247138919</v>
      </c>
      <c r="E10" s="43">
        <f>'Spain Crunch Output'!I10</f>
        <v>0.25556002428880159</v>
      </c>
    </row>
    <row r="11" spans="2:5" x14ac:dyDescent="0.35">
      <c r="B11" s="28" t="s">
        <v>197</v>
      </c>
      <c r="C11" s="43">
        <f>'Spain Crunch Output'!G11</f>
        <v>0.26150358895813819</v>
      </c>
      <c r="D11" s="43">
        <f>'Spain Crunch Output'!H11</f>
        <v>0.27479986402511558</v>
      </c>
      <c r="E11" s="43">
        <f>'Spain Crunch Output'!I11</f>
        <v>0.24726836948840211</v>
      </c>
    </row>
    <row r="12" spans="2:5" x14ac:dyDescent="0.35">
      <c r="B12" s="28" t="s">
        <v>198</v>
      </c>
      <c r="C12" s="43">
        <f>'Spain Crunch Output'!G12</f>
        <v>0.23734427279019071</v>
      </c>
      <c r="D12" s="43">
        <f>'Spain Crunch Output'!H12</f>
        <v>0.22720198197822761</v>
      </c>
      <c r="E12" s="43">
        <f>'Spain Crunch Output'!I12</f>
        <v>0.2270805606244683</v>
      </c>
    </row>
    <row r="13" spans="2:5" x14ac:dyDescent="0.35">
      <c r="B13" s="28" t="s">
        <v>199</v>
      </c>
      <c r="C13" s="43">
        <f>'Spain Crunch Output'!G13</f>
        <v>0.1222483463281545</v>
      </c>
      <c r="D13" s="43">
        <f>'Spain Crunch Output'!H13</f>
        <v>0.13240825871297121</v>
      </c>
      <c r="E13" s="43">
        <f>'Spain Crunch Output'!I13</f>
        <v>0.14587202396827961</v>
      </c>
    </row>
    <row r="14" spans="2:5" s="34" customFormat="1" x14ac:dyDescent="0.35">
      <c r="B14" s="28" t="s">
        <v>200</v>
      </c>
      <c r="C14" s="43">
        <f>'Spain Crunch Output'!G14</f>
        <v>5.2457943961601618E-2</v>
      </c>
      <c r="D14" s="43">
        <f>'Spain Crunch Output'!H14</f>
        <v>5.5770645749650932E-2</v>
      </c>
      <c r="E14" s="43">
        <f>'Spain Crunch Output'!I14</f>
        <v>3.5745816130433192E-2</v>
      </c>
    </row>
    <row r="15" spans="2:5" s="35" customFormat="1" x14ac:dyDescent="0.3">
      <c r="B15" s="44" t="s">
        <v>201</v>
      </c>
      <c r="C15" s="43">
        <f>'Spain Crunch Output'!G15</f>
        <v>4.2051963127562909E-2</v>
      </c>
      <c r="D15" s="43">
        <f>'Spain Crunch Output'!H15</f>
        <v>4.5811590352242117E-2</v>
      </c>
      <c r="E15" s="43">
        <f>'Spain Crunch Output'!I15</f>
        <v>4.7662069542681533E-2</v>
      </c>
    </row>
    <row r="16" spans="2:5" s="36" customFormat="1" x14ac:dyDescent="0.3">
      <c r="B16" s="44" t="s">
        <v>202</v>
      </c>
      <c r="C16" s="43">
        <f>'Spain Crunch Output'!G16</f>
        <v>6.3200089700762444E-3</v>
      </c>
      <c r="D16" s="43">
        <f>'Spain Crunch Output'!H16</f>
        <v>5.2567709986767689E-3</v>
      </c>
      <c r="E16" s="43">
        <f>'Spain Crunch Output'!I16</f>
        <v>7.591286534376596E-3</v>
      </c>
    </row>
    <row r="17" spans="2:5" s="36" customFormat="1" x14ac:dyDescent="0.3">
      <c r="B17" s="44">
        <v>3</v>
      </c>
      <c r="C17" s="43">
        <f>'Spain Crunch Output'!G17</f>
        <v>1.2709528633113179E-2</v>
      </c>
      <c r="D17" s="43">
        <f>'Spain Crunch Output'!H17</f>
        <v>1.057135865498548E-2</v>
      </c>
      <c r="E17" s="43">
        <f>'Spain Crunch Output'!I17</f>
        <v>1.4234424443654249E-2</v>
      </c>
    </row>
    <row r="18" spans="2:5" s="36" customFormat="1" x14ac:dyDescent="0.3">
      <c r="B18" s="44">
        <v>2</v>
      </c>
      <c r="C18" s="43">
        <f>'Spain Crunch Output'!G18</f>
        <v>3.7447259135613411E-3</v>
      </c>
      <c r="D18" s="43">
        <f>'Spain Crunch Output'!H18</f>
        <v>7.7055103684843338E-3</v>
      </c>
      <c r="E18" s="43">
        <f>'Spain Crunch Output'!I18</f>
        <v>7.9117959135367923E-3</v>
      </c>
    </row>
    <row r="19" spans="2:5" s="36" customFormat="1" x14ac:dyDescent="0.3">
      <c r="B19" s="44" t="s">
        <v>203</v>
      </c>
      <c r="C19" s="43">
        <f>'Spain Crunch Output'!G19</f>
        <v>2.9271979227155579E-3</v>
      </c>
      <c r="D19" s="43">
        <f>'Spain Crunch Output'!H19</f>
        <v>2.4347448271631799E-3</v>
      </c>
      <c r="E19" s="43">
        <f>'Spain Crunch Output'!I19</f>
        <v>5.6398639140912152E-3</v>
      </c>
    </row>
    <row r="20" spans="2:5" s="36" customFormat="1" x14ac:dyDescent="0.3">
      <c r="B20" s="44" t="s">
        <v>204</v>
      </c>
      <c r="C20" s="43">
        <f>'Spain Crunch Output'!G20</f>
        <v>1.020368793467809E-2</v>
      </c>
      <c r="D20" s="43">
        <f>'Spain Crunch Output'!H20</f>
        <v>1.156075186109371E-2</v>
      </c>
      <c r="E20" s="43">
        <f>'Spain Crunch Output'!I20</f>
        <v>5.4337651512747958E-3</v>
      </c>
    </row>
    <row r="21" spans="2:5" s="36" customFormat="1" x14ac:dyDescent="0.3">
      <c r="B21" s="56" t="s">
        <v>24</v>
      </c>
      <c r="C21" s="60">
        <f>'Spain Crunch Output'!G6</f>
        <v>287</v>
      </c>
      <c r="D21" s="60">
        <f>'Spain Crunch Output'!H6</f>
        <v>346</v>
      </c>
      <c r="E21" s="60">
        <f>'Spain Crunch Output'!I6</f>
        <v>337</v>
      </c>
    </row>
    <row r="22" spans="2:5" x14ac:dyDescent="0.35">
      <c r="B22" s="44"/>
      <c r="C22" s="109"/>
      <c r="D22" s="109"/>
      <c r="E22" s="109"/>
    </row>
    <row r="23" spans="2:5" x14ac:dyDescent="0.35">
      <c r="B23" s="99" t="s">
        <v>68</v>
      </c>
      <c r="C23" s="39" t="s">
        <v>22</v>
      </c>
      <c r="D23" s="39" t="s">
        <v>22</v>
      </c>
      <c r="E23" s="39" t="s">
        <v>22</v>
      </c>
    </row>
    <row r="24" spans="2:5" x14ac:dyDescent="0.35">
      <c r="B24" s="100"/>
      <c r="C24" s="40">
        <f>'Spain Crunch Output'!G59</f>
        <v>14.596162269776681</v>
      </c>
      <c r="D24" s="40">
        <f>'Spain Crunch Output'!H59</f>
        <v>15.102605831427519</v>
      </c>
      <c r="E24" s="40">
        <f>'Spain Crunch Output'!I59</f>
        <v>20.88773478782365</v>
      </c>
    </row>
    <row r="25" spans="2:5" x14ac:dyDescent="0.35">
      <c r="B25" s="41" t="s">
        <v>336</v>
      </c>
      <c r="C25" s="42">
        <f>'Spain Crunch Output'!G45</f>
        <v>0.39365787194970248</v>
      </c>
      <c r="D25" s="42">
        <f>'Spain Crunch Output'!H45</f>
        <v>0.39600938708388778</v>
      </c>
      <c r="E25" s="42">
        <f>'Spain Crunch Output'!I45</f>
        <v>0.42542656676288632</v>
      </c>
    </row>
    <row r="26" spans="2:5" x14ac:dyDescent="0.35">
      <c r="B26" s="41" t="s">
        <v>194</v>
      </c>
      <c r="C26" s="42">
        <f>'Spain Crunch Output'!G46</f>
        <v>0.35864587879836179</v>
      </c>
      <c r="D26" s="42">
        <f>'Spain Crunch Output'!H46</f>
        <v>0.35900728414649957</v>
      </c>
      <c r="E26" s="42">
        <f>'Spain Crunch Output'!I46</f>
        <v>0.35802421435246329</v>
      </c>
    </row>
    <row r="27" spans="2:5" x14ac:dyDescent="0.35">
      <c r="B27" s="41" t="s">
        <v>195</v>
      </c>
      <c r="C27" s="42">
        <f>'Spain Crunch Output'!G47</f>
        <v>0.2476962492519357</v>
      </c>
      <c r="D27" s="42">
        <f>'Spain Crunch Output'!H47</f>
        <v>0.2449833287696126</v>
      </c>
      <c r="E27" s="42">
        <f>'Spain Crunch Output'!I47</f>
        <v>0.2165492188846499</v>
      </c>
    </row>
    <row r="28" spans="2:5" x14ac:dyDescent="0.35">
      <c r="B28" s="28" t="s">
        <v>196</v>
      </c>
      <c r="C28" s="42">
        <f>'Spain Crunch Output'!G48</f>
        <v>0.1911953740795812</v>
      </c>
      <c r="D28" s="42">
        <f>'Spain Crunch Output'!H48</f>
        <v>0.1932211632211161</v>
      </c>
      <c r="E28" s="42">
        <f>'Spain Crunch Output'!I48</f>
        <v>0.22218226430350599</v>
      </c>
    </row>
    <row r="29" spans="2:5" x14ac:dyDescent="0.35">
      <c r="B29" s="28" t="s">
        <v>197</v>
      </c>
      <c r="C29" s="42">
        <f>'Spain Crunch Output'!G49</f>
        <v>0.20246249787012141</v>
      </c>
      <c r="D29" s="42">
        <f>'Spain Crunch Output'!H49</f>
        <v>0.2027882238627717</v>
      </c>
      <c r="E29" s="42">
        <f>'Spain Crunch Output'!I49</f>
        <v>0.20324430245938019</v>
      </c>
    </row>
    <row r="30" spans="2:5" x14ac:dyDescent="0.35">
      <c r="B30" s="28" t="s">
        <v>198</v>
      </c>
      <c r="C30" s="42">
        <f>'Spain Crunch Output'!G50</f>
        <v>0.23287758213840809</v>
      </c>
      <c r="D30" s="42">
        <f>'Spain Crunch Output'!H50</f>
        <v>0.2298594824723959</v>
      </c>
      <c r="E30" s="42">
        <f>'Spain Crunch Output'!I50</f>
        <v>0.24021843642081109</v>
      </c>
    </row>
    <row r="31" spans="2:5" x14ac:dyDescent="0.35">
      <c r="B31" s="28" t="s">
        <v>199</v>
      </c>
      <c r="C31" s="42">
        <f>'Spain Crunch Output'!G51</f>
        <v>0.1257682966599537</v>
      </c>
      <c r="D31" s="42">
        <f>'Spain Crunch Output'!H51</f>
        <v>0.1291478016741037</v>
      </c>
      <c r="E31" s="42">
        <f>'Spain Crunch Output'!I51</f>
        <v>0.1178057779316522</v>
      </c>
    </row>
    <row r="32" spans="2:5" x14ac:dyDescent="0.35">
      <c r="B32" s="28" t="s">
        <v>200</v>
      </c>
      <c r="C32" s="42">
        <f>'Spain Crunch Output'!G52</f>
        <v>9.2465653418700069E-2</v>
      </c>
      <c r="D32" s="42">
        <f>'Spain Crunch Output'!H52</f>
        <v>8.7744661601003415E-2</v>
      </c>
      <c r="E32" s="42">
        <f>'Spain Crunch Output'!I52</f>
        <v>7.2357177124502195E-2</v>
      </c>
    </row>
    <row r="33" spans="2:5" x14ac:dyDescent="0.35">
      <c r="B33" s="44" t="s">
        <v>201</v>
      </c>
      <c r="C33" s="42">
        <f>'Spain Crunch Output'!G53</f>
        <v>8.5423667616811125E-2</v>
      </c>
      <c r="D33" s="42">
        <f>'Spain Crunch Output'!H53</f>
        <v>9.1610340202270976E-2</v>
      </c>
      <c r="E33" s="42">
        <f>'Spain Crunch Output'!I53</f>
        <v>8.5353752798794272E-2</v>
      </c>
    </row>
    <row r="34" spans="2:5" x14ac:dyDescent="0.35">
      <c r="B34" s="44" t="s">
        <v>202</v>
      </c>
      <c r="C34" s="42">
        <f>'Spain Crunch Output'!G54</f>
        <v>6.7970298813053104E-3</v>
      </c>
      <c r="D34" s="42">
        <f>'Spain Crunch Output'!H54</f>
        <v>5.7285306890548227E-3</v>
      </c>
      <c r="E34" s="42">
        <f>'Spain Crunch Output'!I54</f>
        <v>5.2804061084161117E-3</v>
      </c>
    </row>
    <row r="35" spans="2:5" x14ac:dyDescent="0.35">
      <c r="B35" s="44">
        <v>3</v>
      </c>
      <c r="C35" s="42">
        <f>'Spain Crunch Output'!G55</f>
        <v>8.5010756901487388E-3</v>
      </c>
      <c r="D35" s="42">
        <f>'Spain Crunch Output'!H55</f>
        <v>1.1222767798563481E-2</v>
      </c>
      <c r="E35" s="42">
        <f>'Spain Crunch Output'!I55</f>
        <v>1.307410534418646E-2</v>
      </c>
    </row>
    <row r="36" spans="2:5" x14ac:dyDescent="0.35">
      <c r="B36" s="44">
        <v>2</v>
      </c>
      <c r="C36" s="42">
        <f>'Spain Crunch Output'!G56</f>
        <v>3.1342267200308437E-2</v>
      </c>
      <c r="D36" s="42">
        <f>'Spain Crunch Output'!H56</f>
        <v>2.641523469175085E-2</v>
      </c>
      <c r="E36" s="42">
        <f>'Spain Crunch Output'!I56</f>
        <v>2.0279268191816909E-2</v>
      </c>
    </row>
    <row r="37" spans="2:5" x14ac:dyDescent="0.35">
      <c r="B37" s="44" t="s">
        <v>203</v>
      </c>
      <c r="C37" s="42">
        <f>'Spain Crunch Output'!G57</f>
        <v>7.966303216012471E-3</v>
      </c>
      <c r="D37" s="42">
        <f>'Spain Crunch Output'!H57</f>
        <v>6.7139932070564498E-3</v>
      </c>
      <c r="E37" s="42">
        <f>'Spain Crunch Output'!I57</f>
        <v>9.8271474755828453E-3</v>
      </c>
    </row>
    <row r="38" spans="2:5" x14ac:dyDescent="0.35">
      <c r="B38" s="44" t="s">
        <v>204</v>
      </c>
      <c r="C38" s="42">
        <f>'Spain Crunch Output'!G58</f>
        <v>1.520025222864955E-2</v>
      </c>
      <c r="D38" s="42">
        <f>'Spain Crunch Output'!H58</f>
        <v>1.5547800579912591E-2</v>
      </c>
      <c r="E38" s="42">
        <f>'Spain Crunch Output'!I58</f>
        <v>1.03773618413511E-2</v>
      </c>
    </row>
    <row r="39" spans="2:5" s="36" customFormat="1" x14ac:dyDescent="0.3">
      <c r="B39" s="56" t="s">
        <v>24</v>
      </c>
      <c r="C39" s="60">
        <f>'Spain Crunch Output'!G44</f>
        <v>239</v>
      </c>
      <c r="D39" s="60">
        <f>'Spain Crunch Output'!H44</f>
        <v>284</v>
      </c>
      <c r="E39" s="60">
        <f>'Spain Crunch Output'!I44</f>
        <v>306</v>
      </c>
    </row>
    <row r="40" spans="2:5" x14ac:dyDescent="0.35">
      <c r="B40" s="45"/>
      <c r="C40" s="33"/>
      <c r="D40" s="33"/>
      <c r="E40" s="33"/>
    </row>
    <row r="41" spans="2:5" x14ac:dyDescent="0.35">
      <c r="B41" s="99" t="s">
        <v>69</v>
      </c>
      <c r="C41" s="39" t="s">
        <v>22</v>
      </c>
      <c r="D41" s="39" t="s">
        <v>22</v>
      </c>
      <c r="E41" s="39" t="s">
        <v>22</v>
      </c>
    </row>
    <row r="42" spans="2:5" x14ac:dyDescent="0.35">
      <c r="B42" s="100"/>
      <c r="C42" s="40">
        <f>'Spain Crunch Output'!G40</f>
        <v>27.002436169124561</v>
      </c>
      <c r="D42" s="40">
        <f>'Spain Crunch Output'!H40</f>
        <v>27.52007150859712</v>
      </c>
      <c r="E42" s="40">
        <f>'Spain Crunch Output'!I40</f>
        <v>27.859862867145171</v>
      </c>
    </row>
    <row r="43" spans="2:5" x14ac:dyDescent="0.35">
      <c r="B43" s="41" t="s">
        <v>336</v>
      </c>
      <c r="C43" s="42">
        <f>'Spain Crunch Output'!G26</f>
        <v>0.42407561369708541</v>
      </c>
      <c r="D43" s="42">
        <f>'Spain Crunch Output'!H26</f>
        <v>0.43021147877345722</v>
      </c>
      <c r="E43" s="42">
        <f>'Spain Crunch Output'!I26</f>
        <v>0.43440451835422911</v>
      </c>
    </row>
    <row r="44" spans="2:5" x14ac:dyDescent="0.35">
      <c r="B44" s="41" t="s">
        <v>194</v>
      </c>
      <c r="C44" s="42">
        <f>'Spain Crunch Output'!G27</f>
        <v>0.42187313429707468</v>
      </c>
      <c r="D44" s="42">
        <f>'Spain Crunch Output'!H27</f>
        <v>0.41477775753905699</v>
      </c>
      <c r="E44" s="42">
        <f>'Spain Crunch Output'!I27</f>
        <v>0.40978959196299342</v>
      </c>
    </row>
    <row r="45" spans="2:5" x14ac:dyDescent="0.35">
      <c r="B45" s="41" t="s">
        <v>195</v>
      </c>
      <c r="C45" s="42">
        <f>'Spain Crunch Output'!G28</f>
        <v>0.15405125200583991</v>
      </c>
      <c r="D45" s="42">
        <f>'Spain Crunch Output'!H28</f>
        <v>0.15501076368748579</v>
      </c>
      <c r="E45" s="42">
        <f>'Spain Crunch Output'!I28</f>
        <v>0.15580588968277739</v>
      </c>
    </row>
    <row r="46" spans="2:5" x14ac:dyDescent="0.35">
      <c r="B46" s="28" t="s">
        <v>196</v>
      </c>
      <c r="C46" s="42">
        <f>'Spain Crunch Output'!G29</f>
        <v>0.21071623713437629</v>
      </c>
      <c r="D46" s="42">
        <f>'Spain Crunch Output'!H29</f>
        <v>0.23739286388025979</v>
      </c>
      <c r="E46" s="42">
        <f>'Spain Crunch Output'!I29</f>
        <v>0.2342501727998452</v>
      </c>
    </row>
    <row r="47" spans="2:5" x14ac:dyDescent="0.35">
      <c r="B47" s="28" t="s">
        <v>197</v>
      </c>
      <c r="C47" s="42">
        <f>'Spain Crunch Output'!G30</f>
        <v>0.21335937656270909</v>
      </c>
      <c r="D47" s="42">
        <f>'Spain Crunch Output'!H30</f>
        <v>0.19281861489319729</v>
      </c>
      <c r="E47" s="42">
        <f>'Spain Crunch Output'!I30</f>
        <v>0.2001543455543838</v>
      </c>
    </row>
    <row r="48" spans="2:5" x14ac:dyDescent="0.35">
      <c r="B48" s="28" t="s">
        <v>198</v>
      </c>
      <c r="C48" s="42">
        <f>'Spain Crunch Output'!G31</f>
        <v>0.26860604847348002</v>
      </c>
      <c r="D48" s="42">
        <f>'Spain Crunch Output'!H31</f>
        <v>0.27075969988812681</v>
      </c>
      <c r="E48" s="42">
        <f>'Spain Crunch Output'!I31</f>
        <v>0.27118688359883109</v>
      </c>
    </row>
    <row r="49" spans="2:5" x14ac:dyDescent="0.35">
      <c r="B49" s="28" t="s">
        <v>199</v>
      </c>
      <c r="C49" s="42">
        <f>'Spain Crunch Output'!G32</f>
        <v>0.15326708582359469</v>
      </c>
      <c r="D49" s="42">
        <f>'Spain Crunch Output'!H32</f>
        <v>0.1440180576509302</v>
      </c>
      <c r="E49" s="42">
        <f>'Spain Crunch Output'!I32</f>
        <v>0.1386027083641623</v>
      </c>
    </row>
    <row r="50" spans="2:5" x14ac:dyDescent="0.35">
      <c r="B50" s="28" t="s">
        <v>200</v>
      </c>
      <c r="C50" s="42">
        <f>'Spain Crunch Output'!G33</f>
        <v>6.2693360487320507E-2</v>
      </c>
      <c r="D50" s="42">
        <f>'Spain Crunch Output'!H33</f>
        <v>6.2014241065134597E-2</v>
      </c>
      <c r="E50" s="42">
        <f>'Spain Crunch Output'!I33</f>
        <v>6.7215592467503429E-2</v>
      </c>
    </row>
    <row r="51" spans="2:5" x14ac:dyDescent="0.35">
      <c r="B51" s="44" t="s">
        <v>201</v>
      </c>
      <c r="C51" s="42">
        <f>'Spain Crunch Output'!G34</f>
        <v>4.6018720448319547E-2</v>
      </c>
      <c r="D51" s="42">
        <f>'Spain Crunch Output'!H34</f>
        <v>4.4092678372981101E-2</v>
      </c>
      <c r="E51" s="42">
        <f>'Spain Crunch Output'!I34</f>
        <v>4.1530193695743622E-2</v>
      </c>
    </row>
    <row r="52" spans="2:5" x14ac:dyDescent="0.35">
      <c r="B52" s="44" t="s">
        <v>202</v>
      </c>
      <c r="C52" s="42">
        <f>'Spain Crunch Output'!G35</f>
        <v>1.4879679258345029E-2</v>
      </c>
      <c r="D52" s="42">
        <f>'Spain Crunch Output'!H35</f>
        <v>1.258319199320738E-2</v>
      </c>
      <c r="E52" s="42">
        <f>'Spain Crunch Output'!I35</f>
        <v>1.4773079627114129E-2</v>
      </c>
    </row>
    <row r="53" spans="2:5" x14ac:dyDescent="0.35">
      <c r="B53" s="44">
        <v>3</v>
      </c>
      <c r="C53" s="42">
        <f>'Spain Crunch Output'!G36</f>
        <v>8.7974152263120449E-3</v>
      </c>
      <c r="D53" s="42">
        <f>'Spain Crunch Output'!H36</f>
        <v>1.187847198032327E-2</v>
      </c>
      <c r="E53" s="42">
        <f>'Spain Crunch Output'!I36</f>
        <v>6.1709238988043556E-3</v>
      </c>
    </row>
    <row r="54" spans="2:5" x14ac:dyDescent="0.35">
      <c r="B54" s="44">
        <v>2</v>
      </c>
      <c r="C54" s="42">
        <f>'Spain Crunch Output'!G37</f>
        <v>6.1016659831888481E-3</v>
      </c>
      <c r="D54" s="42">
        <f>'Spain Crunch Output'!H37</f>
        <v>5.1599522551420461E-3</v>
      </c>
      <c r="E54" s="42">
        <f>'Spain Crunch Output'!I37</f>
        <v>7.8154158740080457E-3</v>
      </c>
    </row>
    <row r="55" spans="2:5" x14ac:dyDescent="0.35">
      <c r="B55" s="44" t="s">
        <v>203</v>
      </c>
      <c r="C55" s="42">
        <f>'Spain Crunch Output'!G38</f>
        <v>4.0531258655012066E-3</v>
      </c>
      <c r="D55" s="42">
        <f>'Spain Crunch Output'!H38</f>
        <v>9.5509447954145957E-3</v>
      </c>
      <c r="E55" s="42">
        <f>'Spain Crunch Output'!I38</f>
        <v>1.119198941417906E-2</v>
      </c>
    </row>
    <row r="56" spans="2:5" x14ac:dyDescent="0.35">
      <c r="B56" s="44" t="s">
        <v>204</v>
      </c>
      <c r="C56" s="42">
        <f>'Spain Crunch Output'!G39</f>
        <v>1.1507284736852679E-2</v>
      </c>
      <c r="D56" s="42">
        <f>'Spain Crunch Output'!H39</f>
        <v>9.7312832252828465E-3</v>
      </c>
      <c r="E56" s="42">
        <f>'Spain Crunch Output'!I39</f>
        <v>7.1086947054247356E-3</v>
      </c>
    </row>
    <row r="57" spans="2:5" s="36" customFormat="1" x14ac:dyDescent="0.3">
      <c r="B57" s="56" t="s">
        <v>24</v>
      </c>
      <c r="C57" s="60">
        <f>'Spain Crunch Output'!G25</f>
        <v>308</v>
      </c>
      <c r="D57" s="60">
        <f>'Spain Crunch Output'!H25</f>
        <v>365</v>
      </c>
      <c r="E57" s="60">
        <f>'Spain Crunch Output'!I25</f>
        <v>383</v>
      </c>
    </row>
    <row r="58" spans="2:5" x14ac:dyDescent="0.35">
      <c r="B58" s="27"/>
      <c r="C58" s="33"/>
      <c r="D58" s="33"/>
      <c r="E58" s="33"/>
    </row>
    <row r="59" spans="2:5" x14ac:dyDescent="0.35">
      <c r="B59" s="99" t="s">
        <v>70</v>
      </c>
      <c r="C59" s="39" t="s">
        <v>22</v>
      </c>
      <c r="D59" s="39" t="s">
        <v>22</v>
      </c>
      <c r="E59" s="39" t="s">
        <v>22</v>
      </c>
    </row>
    <row r="60" spans="2:5" x14ac:dyDescent="0.35">
      <c r="B60" s="100"/>
      <c r="C60" s="40">
        <f>'Spain Crunch Output'!G115</f>
        <v>21.440118227089009</v>
      </c>
      <c r="D60" s="40">
        <f>'Spain Crunch Output'!H115</f>
        <v>19.183244857267969</v>
      </c>
      <c r="E60" s="40">
        <f>'Spain Crunch Output'!I115</f>
        <v>21.64195711441478</v>
      </c>
    </row>
    <row r="61" spans="2:5" x14ac:dyDescent="0.35">
      <c r="B61" s="41" t="s">
        <v>336</v>
      </c>
      <c r="C61" s="42">
        <f>'Spain Crunch Output'!G101</f>
        <v>0.40509142780522028</v>
      </c>
      <c r="D61" s="42">
        <f>'Spain Crunch Output'!H101</f>
        <v>0.39646984030050192</v>
      </c>
      <c r="E61" s="42">
        <f>'Spain Crunch Output'!I101</f>
        <v>0.40139409378824059</v>
      </c>
    </row>
    <row r="62" spans="2:5" x14ac:dyDescent="0.35">
      <c r="B62" s="41" t="s">
        <v>194</v>
      </c>
      <c r="C62" s="42">
        <f>'Spain Crunch Output'!G102</f>
        <v>0.40421832666044988</v>
      </c>
      <c r="D62" s="42">
        <f>'Spain Crunch Output'!H102</f>
        <v>0.39889276797167611</v>
      </c>
      <c r="E62" s="42">
        <f>'Spain Crunch Output'!I102</f>
        <v>0.41363138356766682</v>
      </c>
    </row>
    <row r="63" spans="2:5" x14ac:dyDescent="0.35">
      <c r="B63" s="41" t="s">
        <v>195</v>
      </c>
      <c r="C63" s="42">
        <f>'Spain Crunch Output'!G103</f>
        <v>0.19069024553433009</v>
      </c>
      <c r="D63" s="42">
        <f>'Spain Crunch Output'!H103</f>
        <v>0.20463739172782219</v>
      </c>
      <c r="E63" s="42">
        <f>'Spain Crunch Output'!I103</f>
        <v>0.1849745226440927</v>
      </c>
    </row>
    <row r="64" spans="2:5" x14ac:dyDescent="0.35">
      <c r="B64" s="28" t="s">
        <v>196</v>
      </c>
      <c r="C64" s="42">
        <f>'Spain Crunch Output'!G104</f>
        <v>0.19367379384403291</v>
      </c>
      <c r="D64" s="42">
        <f>'Spain Crunch Output'!H104</f>
        <v>0.19179945281162999</v>
      </c>
      <c r="E64" s="42">
        <f>'Spain Crunch Output'!I104</f>
        <v>0.19771764226019931</v>
      </c>
    </row>
    <row r="65" spans="2:5" x14ac:dyDescent="0.35">
      <c r="B65" s="28" t="s">
        <v>197</v>
      </c>
      <c r="C65" s="42">
        <f>'Spain Crunch Output'!G105</f>
        <v>0.21141763396118751</v>
      </c>
      <c r="D65" s="42">
        <f>'Spain Crunch Output'!H105</f>
        <v>0.2046703874888719</v>
      </c>
      <c r="E65" s="42">
        <f>'Spain Crunch Output'!I105</f>
        <v>0.2036764515280412</v>
      </c>
    </row>
    <row r="66" spans="2:5" x14ac:dyDescent="0.35">
      <c r="B66" s="28" t="s">
        <v>198</v>
      </c>
      <c r="C66" s="42">
        <f>'Spain Crunch Output'!G106</f>
        <v>0.25336779156242911</v>
      </c>
      <c r="D66" s="42">
        <f>'Spain Crunch Output'!H106</f>
        <v>0.25333057090167233</v>
      </c>
      <c r="E66" s="42">
        <f>'Spain Crunch Output'!I106</f>
        <v>0.26643841228090642</v>
      </c>
    </row>
    <row r="67" spans="2:5" x14ac:dyDescent="0.35">
      <c r="B67" s="28" t="s">
        <v>199</v>
      </c>
      <c r="C67" s="42">
        <f>'Spain Crunch Output'!G107</f>
        <v>0.15085053509802079</v>
      </c>
      <c r="D67" s="42">
        <f>'Spain Crunch Output'!H107</f>
        <v>0.1455621970700037</v>
      </c>
      <c r="E67" s="42">
        <f>'Spain Crunch Output'!I107</f>
        <v>0.1471929712867604</v>
      </c>
    </row>
    <row r="68" spans="2:5" x14ac:dyDescent="0.35">
      <c r="B68" s="28" t="s">
        <v>200</v>
      </c>
      <c r="C68" s="42">
        <f>'Spain Crunch Output'!G108</f>
        <v>9.644831791079439E-2</v>
      </c>
      <c r="D68" s="42">
        <f>'Spain Crunch Output'!H108</f>
        <v>0.1136014663467898</v>
      </c>
      <c r="E68" s="42">
        <f>'Spain Crunch Output'!I108</f>
        <v>9.0584505404072757E-2</v>
      </c>
    </row>
    <row r="69" spans="2:5" x14ac:dyDescent="0.35">
      <c r="B69" s="44" t="s">
        <v>201</v>
      </c>
      <c r="C69" s="42">
        <f>'Spain Crunch Output'!G109</f>
        <v>5.2462965148261577E-2</v>
      </c>
      <c r="D69" s="42">
        <f>'Spain Crunch Output'!H109</f>
        <v>5.2644909993224992E-2</v>
      </c>
      <c r="E69" s="42">
        <f>'Spain Crunch Output'!I109</f>
        <v>6.2422903870040722E-2</v>
      </c>
    </row>
    <row r="70" spans="2:5" x14ac:dyDescent="0.35">
      <c r="B70" s="44" t="s">
        <v>202</v>
      </c>
      <c r="C70" s="42">
        <f>'Spain Crunch Output'!G110</f>
        <v>6.0724002632496273E-3</v>
      </c>
      <c r="D70" s="42">
        <f>'Spain Crunch Output'!H110</f>
        <v>5.1337310284792301E-3</v>
      </c>
      <c r="E70" s="42">
        <f>'Spain Crunch Output'!I110</f>
        <v>6.7670926629553874E-3</v>
      </c>
    </row>
    <row r="71" spans="2:5" x14ac:dyDescent="0.35">
      <c r="B71" s="44">
        <v>3</v>
      </c>
      <c r="C71" s="42">
        <f>'Spain Crunch Output'!G111</f>
        <v>8.4933650881717712E-3</v>
      </c>
      <c r="D71" s="42">
        <f>'Spain Crunch Output'!H111</f>
        <v>7.1804640667767552E-3</v>
      </c>
      <c r="E71" s="42">
        <f>'Spain Crunch Output'!I111</f>
        <v>6.7082571713767388E-3</v>
      </c>
    </row>
    <row r="72" spans="2:5" x14ac:dyDescent="0.35">
      <c r="B72" s="44">
        <v>2</v>
      </c>
      <c r="C72" s="42">
        <f>'Spain Crunch Output'!G112</f>
        <v>0</v>
      </c>
      <c r="D72" s="42">
        <f>'Spain Crunch Output'!H112</f>
        <v>0</v>
      </c>
      <c r="E72" s="42">
        <f>'Spain Crunch Output'!I112</f>
        <v>0</v>
      </c>
    </row>
    <row r="73" spans="2:5" x14ac:dyDescent="0.35">
      <c r="B73" s="44" t="s">
        <v>203</v>
      </c>
      <c r="C73" s="42">
        <f>'Spain Crunch Output'!G113</f>
        <v>2.7733140120472319E-3</v>
      </c>
      <c r="D73" s="42">
        <f>'Spain Crunch Output'!H113</f>
        <v>5.4148446611331572E-3</v>
      </c>
      <c r="E73" s="42">
        <f>'Spain Crunch Output'!I113</f>
        <v>5.1765386814756394E-3</v>
      </c>
    </row>
    <row r="74" spans="2:5" x14ac:dyDescent="0.35">
      <c r="B74" s="44" t="s">
        <v>204</v>
      </c>
      <c r="C74" s="42">
        <f>'Spain Crunch Output'!G114</f>
        <v>2.4439883111805481E-2</v>
      </c>
      <c r="D74" s="42">
        <f>'Spain Crunch Output'!H114</f>
        <v>2.0661975631418219E-2</v>
      </c>
      <c r="E74" s="42">
        <f>'Spain Crunch Output'!I114</f>
        <v>1.3315224854171449E-2</v>
      </c>
    </row>
    <row r="75" spans="2:5" s="36" customFormat="1" x14ac:dyDescent="0.3">
      <c r="B75" s="56" t="s">
        <v>24</v>
      </c>
      <c r="C75" s="60">
        <f>'Spain Crunch Output'!G100</f>
        <v>320</v>
      </c>
      <c r="D75" s="60">
        <f>'Spain Crunch Output'!H100</f>
        <v>377</v>
      </c>
      <c r="E75" s="60">
        <f>'Spain Crunch Output'!I100</f>
        <v>397</v>
      </c>
    </row>
    <row r="76" spans="2:5" x14ac:dyDescent="0.35">
      <c r="B76" s="27"/>
      <c r="C76" s="33"/>
      <c r="D76" s="33"/>
      <c r="E76" s="33"/>
    </row>
    <row r="77" spans="2:5" x14ac:dyDescent="0.35">
      <c r="B77" s="99" t="s">
        <v>71</v>
      </c>
      <c r="C77" s="39" t="s">
        <v>22</v>
      </c>
      <c r="D77" s="39" t="s">
        <v>22</v>
      </c>
      <c r="E77" s="39" t="s">
        <v>22</v>
      </c>
    </row>
    <row r="78" spans="2:5" x14ac:dyDescent="0.35">
      <c r="B78" s="100"/>
      <c r="C78" s="40" t="s">
        <v>43</v>
      </c>
      <c r="D78" s="40" t="s">
        <v>43</v>
      </c>
      <c r="E78" s="40" t="s">
        <v>43</v>
      </c>
    </row>
    <row r="79" spans="2:5" x14ac:dyDescent="0.35">
      <c r="B79" s="41" t="s">
        <v>336</v>
      </c>
      <c r="C79" s="42" t="s">
        <v>43</v>
      </c>
      <c r="D79" s="42" t="s">
        <v>43</v>
      </c>
      <c r="E79" s="42" t="s">
        <v>43</v>
      </c>
    </row>
    <row r="80" spans="2:5" x14ac:dyDescent="0.35">
      <c r="B80" s="41" t="s">
        <v>194</v>
      </c>
      <c r="C80" s="42" t="s">
        <v>43</v>
      </c>
      <c r="D80" s="42" t="s">
        <v>43</v>
      </c>
      <c r="E80" s="42" t="s">
        <v>43</v>
      </c>
    </row>
    <row r="81" spans="2:5" x14ac:dyDescent="0.35">
      <c r="B81" s="41" t="s">
        <v>195</v>
      </c>
      <c r="C81" s="42" t="s">
        <v>43</v>
      </c>
      <c r="D81" s="42" t="s">
        <v>43</v>
      </c>
      <c r="E81" s="42" t="s">
        <v>43</v>
      </c>
    </row>
    <row r="82" spans="2:5" x14ac:dyDescent="0.35">
      <c r="B82" s="28" t="s">
        <v>196</v>
      </c>
      <c r="C82" s="43" t="s">
        <v>43</v>
      </c>
      <c r="D82" s="43" t="s">
        <v>43</v>
      </c>
      <c r="E82" s="43" t="s">
        <v>43</v>
      </c>
    </row>
    <row r="83" spans="2:5" x14ac:dyDescent="0.35">
      <c r="B83" s="28" t="s">
        <v>197</v>
      </c>
      <c r="C83" s="43" t="s">
        <v>43</v>
      </c>
      <c r="D83" s="43" t="s">
        <v>43</v>
      </c>
      <c r="E83" s="43" t="s">
        <v>43</v>
      </c>
    </row>
    <row r="84" spans="2:5" x14ac:dyDescent="0.35">
      <c r="B84" s="28" t="s">
        <v>198</v>
      </c>
      <c r="C84" s="43" t="s">
        <v>43</v>
      </c>
      <c r="D84" s="43" t="s">
        <v>43</v>
      </c>
      <c r="E84" s="43" t="s">
        <v>43</v>
      </c>
    </row>
    <row r="85" spans="2:5" x14ac:dyDescent="0.35">
      <c r="B85" s="28" t="s">
        <v>199</v>
      </c>
      <c r="C85" s="43" t="s">
        <v>43</v>
      </c>
      <c r="D85" s="43" t="s">
        <v>43</v>
      </c>
      <c r="E85" s="43" t="s">
        <v>43</v>
      </c>
    </row>
    <row r="86" spans="2:5" x14ac:dyDescent="0.35">
      <c r="B86" s="28" t="s">
        <v>200</v>
      </c>
      <c r="C86" s="43" t="s">
        <v>43</v>
      </c>
      <c r="D86" s="43" t="s">
        <v>43</v>
      </c>
      <c r="E86" s="43" t="s">
        <v>43</v>
      </c>
    </row>
    <row r="87" spans="2:5" x14ac:dyDescent="0.35">
      <c r="B87" s="44" t="s">
        <v>201</v>
      </c>
      <c r="C87" s="43" t="s">
        <v>43</v>
      </c>
      <c r="D87" s="43" t="s">
        <v>43</v>
      </c>
      <c r="E87" s="43" t="s">
        <v>43</v>
      </c>
    </row>
    <row r="88" spans="2:5" x14ac:dyDescent="0.35">
      <c r="B88" s="44" t="s">
        <v>202</v>
      </c>
      <c r="C88" s="43" t="s">
        <v>43</v>
      </c>
      <c r="D88" s="43" t="s">
        <v>43</v>
      </c>
      <c r="E88" s="43" t="s">
        <v>43</v>
      </c>
    </row>
    <row r="89" spans="2:5" x14ac:dyDescent="0.35">
      <c r="B89" s="44">
        <v>3</v>
      </c>
      <c r="C89" s="43" t="s">
        <v>43</v>
      </c>
      <c r="D89" s="43" t="s">
        <v>43</v>
      </c>
      <c r="E89" s="43" t="s">
        <v>43</v>
      </c>
    </row>
    <row r="90" spans="2:5" x14ac:dyDescent="0.35">
      <c r="B90" s="44">
        <v>2</v>
      </c>
      <c r="C90" s="43" t="s">
        <v>43</v>
      </c>
      <c r="D90" s="43" t="s">
        <v>43</v>
      </c>
      <c r="E90" s="43" t="s">
        <v>43</v>
      </c>
    </row>
    <row r="91" spans="2:5" x14ac:dyDescent="0.35">
      <c r="B91" s="44" t="s">
        <v>203</v>
      </c>
      <c r="C91" s="43" t="s">
        <v>43</v>
      </c>
      <c r="D91" s="43" t="s">
        <v>43</v>
      </c>
      <c r="E91" s="43" t="s">
        <v>43</v>
      </c>
    </row>
    <row r="92" spans="2:5" x14ac:dyDescent="0.35">
      <c r="B92" s="44" t="s">
        <v>204</v>
      </c>
      <c r="C92" s="43" t="s">
        <v>43</v>
      </c>
      <c r="D92" s="43" t="s">
        <v>43</v>
      </c>
      <c r="E92" s="43" t="s">
        <v>43</v>
      </c>
    </row>
    <row r="93" spans="2:5" s="36" customFormat="1" x14ac:dyDescent="0.3">
      <c r="B93" s="56" t="s">
        <v>24</v>
      </c>
      <c r="C93" s="60">
        <f>'Spain Crunch Output'!G157</f>
        <v>44</v>
      </c>
      <c r="D93" s="60">
        <f>'Spain Crunch Output'!H157</f>
        <v>58</v>
      </c>
      <c r="E93" s="60">
        <f>'Spain Crunch Output'!I157</f>
        <v>62</v>
      </c>
    </row>
    <row r="94" spans="2:5" x14ac:dyDescent="0.35">
      <c r="B94" s="27"/>
      <c r="C94" s="133"/>
      <c r="D94" s="133"/>
      <c r="E94" s="133"/>
    </row>
    <row r="95" spans="2:5" x14ac:dyDescent="0.35">
      <c r="B95" s="99" t="s">
        <v>126</v>
      </c>
      <c r="C95" s="39" t="s">
        <v>22</v>
      </c>
      <c r="D95" s="39" t="s">
        <v>22</v>
      </c>
      <c r="E95" s="39" t="s">
        <v>22</v>
      </c>
    </row>
    <row r="96" spans="2:5" x14ac:dyDescent="0.35">
      <c r="B96" s="100"/>
      <c r="C96" s="40">
        <f>'Spain Crunch Output'!G78</f>
        <v>23.318045713398</v>
      </c>
      <c r="D96" s="40">
        <f>'Spain Crunch Output'!H78</f>
        <v>25.37643419277472</v>
      </c>
      <c r="E96" s="40">
        <f>'Spain Crunch Output'!I78</f>
        <v>32.549235177987299</v>
      </c>
    </row>
    <row r="97" spans="2:5" x14ac:dyDescent="0.35">
      <c r="B97" s="41" t="s">
        <v>336</v>
      </c>
      <c r="C97" s="42">
        <f>'Spain Crunch Output'!G64</f>
        <v>0.36225048290258549</v>
      </c>
      <c r="D97" s="42">
        <f>'Spain Crunch Output'!H64</f>
        <v>0.39522663724143492</v>
      </c>
      <c r="E97" s="42">
        <f>'Spain Crunch Output'!I64</f>
        <v>0.44519315711985658</v>
      </c>
    </row>
    <row r="98" spans="2:5" x14ac:dyDescent="0.35">
      <c r="B98" s="41" t="s">
        <v>194</v>
      </c>
      <c r="C98" s="42">
        <f>'Spain Crunch Output'!G65</f>
        <v>0.50867949132880907</v>
      </c>
      <c r="D98" s="42">
        <f>'Spain Crunch Output'!H65</f>
        <v>0.46331106744487699</v>
      </c>
      <c r="E98" s="42">
        <f>'Spain Crunch Output'!I65</f>
        <v>0.4351060375401597</v>
      </c>
    </row>
    <row r="99" spans="2:5" x14ac:dyDescent="0.35">
      <c r="B99" s="41" t="s">
        <v>195</v>
      </c>
      <c r="C99" s="42">
        <f>'Spain Crunch Output'!G66</f>
        <v>0.12907002576860541</v>
      </c>
      <c r="D99" s="42">
        <f>'Spain Crunch Output'!H66</f>
        <v>0.14146229531368781</v>
      </c>
      <c r="E99" s="42">
        <f>'Spain Crunch Output'!I66</f>
        <v>0.1197008053399837</v>
      </c>
    </row>
    <row r="100" spans="2:5" x14ac:dyDescent="0.35">
      <c r="B100" s="28" t="s">
        <v>196</v>
      </c>
      <c r="C100" s="42">
        <f>'Spain Crunch Output'!G67</f>
        <v>0.18452323676574689</v>
      </c>
      <c r="D100" s="42">
        <f>'Spain Crunch Output'!H67</f>
        <v>0.21228877164542931</v>
      </c>
      <c r="E100" s="42">
        <f>'Spain Crunch Output'!I67</f>
        <v>0.26439248475957677</v>
      </c>
    </row>
    <row r="101" spans="2:5" x14ac:dyDescent="0.35">
      <c r="B101" s="44">
        <v>9</v>
      </c>
      <c r="C101" s="42">
        <f>'Spain Crunch Output'!G68</f>
        <v>0.1777272461368386</v>
      </c>
      <c r="D101" s="42">
        <f>'Spain Crunch Output'!H68</f>
        <v>0.18293786559600561</v>
      </c>
      <c r="E101" s="42">
        <f>'Spain Crunch Output'!I68</f>
        <v>0.1808006723602798</v>
      </c>
    </row>
    <row r="102" spans="2:5" x14ac:dyDescent="0.35">
      <c r="B102" s="44">
        <v>8</v>
      </c>
      <c r="C102" s="42">
        <f>'Spain Crunch Output'!G69</f>
        <v>0.33554228226074528</v>
      </c>
      <c r="D102" s="42">
        <f>'Spain Crunch Output'!H69</f>
        <v>0.29931772621177172</v>
      </c>
      <c r="E102" s="42">
        <f>'Spain Crunch Output'!I69</f>
        <v>0.3022206314935369</v>
      </c>
    </row>
    <row r="103" spans="2:5" x14ac:dyDescent="0.35">
      <c r="B103" s="44">
        <v>7</v>
      </c>
      <c r="C103" s="42">
        <f>'Spain Crunch Output'!G70</f>
        <v>0.17313720906806379</v>
      </c>
      <c r="D103" s="42">
        <f>'Spain Crunch Output'!H70</f>
        <v>0.16399334123310541</v>
      </c>
      <c r="E103" s="42">
        <f>'Spain Crunch Output'!I70</f>
        <v>0.13288540604662269</v>
      </c>
    </row>
    <row r="104" spans="2:5" x14ac:dyDescent="0.35">
      <c r="B104" s="44">
        <v>6</v>
      </c>
      <c r="C104" s="42">
        <f>'Spain Crunch Output'!G71</f>
        <v>6.3901845440116109E-2</v>
      </c>
      <c r="D104" s="42">
        <f>'Spain Crunch Output'!H71</f>
        <v>6.6538835766979706E-2</v>
      </c>
      <c r="E104" s="42">
        <f>'Spain Crunch Output'!I71</f>
        <v>6.4072061996647389E-2</v>
      </c>
    </row>
    <row r="105" spans="2:5" x14ac:dyDescent="0.35">
      <c r="B105" s="44">
        <v>5</v>
      </c>
      <c r="C105" s="42">
        <f>'Spain Crunch Output'!G72</f>
        <v>3.3818448038986787E-2</v>
      </c>
      <c r="D105" s="42">
        <f>'Spain Crunch Output'!H72</f>
        <v>5.0179231398528389E-2</v>
      </c>
      <c r="E105" s="42">
        <f>'Spain Crunch Output'!I72</f>
        <v>4.2861428130857387E-2</v>
      </c>
    </row>
    <row r="106" spans="2:5" x14ac:dyDescent="0.35">
      <c r="B106" s="44">
        <v>4</v>
      </c>
      <c r="C106" s="42">
        <f>'Spain Crunch Output'!G73</f>
        <v>1.02880747967886E-2</v>
      </c>
      <c r="D106" s="42">
        <f>'Spain Crunch Output'!H73</f>
        <v>8.1203395176206207E-3</v>
      </c>
      <c r="E106" s="42">
        <f>'Spain Crunch Output'!I73</f>
        <v>7.8192966710278634E-3</v>
      </c>
    </row>
    <row r="107" spans="2:5" x14ac:dyDescent="0.35">
      <c r="B107" s="44">
        <v>3</v>
      </c>
      <c r="C107" s="42">
        <f>'Spain Crunch Output'!G74</f>
        <v>7.7206896392957381E-3</v>
      </c>
      <c r="D107" s="42">
        <f>'Spain Crunch Output'!H74</f>
        <v>6.093911875604487E-3</v>
      </c>
      <c r="E107" s="42">
        <f>'Spain Crunch Output'!I74</f>
        <v>0</v>
      </c>
    </row>
    <row r="108" spans="2:5" x14ac:dyDescent="0.35">
      <c r="B108" s="44">
        <v>2</v>
      </c>
      <c r="C108" s="42">
        <f>'Spain Crunch Output'!G75</f>
        <v>0</v>
      </c>
      <c r="D108" s="42">
        <f>'Spain Crunch Output'!H75</f>
        <v>0</v>
      </c>
      <c r="E108" s="42">
        <f>'Spain Crunch Output'!I75</f>
        <v>0</v>
      </c>
    </row>
    <row r="109" spans="2:5" x14ac:dyDescent="0.35">
      <c r="B109" s="44">
        <v>1</v>
      </c>
      <c r="C109" s="42">
        <f>'Spain Crunch Output'!G76</f>
        <v>0</v>
      </c>
      <c r="D109" s="42">
        <f>'Spain Crunch Output'!H76</f>
        <v>0</v>
      </c>
      <c r="E109" s="42">
        <f>'Spain Crunch Output'!I76</f>
        <v>0</v>
      </c>
    </row>
    <row r="110" spans="2:5" x14ac:dyDescent="0.35">
      <c r="B110" s="44" t="s">
        <v>204</v>
      </c>
      <c r="C110" s="42">
        <f>'Spain Crunch Output'!G77</f>
        <v>1.334096785341816E-2</v>
      </c>
      <c r="D110" s="42">
        <f>'Spain Crunch Output'!H77</f>
        <v>1.0529976754954561E-2</v>
      </c>
      <c r="E110" s="42">
        <f>'Spain Crunch Output'!I77</f>
        <v>4.9480185414510127E-3</v>
      </c>
    </row>
    <row r="111" spans="2:5" s="36" customFormat="1" x14ac:dyDescent="0.3">
      <c r="B111" s="56" t="s">
        <v>24</v>
      </c>
      <c r="C111" s="60">
        <f>'Spain Crunch Output'!G63</f>
        <v>109</v>
      </c>
      <c r="D111" s="60">
        <f>'Spain Crunch Output'!H63</f>
        <v>137</v>
      </c>
      <c r="E111" s="60">
        <f>'Spain Crunch Output'!I63</f>
        <v>143</v>
      </c>
    </row>
    <row r="112" spans="2:5" x14ac:dyDescent="0.35">
      <c r="B112" s="27"/>
      <c r="C112" s="33"/>
      <c r="D112" s="33"/>
      <c r="E112" s="33"/>
    </row>
    <row r="113" spans="2:5" x14ac:dyDescent="0.35">
      <c r="B113" s="99" t="s">
        <v>127</v>
      </c>
      <c r="C113" s="39" t="s">
        <v>22</v>
      </c>
      <c r="D113" s="39" t="s">
        <v>22</v>
      </c>
      <c r="E113" s="39" t="s">
        <v>22</v>
      </c>
    </row>
    <row r="114" spans="2:5" x14ac:dyDescent="0.35">
      <c r="B114" s="100"/>
      <c r="C114" s="40" t="s">
        <v>43</v>
      </c>
      <c r="D114" s="40" t="s">
        <v>43</v>
      </c>
      <c r="E114" s="40" t="s">
        <v>43</v>
      </c>
    </row>
    <row r="115" spans="2:5" x14ac:dyDescent="0.35">
      <c r="B115" s="41" t="s">
        <v>336</v>
      </c>
      <c r="C115" s="42" t="s">
        <v>43</v>
      </c>
      <c r="D115" s="42" t="s">
        <v>43</v>
      </c>
      <c r="E115" s="42" t="s">
        <v>43</v>
      </c>
    </row>
    <row r="116" spans="2:5" x14ac:dyDescent="0.35">
      <c r="B116" s="41" t="s">
        <v>194</v>
      </c>
      <c r="C116" s="42" t="s">
        <v>43</v>
      </c>
      <c r="D116" s="42" t="s">
        <v>43</v>
      </c>
      <c r="E116" s="42" t="s">
        <v>43</v>
      </c>
    </row>
    <row r="117" spans="2:5" x14ac:dyDescent="0.35">
      <c r="B117" s="41" t="s">
        <v>195</v>
      </c>
      <c r="C117" s="42" t="s">
        <v>43</v>
      </c>
      <c r="D117" s="42" t="s">
        <v>43</v>
      </c>
      <c r="E117" s="42" t="s">
        <v>43</v>
      </c>
    </row>
    <row r="118" spans="2:5" x14ac:dyDescent="0.35">
      <c r="B118" s="28" t="s">
        <v>196</v>
      </c>
      <c r="C118" s="43" t="s">
        <v>43</v>
      </c>
      <c r="D118" s="43" t="s">
        <v>43</v>
      </c>
      <c r="E118" s="43" t="s">
        <v>43</v>
      </c>
    </row>
    <row r="119" spans="2:5" x14ac:dyDescent="0.35">
      <c r="B119" s="44">
        <v>9</v>
      </c>
      <c r="C119" s="43" t="s">
        <v>43</v>
      </c>
      <c r="D119" s="43" t="s">
        <v>43</v>
      </c>
      <c r="E119" s="43" t="s">
        <v>43</v>
      </c>
    </row>
    <row r="120" spans="2:5" x14ac:dyDescent="0.35">
      <c r="B120" s="44">
        <v>8</v>
      </c>
      <c r="C120" s="43" t="s">
        <v>43</v>
      </c>
      <c r="D120" s="43" t="s">
        <v>43</v>
      </c>
      <c r="E120" s="43" t="s">
        <v>43</v>
      </c>
    </row>
    <row r="121" spans="2:5" x14ac:dyDescent="0.35">
      <c r="B121" s="44">
        <v>7</v>
      </c>
      <c r="C121" s="43" t="s">
        <v>43</v>
      </c>
      <c r="D121" s="43" t="s">
        <v>43</v>
      </c>
      <c r="E121" s="43" t="s">
        <v>43</v>
      </c>
    </row>
    <row r="122" spans="2:5" x14ac:dyDescent="0.35">
      <c r="B122" s="44">
        <v>6</v>
      </c>
      <c r="C122" s="43" t="s">
        <v>43</v>
      </c>
      <c r="D122" s="43" t="s">
        <v>43</v>
      </c>
      <c r="E122" s="43" t="s">
        <v>43</v>
      </c>
    </row>
    <row r="123" spans="2:5" x14ac:dyDescent="0.35">
      <c r="B123" s="44">
        <v>5</v>
      </c>
      <c r="C123" s="43" t="s">
        <v>43</v>
      </c>
      <c r="D123" s="43" t="s">
        <v>43</v>
      </c>
      <c r="E123" s="43" t="s">
        <v>43</v>
      </c>
    </row>
    <row r="124" spans="2:5" x14ac:dyDescent="0.35">
      <c r="B124" s="44">
        <v>4</v>
      </c>
      <c r="C124" s="43" t="s">
        <v>43</v>
      </c>
      <c r="D124" s="43" t="s">
        <v>43</v>
      </c>
      <c r="E124" s="43" t="s">
        <v>43</v>
      </c>
    </row>
    <row r="125" spans="2:5" x14ac:dyDescent="0.35">
      <c r="B125" s="44">
        <v>3</v>
      </c>
      <c r="C125" s="43" t="s">
        <v>43</v>
      </c>
      <c r="D125" s="43" t="s">
        <v>43</v>
      </c>
      <c r="E125" s="43" t="s">
        <v>43</v>
      </c>
    </row>
    <row r="126" spans="2:5" x14ac:dyDescent="0.35">
      <c r="B126" s="44">
        <v>2</v>
      </c>
      <c r="C126" s="43" t="s">
        <v>43</v>
      </c>
      <c r="D126" s="43" t="s">
        <v>43</v>
      </c>
      <c r="E126" s="43" t="s">
        <v>43</v>
      </c>
    </row>
    <row r="127" spans="2:5" x14ac:dyDescent="0.35">
      <c r="B127" s="44">
        <v>1</v>
      </c>
      <c r="C127" s="43" t="s">
        <v>43</v>
      </c>
      <c r="D127" s="43" t="s">
        <v>43</v>
      </c>
      <c r="E127" s="43" t="s">
        <v>43</v>
      </c>
    </row>
    <row r="128" spans="2:5" x14ac:dyDescent="0.35">
      <c r="B128" s="44" t="s">
        <v>204</v>
      </c>
      <c r="C128" s="43" t="s">
        <v>43</v>
      </c>
      <c r="D128" s="43" t="s">
        <v>43</v>
      </c>
      <c r="E128" s="43" t="s">
        <v>43</v>
      </c>
    </row>
    <row r="129" spans="2:5" s="36" customFormat="1" x14ac:dyDescent="0.3">
      <c r="B129" s="56" t="s">
        <v>24</v>
      </c>
      <c r="C129" s="60">
        <f>'Spain Crunch Output'!G119</f>
        <v>54</v>
      </c>
      <c r="D129" s="60">
        <f>'Spain Crunch Output'!H119</f>
        <v>68</v>
      </c>
      <c r="E129" s="60">
        <f>'Spain Crunch Output'!I119</f>
        <v>68</v>
      </c>
    </row>
    <row r="130" spans="2:5" x14ac:dyDescent="0.35">
      <c r="B130" s="27"/>
      <c r="C130" s="33"/>
      <c r="D130" s="33"/>
      <c r="E130" s="33"/>
    </row>
    <row r="131" spans="2:5" x14ac:dyDescent="0.35">
      <c r="B131" s="99" t="s">
        <v>128</v>
      </c>
      <c r="C131" s="39" t="s">
        <v>22</v>
      </c>
      <c r="D131" s="39" t="s">
        <v>22</v>
      </c>
      <c r="E131" s="39" t="s">
        <v>22</v>
      </c>
    </row>
    <row r="132" spans="2:5" x14ac:dyDescent="0.35">
      <c r="B132" s="100"/>
      <c r="C132" s="40" t="s">
        <v>43</v>
      </c>
      <c r="D132" s="40" t="s">
        <v>43</v>
      </c>
      <c r="E132" s="40" t="s">
        <v>43</v>
      </c>
    </row>
    <row r="133" spans="2:5" x14ac:dyDescent="0.35">
      <c r="B133" s="41" t="s">
        <v>336</v>
      </c>
      <c r="C133" s="42" t="s">
        <v>43</v>
      </c>
      <c r="D133" s="42" t="s">
        <v>43</v>
      </c>
      <c r="E133" s="42" t="s">
        <v>43</v>
      </c>
    </row>
    <row r="134" spans="2:5" x14ac:dyDescent="0.35">
      <c r="B134" s="41" t="s">
        <v>194</v>
      </c>
      <c r="C134" s="42" t="s">
        <v>43</v>
      </c>
      <c r="D134" s="42" t="s">
        <v>43</v>
      </c>
      <c r="E134" s="42" t="s">
        <v>43</v>
      </c>
    </row>
    <row r="135" spans="2:5" x14ac:dyDescent="0.35">
      <c r="B135" s="41" t="s">
        <v>195</v>
      </c>
      <c r="C135" s="42" t="s">
        <v>43</v>
      </c>
      <c r="D135" s="42" t="s">
        <v>43</v>
      </c>
      <c r="E135" s="42" t="s">
        <v>43</v>
      </c>
    </row>
    <row r="136" spans="2:5" x14ac:dyDescent="0.35">
      <c r="B136" s="28" t="s">
        <v>196</v>
      </c>
      <c r="C136" s="43" t="s">
        <v>43</v>
      </c>
      <c r="D136" s="43" t="s">
        <v>43</v>
      </c>
      <c r="E136" s="43" t="s">
        <v>43</v>
      </c>
    </row>
    <row r="137" spans="2:5" x14ac:dyDescent="0.35">
      <c r="B137" s="44">
        <v>9</v>
      </c>
      <c r="C137" s="43" t="s">
        <v>43</v>
      </c>
      <c r="D137" s="43" t="s">
        <v>43</v>
      </c>
      <c r="E137" s="43" t="s">
        <v>43</v>
      </c>
    </row>
    <row r="138" spans="2:5" x14ac:dyDescent="0.35">
      <c r="B138" s="44">
        <v>8</v>
      </c>
      <c r="C138" s="43" t="s">
        <v>43</v>
      </c>
      <c r="D138" s="43" t="s">
        <v>43</v>
      </c>
      <c r="E138" s="43" t="s">
        <v>43</v>
      </c>
    </row>
    <row r="139" spans="2:5" x14ac:dyDescent="0.35">
      <c r="B139" s="44">
        <v>7</v>
      </c>
      <c r="C139" s="43" t="s">
        <v>43</v>
      </c>
      <c r="D139" s="43" t="s">
        <v>43</v>
      </c>
      <c r="E139" s="43" t="s">
        <v>43</v>
      </c>
    </row>
    <row r="140" spans="2:5" x14ac:dyDescent="0.35">
      <c r="B140" s="44">
        <v>6</v>
      </c>
      <c r="C140" s="43" t="s">
        <v>43</v>
      </c>
      <c r="D140" s="43" t="s">
        <v>43</v>
      </c>
      <c r="E140" s="43" t="s">
        <v>43</v>
      </c>
    </row>
    <row r="141" spans="2:5" x14ac:dyDescent="0.35">
      <c r="B141" s="44">
        <v>5</v>
      </c>
      <c r="C141" s="43" t="s">
        <v>43</v>
      </c>
      <c r="D141" s="43" t="s">
        <v>43</v>
      </c>
      <c r="E141" s="43" t="s">
        <v>43</v>
      </c>
    </row>
    <row r="142" spans="2:5" x14ac:dyDescent="0.35">
      <c r="B142" s="44">
        <v>4</v>
      </c>
      <c r="C142" s="43" t="s">
        <v>43</v>
      </c>
      <c r="D142" s="43" t="s">
        <v>43</v>
      </c>
      <c r="E142" s="43" t="s">
        <v>43</v>
      </c>
    </row>
    <row r="143" spans="2:5" x14ac:dyDescent="0.35">
      <c r="B143" s="44">
        <v>3</v>
      </c>
      <c r="C143" s="43" t="s">
        <v>43</v>
      </c>
      <c r="D143" s="43" t="s">
        <v>43</v>
      </c>
      <c r="E143" s="43" t="s">
        <v>43</v>
      </c>
    </row>
    <row r="144" spans="2:5" x14ac:dyDescent="0.35">
      <c r="B144" s="44">
        <v>2</v>
      </c>
      <c r="C144" s="43" t="s">
        <v>43</v>
      </c>
      <c r="D144" s="43" t="s">
        <v>43</v>
      </c>
      <c r="E144" s="43" t="s">
        <v>43</v>
      </c>
    </row>
    <row r="145" spans="2:5" ht="14.5" customHeight="1" x14ac:dyDescent="0.35">
      <c r="B145" s="44">
        <v>1</v>
      </c>
      <c r="C145" s="43" t="s">
        <v>43</v>
      </c>
      <c r="D145" s="43" t="s">
        <v>43</v>
      </c>
      <c r="E145" s="43" t="s">
        <v>43</v>
      </c>
    </row>
    <row r="146" spans="2:5" x14ac:dyDescent="0.35">
      <c r="B146" s="44" t="s">
        <v>204</v>
      </c>
      <c r="C146" s="43" t="s">
        <v>43</v>
      </c>
      <c r="D146" s="43" t="s">
        <v>43</v>
      </c>
      <c r="E146" s="43" t="s">
        <v>43</v>
      </c>
    </row>
    <row r="147" spans="2:5" s="36" customFormat="1" x14ac:dyDescent="0.3">
      <c r="B147" s="56" t="s">
        <v>24</v>
      </c>
      <c r="C147" s="60">
        <f>'Spain Crunch Output'!G269</f>
        <v>6</v>
      </c>
      <c r="D147" s="60">
        <f>'Spain Crunch Output'!H269</f>
        <v>7</v>
      </c>
      <c r="E147" s="60">
        <f>'Spain Crunch Output'!I269</f>
        <v>10</v>
      </c>
    </row>
    <row r="148" spans="2:5" x14ac:dyDescent="0.35">
      <c r="B148" s="27"/>
      <c r="C148" s="33"/>
      <c r="D148" s="33"/>
      <c r="E148" s="33"/>
    </row>
    <row r="149" spans="2:5" x14ac:dyDescent="0.35">
      <c r="B149" s="99" t="s">
        <v>104</v>
      </c>
      <c r="C149" s="39" t="s">
        <v>22</v>
      </c>
      <c r="D149" s="39" t="s">
        <v>22</v>
      </c>
      <c r="E149" s="39" t="s">
        <v>22</v>
      </c>
    </row>
    <row r="150" spans="2:5" x14ac:dyDescent="0.35">
      <c r="B150" s="100"/>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'Spain Crunch Output'!G231</f>
        <v>45</v>
      </c>
      <c r="D165" s="60">
        <f>'Spain Crunch Output'!H231</f>
        <v>58</v>
      </c>
      <c r="E165" s="60">
        <f>'Spain Crunch Output'!I231</f>
        <v>55</v>
      </c>
    </row>
    <row r="166" spans="2:5" x14ac:dyDescent="0.35">
      <c r="B166" s="27"/>
      <c r="C166" s="33"/>
      <c r="D166" s="33"/>
      <c r="E166" s="33"/>
    </row>
    <row r="167" spans="2:5" x14ac:dyDescent="0.35">
      <c r="B167" s="99" t="s">
        <v>105</v>
      </c>
      <c r="C167" s="39" t="s">
        <v>22</v>
      </c>
      <c r="D167" s="39" t="s">
        <v>22</v>
      </c>
      <c r="E167" s="39" t="s">
        <v>22</v>
      </c>
    </row>
    <row r="168" spans="2:5" x14ac:dyDescent="0.35">
      <c r="B168" s="100"/>
      <c r="C168" s="40">
        <f>'Spain Crunch Output'!G265</f>
        <v>43.602429338100379</v>
      </c>
      <c r="D168" s="40">
        <f>'Spain Crunch Output'!H265</f>
        <v>46.631400991209787</v>
      </c>
      <c r="E168" s="40">
        <f>'Spain Crunch Output'!I265</f>
        <v>47.312126381967083</v>
      </c>
    </row>
    <row r="169" spans="2:5" x14ac:dyDescent="0.35">
      <c r="B169" s="41" t="s">
        <v>336</v>
      </c>
      <c r="C169" s="42">
        <f>'Spain Crunch Output'!G251</f>
        <v>0.53314417193885211</v>
      </c>
      <c r="D169" s="42">
        <f>'Spain Crunch Output'!H251</f>
        <v>0.54483509022520182</v>
      </c>
      <c r="E169" s="42">
        <f>'Spain Crunch Output'!I251</f>
        <v>0.54941495348831104</v>
      </c>
    </row>
    <row r="170" spans="2:5" x14ac:dyDescent="0.35">
      <c r="B170" s="41" t="s">
        <v>194</v>
      </c>
      <c r="C170" s="42">
        <f>'Spain Crunch Output'!G252</f>
        <v>0.36973594950329958</v>
      </c>
      <c r="D170" s="42">
        <f>'Spain Crunch Output'!H252</f>
        <v>0.37664382946169411</v>
      </c>
      <c r="E170" s="42">
        <f>'Spain Crunch Output'!I252</f>
        <v>0.37429135684304848</v>
      </c>
    </row>
    <row r="171" spans="2:5" x14ac:dyDescent="0.35">
      <c r="B171" s="41" t="s">
        <v>195</v>
      </c>
      <c r="C171" s="42">
        <f>'Spain Crunch Output'!G253</f>
        <v>9.7119878557848316E-2</v>
      </c>
      <c r="D171" s="42">
        <f>'Spain Crunch Output'!H253</f>
        <v>7.8521080313103953E-2</v>
      </c>
      <c r="E171" s="42">
        <f>'Spain Crunch Output'!I253</f>
        <v>7.629368966864028E-2</v>
      </c>
    </row>
    <row r="172" spans="2:5" x14ac:dyDescent="0.35">
      <c r="B172" s="28" t="s">
        <v>196</v>
      </c>
      <c r="C172" s="43">
        <f>'Spain Crunch Output'!G254</f>
        <v>0.34774384116080831</v>
      </c>
      <c r="D172" s="43">
        <f>'Spain Crunch Output'!H254</f>
        <v>0.34660163869566513</v>
      </c>
      <c r="E172" s="43">
        <f>'Spain Crunch Output'!I254</f>
        <v>0.35365375809832822</v>
      </c>
    </row>
    <row r="173" spans="2:5" x14ac:dyDescent="0.35">
      <c r="B173" s="44">
        <v>9</v>
      </c>
      <c r="C173" s="43">
        <f>'Spain Crunch Output'!G255</f>
        <v>0.1854003307780438</v>
      </c>
      <c r="D173" s="43">
        <f>'Spain Crunch Output'!H255</f>
        <v>0.19823345152953681</v>
      </c>
      <c r="E173" s="43">
        <f>'Spain Crunch Output'!I255</f>
        <v>0.19576119538998291</v>
      </c>
    </row>
    <row r="174" spans="2:5" x14ac:dyDescent="0.35">
      <c r="B174" s="44">
        <v>8</v>
      </c>
      <c r="C174" s="43">
        <f>'Spain Crunch Output'!G256</f>
        <v>0.29147821055029871</v>
      </c>
      <c r="D174" s="43">
        <f>'Spain Crunch Output'!H256</f>
        <v>0.28322122418113971</v>
      </c>
      <c r="E174" s="43">
        <f>'Spain Crunch Output'!I256</f>
        <v>0.26586673133293548</v>
      </c>
    </row>
    <row r="175" spans="2:5" x14ac:dyDescent="0.35">
      <c r="B175" s="44">
        <v>7</v>
      </c>
      <c r="C175" s="43">
        <f>'Spain Crunch Output'!G257</f>
        <v>7.8257738953000935E-2</v>
      </c>
      <c r="D175" s="43">
        <f>'Spain Crunch Output'!H257</f>
        <v>9.3422605280554447E-2</v>
      </c>
      <c r="E175" s="43">
        <f>'Spain Crunch Output'!I257</f>
        <v>0.108424625510113</v>
      </c>
    </row>
    <row r="176" spans="2:5" x14ac:dyDescent="0.35">
      <c r="B176" s="44">
        <v>6</v>
      </c>
      <c r="C176" s="43">
        <f>'Spain Crunch Output'!G258</f>
        <v>3.5970277023972423E-2</v>
      </c>
      <c r="D176" s="43">
        <f>'Spain Crunch Output'!H258</f>
        <v>3.090675549726404E-2</v>
      </c>
      <c r="E176" s="43">
        <f>'Spain Crunch Output'!I258</f>
        <v>3.269550982322976E-2</v>
      </c>
    </row>
    <row r="177" spans="2:5" x14ac:dyDescent="0.35">
      <c r="B177" s="44">
        <v>5</v>
      </c>
      <c r="C177" s="43">
        <f>'Spain Crunch Output'!G259</f>
        <v>4.7624094235257347E-2</v>
      </c>
      <c r="D177" s="43">
        <f>'Spain Crunch Output'!H259</f>
        <v>3.7082647067152259E-2</v>
      </c>
      <c r="E177" s="43">
        <f>'Spain Crunch Output'!I259</f>
        <v>3.6829395532639773E-2</v>
      </c>
    </row>
    <row r="178" spans="2:5" x14ac:dyDescent="0.35">
      <c r="B178" s="44">
        <v>4</v>
      </c>
      <c r="C178" s="43">
        <f>'Spain Crunch Output'!G260</f>
        <v>9.7122037217001606E-3</v>
      </c>
      <c r="D178" s="43">
        <f>'Spain Crunch Output'!H260</f>
        <v>7.5624372208943384E-3</v>
      </c>
      <c r="E178" s="43">
        <f>'Spain Crunch Output'!I260</f>
        <v>6.7687843127707502E-3</v>
      </c>
    </row>
    <row r="179" spans="2:5" x14ac:dyDescent="0.35">
      <c r="B179" s="44">
        <v>3</v>
      </c>
      <c r="C179" s="43">
        <f>'Spain Crunch Output'!G261</f>
        <v>0</v>
      </c>
      <c r="D179" s="43">
        <f>'Spain Crunch Output'!H261</f>
        <v>0</v>
      </c>
      <c r="E179" s="43">
        <f>'Spain Crunch Output'!I261</f>
        <v>0</v>
      </c>
    </row>
    <row r="180" spans="2:5" x14ac:dyDescent="0.35">
      <c r="B180" s="44">
        <v>2</v>
      </c>
      <c r="C180" s="43">
        <f>'Spain Crunch Output'!G262</f>
        <v>0</v>
      </c>
      <c r="D180" s="43">
        <f>'Spain Crunch Output'!H262</f>
        <v>0</v>
      </c>
      <c r="E180" s="43">
        <f>'Spain Crunch Output'!I262</f>
        <v>0</v>
      </c>
    </row>
    <row r="181" spans="2:5" x14ac:dyDescent="0.35">
      <c r="B181" s="44">
        <v>1</v>
      </c>
      <c r="C181" s="43">
        <f>'Spain Crunch Output'!G263</f>
        <v>0</v>
      </c>
      <c r="D181" s="43">
        <f>'Spain Crunch Output'!H263</f>
        <v>0</v>
      </c>
      <c r="E181" s="43">
        <f>'Spain Crunch Output'!I263</f>
        <v>0</v>
      </c>
    </row>
    <row r="182" spans="2:5" x14ac:dyDescent="0.35">
      <c r="B182" s="44" t="s">
        <v>204</v>
      </c>
      <c r="C182" s="43">
        <f>'Spain Crunch Output'!G264</f>
        <v>3.8133035769183951E-3</v>
      </c>
      <c r="D182" s="43">
        <f>'Spain Crunch Output'!H264</f>
        <v>2.9692405277933149E-3</v>
      </c>
      <c r="E182" s="43">
        <f>'Spain Crunch Output'!I264</f>
        <v>0</v>
      </c>
    </row>
    <row r="183" spans="2:5" s="36" customFormat="1" x14ac:dyDescent="0.3">
      <c r="B183" s="56" t="s">
        <v>24</v>
      </c>
      <c r="C183" s="60">
        <f>'Spain Crunch Output'!G250</f>
        <v>220</v>
      </c>
      <c r="D183" s="60">
        <f>'Spain Crunch Output'!H250</f>
        <v>278</v>
      </c>
      <c r="E183" s="60">
        <f>'Spain Crunch Output'!I250</f>
        <v>309</v>
      </c>
    </row>
    <row r="184" spans="2:5" x14ac:dyDescent="0.35">
      <c r="B184" s="27"/>
      <c r="C184" s="33"/>
      <c r="D184" s="33"/>
      <c r="E184" s="33"/>
    </row>
    <row r="185" spans="2:5" x14ac:dyDescent="0.35">
      <c r="B185" s="99" t="s">
        <v>113</v>
      </c>
      <c r="C185" s="39" t="s">
        <v>22</v>
      </c>
      <c r="D185" s="39" t="s">
        <v>22</v>
      </c>
      <c r="E185" s="39" t="s">
        <v>22</v>
      </c>
    </row>
    <row r="186" spans="2:5" x14ac:dyDescent="0.35">
      <c r="B186" s="100"/>
      <c r="C186" s="40" t="s">
        <v>43</v>
      </c>
      <c r="D186" s="40" t="s">
        <v>43</v>
      </c>
      <c r="E186" s="40" t="s">
        <v>43</v>
      </c>
    </row>
    <row r="187" spans="2:5" x14ac:dyDescent="0.35">
      <c r="B187" s="41" t="s">
        <v>336</v>
      </c>
      <c r="C187" s="42" t="s">
        <v>43</v>
      </c>
      <c r="D187" s="42" t="s">
        <v>43</v>
      </c>
      <c r="E187" s="42" t="s">
        <v>43</v>
      </c>
    </row>
    <row r="188" spans="2:5" x14ac:dyDescent="0.35">
      <c r="B188" s="41" t="s">
        <v>194</v>
      </c>
      <c r="C188" s="42" t="s">
        <v>43</v>
      </c>
      <c r="D188" s="42" t="s">
        <v>43</v>
      </c>
      <c r="E188" s="42" t="s">
        <v>43</v>
      </c>
    </row>
    <row r="189" spans="2:5" x14ac:dyDescent="0.35">
      <c r="B189" s="41" t="s">
        <v>195</v>
      </c>
      <c r="C189" s="42" t="s">
        <v>43</v>
      </c>
      <c r="D189" s="42" t="s">
        <v>43</v>
      </c>
      <c r="E189" s="42" t="s">
        <v>43</v>
      </c>
    </row>
    <row r="190" spans="2:5" x14ac:dyDescent="0.35">
      <c r="B190" s="28" t="s">
        <v>196</v>
      </c>
      <c r="C190" s="43" t="s">
        <v>43</v>
      </c>
      <c r="D190" s="43" t="s">
        <v>43</v>
      </c>
      <c r="E190" s="43" t="s">
        <v>43</v>
      </c>
    </row>
    <row r="191" spans="2:5" x14ac:dyDescent="0.35">
      <c r="B191" s="44">
        <v>9</v>
      </c>
      <c r="C191" s="43" t="s">
        <v>43</v>
      </c>
      <c r="D191" s="43" t="s">
        <v>43</v>
      </c>
      <c r="E191" s="43" t="s">
        <v>43</v>
      </c>
    </row>
    <row r="192" spans="2:5" x14ac:dyDescent="0.35">
      <c r="B192" s="44">
        <v>8</v>
      </c>
      <c r="C192" s="43" t="s">
        <v>43</v>
      </c>
      <c r="D192" s="43" t="s">
        <v>43</v>
      </c>
      <c r="E192" s="43" t="s">
        <v>43</v>
      </c>
    </row>
    <row r="193" spans="2:5" x14ac:dyDescent="0.35">
      <c r="B193" s="44">
        <v>7</v>
      </c>
      <c r="C193" s="43" t="s">
        <v>43</v>
      </c>
      <c r="D193" s="43" t="s">
        <v>43</v>
      </c>
      <c r="E193" s="43" t="s">
        <v>43</v>
      </c>
    </row>
    <row r="194" spans="2:5" x14ac:dyDescent="0.35">
      <c r="B194" s="44">
        <v>6</v>
      </c>
      <c r="C194" s="43" t="s">
        <v>43</v>
      </c>
      <c r="D194" s="43" t="s">
        <v>43</v>
      </c>
      <c r="E194" s="43" t="s">
        <v>43</v>
      </c>
    </row>
    <row r="195" spans="2:5" x14ac:dyDescent="0.35">
      <c r="B195" s="44">
        <v>5</v>
      </c>
      <c r="C195" s="43" t="s">
        <v>43</v>
      </c>
      <c r="D195" s="43" t="s">
        <v>43</v>
      </c>
      <c r="E195" s="43" t="s">
        <v>43</v>
      </c>
    </row>
    <row r="196" spans="2:5" x14ac:dyDescent="0.35">
      <c r="B196" s="44">
        <v>4</v>
      </c>
      <c r="C196" s="43" t="s">
        <v>43</v>
      </c>
      <c r="D196" s="43" t="s">
        <v>43</v>
      </c>
      <c r="E196" s="43" t="s">
        <v>43</v>
      </c>
    </row>
    <row r="197" spans="2:5" x14ac:dyDescent="0.35">
      <c r="B197" s="44">
        <v>3</v>
      </c>
      <c r="C197" s="43" t="s">
        <v>43</v>
      </c>
      <c r="D197" s="43" t="s">
        <v>43</v>
      </c>
      <c r="E197" s="43" t="s">
        <v>43</v>
      </c>
    </row>
    <row r="198" spans="2:5" x14ac:dyDescent="0.35">
      <c r="B198" s="44">
        <v>2</v>
      </c>
      <c r="C198" s="43" t="s">
        <v>43</v>
      </c>
      <c r="D198" s="43" t="s">
        <v>43</v>
      </c>
      <c r="E198" s="43" t="s">
        <v>43</v>
      </c>
    </row>
    <row r="199" spans="2:5" x14ac:dyDescent="0.35">
      <c r="B199" s="44">
        <v>1</v>
      </c>
      <c r="C199" s="43" t="s">
        <v>43</v>
      </c>
      <c r="D199" s="43" t="s">
        <v>43</v>
      </c>
      <c r="E199" s="43" t="s">
        <v>43</v>
      </c>
    </row>
    <row r="200" spans="2:5" x14ac:dyDescent="0.35">
      <c r="B200" s="44" t="s">
        <v>204</v>
      </c>
      <c r="C200" s="43" t="s">
        <v>43</v>
      </c>
      <c r="D200" s="43" t="s">
        <v>43</v>
      </c>
      <c r="E200" s="43" t="s">
        <v>43</v>
      </c>
    </row>
    <row r="201" spans="2:5" s="36" customFormat="1" ht="15" thickBot="1" x14ac:dyDescent="0.35">
      <c r="B201" s="57" t="s">
        <v>24</v>
      </c>
      <c r="C201" s="61">
        <f>'Spain Crunch Output'!G194</f>
        <v>4</v>
      </c>
      <c r="D201" s="61">
        <f>'Spain Crunch Output'!H194</f>
        <v>4</v>
      </c>
      <c r="E201" s="61">
        <f>'Spain Crunch Output'!I194</f>
        <v>6</v>
      </c>
    </row>
    <row r="203" spans="2:5" x14ac:dyDescent="0.35">
      <c r="B203" s="99" t="s">
        <v>445</v>
      </c>
      <c r="C203" s="39" t="s">
        <v>22</v>
      </c>
      <c r="D203" s="39" t="s">
        <v>22</v>
      </c>
      <c r="E203" s="39" t="s">
        <v>22</v>
      </c>
    </row>
    <row r="204" spans="2:5" x14ac:dyDescent="0.35">
      <c r="B204" s="100"/>
      <c r="C204" s="40" t="s">
        <v>43</v>
      </c>
      <c r="D204" s="40" t="s">
        <v>43</v>
      </c>
      <c r="E204" s="40" t="s">
        <v>43</v>
      </c>
    </row>
    <row r="205" spans="2:5" x14ac:dyDescent="0.35">
      <c r="B205" s="41" t="s">
        <v>336</v>
      </c>
      <c r="C205" s="42" t="s">
        <v>43</v>
      </c>
      <c r="D205" s="42" t="s">
        <v>43</v>
      </c>
      <c r="E205" s="42" t="s">
        <v>43</v>
      </c>
    </row>
    <row r="206" spans="2:5" x14ac:dyDescent="0.35">
      <c r="B206" s="41" t="s">
        <v>194</v>
      </c>
      <c r="C206" s="42" t="s">
        <v>43</v>
      </c>
      <c r="D206" s="42" t="s">
        <v>43</v>
      </c>
      <c r="E206" s="42" t="s">
        <v>43</v>
      </c>
    </row>
    <row r="207" spans="2:5" x14ac:dyDescent="0.35">
      <c r="B207" s="41" t="s">
        <v>195</v>
      </c>
      <c r="C207" s="42" t="s">
        <v>43</v>
      </c>
      <c r="D207" s="42" t="s">
        <v>43</v>
      </c>
      <c r="E207" s="42" t="s">
        <v>43</v>
      </c>
    </row>
    <row r="208" spans="2:5" x14ac:dyDescent="0.35">
      <c r="B208" s="28" t="s">
        <v>196</v>
      </c>
      <c r="C208" s="43" t="s">
        <v>43</v>
      </c>
      <c r="D208" s="43" t="s">
        <v>43</v>
      </c>
      <c r="E208" s="43" t="s">
        <v>43</v>
      </c>
    </row>
    <row r="209" spans="2:5" x14ac:dyDescent="0.35">
      <c r="B209" s="44">
        <v>9</v>
      </c>
      <c r="C209" s="43" t="s">
        <v>43</v>
      </c>
      <c r="D209" s="43" t="s">
        <v>43</v>
      </c>
      <c r="E209" s="43" t="s">
        <v>43</v>
      </c>
    </row>
    <row r="210" spans="2:5" x14ac:dyDescent="0.35">
      <c r="B210" s="44">
        <v>8</v>
      </c>
      <c r="C210" s="43" t="s">
        <v>43</v>
      </c>
      <c r="D210" s="43" t="s">
        <v>43</v>
      </c>
      <c r="E210" s="43" t="s">
        <v>43</v>
      </c>
    </row>
    <row r="211" spans="2:5" x14ac:dyDescent="0.35">
      <c r="B211" s="44">
        <v>7</v>
      </c>
      <c r="C211" s="43" t="s">
        <v>43</v>
      </c>
      <c r="D211" s="43" t="s">
        <v>43</v>
      </c>
      <c r="E211" s="43" t="s">
        <v>43</v>
      </c>
    </row>
    <row r="212" spans="2:5" x14ac:dyDescent="0.35">
      <c r="B212" s="44">
        <v>6</v>
      </c>
      <c r="C212" s="43" t="s">
        <v>43</v>
      </c>
      <c r="D212" s="43" t="s">
        <v>43</v>
      </c>
      <c r="E212" s="43" t="s">
        <v>43</v>
      </c>
    </row>
    <row r="213" spans="2:5" x14ac:dyDescent="0.35">
      <c r="B213" s="44">
        <v>5</v>
      </c>
      <c r="C213" s="43" t="s">
        <v>43</v>
      </c>
      <c r="D213" s="43" t="s">
        <v>43</v>
      </c>
      <c r="E213" s="43" t="s">
        <v>43</v>
      </c>
    </row>
    <row r="214" spans="2:5" x14ac:dyDescent="0.35">
      <c r="B214" s="44">
        <v>4</v>
      </c>
      <c r="C214" s="43" t="s">
        <v>43</v>
      </c>
      <c r="D214" s="43" t="s">
        <v>43</v>
      </c>
      <c r="E214" s="43" t="s">
        <v>43</v>
      </c>
    </row>
    <row r="215" spans="2:5" x14ac:dyDescent="0.35">
      <c r="B215" s="44">
        <v>3</v>
      </c>
      <c r="C215" s="43" t="s">
        <v>43</v>
      </c>
      <c r="D215" s="43" t="s">
        <v>43</v>
      </c>
      <c r="E215" s="43" t="s">
        <v>43</v>
      </c>
    </row>
    <row r="216" spans="2:5" x14ac:dyDescent="0.35">
      <c r="B216" s="44">
        <v>2</v>
      </c>
      <c r="C216" s="43" t="s">
        <v>43</v>
      </c>
      <c r="D216" s="43" t="s">
        <v>43</v>
      </c>
      <c r="E216" s="43" t="s">
        <v>43</v>
      </c>
    </row>
    <row r="217" spans="2:5" x14ac:dyDescent="0.35">
      <c r="B217" s="44">
        <v>1</v>
      </c>
      <c r="C217" s="43" t="s">
        <v>43</v>
      </c>
      <c r="D217" s="43" t="s">
        <v>43</v>
      </c>
      <c r="E217" s="43" t="s">
        <v>43</v>
      </c>
    </row>
    <row r="218" spans="2:5" x14ac:dyDescent="0.35">
      <c r="B218" s="44" t="s">
        <v>204</v>
      </c>
      <c r="C218" s="43" t="s">
        <v>43</v>
      </c>
      <c r="D218" s="43" t="s">
        <v>43</v>
      </c>
      <c r="E218" s="43" t="s">
        <v>43</v>
      </c>
    </row>
    <row r="219" spans="2:5" s="36" customFormat="1" ht="15" thickBot="1" x14ac:dyDescent="0.35">
      <c r="B219" s="57" t="s">
        <v>24</v>
      </c>
      <c r="C219" s="61">
        <f>'Spain Crunch Output'!G288</f>
        <v>23</v>
      </c>
      <c r="D219" s="61">
        <f>'Spain Crunch Output'!H288</f>
        <v>31</v>
      </c>
      <c r="E219" s="61">
        <f>'Spain Crunch Output'!I288</f>
        <v>35</v>
      </c>
    </row>
    <row r="221" spans="2:5" x14ac:dyDescent="0.35">
      <c r="B221" s="99" t="s">
        <v>446</v>
      </c>
      <c r="C221" s="39" t="s">
        <v>22</v>
      </c>
      <c r="D221" s="39" t="s">
        <v>22</v>
      </c>
      <c r="E221" s="39" t="s">
        <v>22</v>
      </c>
    </row>
    <row r="222" spans="2:5" x14ac:dyDescent="0.35">
      <c r="B222" s="100"/>
      <c r="C222" s="40" t="s">
        <v>43</v>
      </c>
      <c r="D222" s="40" t="s">
        <v>43</v>
      </c>
      <c r="E222" s="40" t="s">
        <v>43</v>
      </c>
    </row>
    <row r="223" spans="2:5" x14ac:dyDescent="0.35">
      <c r="B223" s="41" t="s">
        <v>336</v>
      </c>
      <c r="C223" s="42" t="s">
        <v>43</v>
      </c>
      <c r="D223" s="42" t="s">
        <v>43</v>
      </c>
      <c r="E223" s="42" t="s">
        <v>43</v>
      </c>
    </row>
    <row r="224" spans="2:5" x14ac:dyDescent="0.35">
      <c r="B224" s="41" t="s">
        <v>194</v>
      </c>
      <c r="C224" s="42" t="s">
        <v>43</v>
      </c>
      <c r="D224" s="42" t="s">
        <v>43</v>
      </c>
      <c r="E224" s="42" t="s">
        <v>43</v>
      </c>
    </row>
    <row r="225" spans="2:5" x14ac:dyDescent="0.35">
      <c r="B225" s="41" t="s">
        <v>195</v>
      </c>
      <c r="C225" s="42" t="s">
        <v>43</v>
      </c>
      <c r="D225" s="42" t="s">
        <v>43</v>
      </c>
      <c r="E225" s="42" t="s">
        <v>43</v>
      </c>
    </row>
    <row r="226" spans="2:5" x14ac:dyDescent="0.35">
      <c r="B226" s="28" t="s">
        <v>196</v>
      </c>
      <c r="C226" s="43" t="s">
        <v>43</v>
      </c>
      <c r="D226" s="43" t="s">
        <v>43</v>
      </c>
      <c r="E226" s="43" t="s">
        <v>43</v>
      </c>
    </row>
    <row r="227" spans="2:5" x14ac:dyDescent="0.35">
      <c r="B227" s="44">
        <v>9</v>
      </c>
      <c r="C227" s="43" t="s">
        <v>43</v>
      </c>
      <c r="D227" s="43" t="s">
        <v>43</v>
      </c>
      <c r="E227" s="43" t="s">
        <v>43</v>
      </c>
    </row>
    <row r="228" spans="2:5" x14ac:dyDescent="0.35">
      <c r="B228" s="44">
        <v>8</v>
      </c>
      <c r="C228" s="43" t="s">
        <v>43</v>
      </c>
      <c r="D228" s="43" t="s">
        <v>43</v>
      </c>
      <c r="E228" s="43" t="s">
        <v>43</v>
      </c>
    </row>
    <row r="229" spans="2:5" x14ac:dyDescent="0.35">
      <c r="B229" s="44">
        <v>7</v>
      </c>
      <c r="C229" s="43" t="s">
        <v>43</v>
      </c>
      <c r="D229" s="43" t="s">
        <v>43</v>
      </c>
      <c r="E229" s="43" t="s">
        <v>43</v>
      </c>
    </row>
    <row r="230" spans="2:5" x14ac:dyDescent="0.35">
      <c r="B230" s="44">
        <v>6</v>
      </c>
      <c r="C230" s="43" t="s">
        <v>43</v>
      </c>
      <c r="D230" s="43" t="s">
        <v>43</v>
      </c>
      <c r="E230" s="43" t="s">
        <v>43</v>
      </c>
    </row>
    <row r="231" spans="2:5" x14ac:dyDescent="0.35">
      <c r="B231" s="44">
        <v>5</v>
      </c>
      <c r="C231" s="43" t="s">
        <v>43</v>
      </c>
      <c r="D231" s="43" t="s">
        <v>43</v>
      </c>
      <c r="E231" s="43" t="s">
        <v>43</v>
      </c>
    </row>
    <row r="232" spans="2:5" x14ac:dyDescent="0.35">
      <c r="B232" s="44">
        <v>4</v>
      </c>
      <c r="C232" s="43" t="s">
        <v>43</v>
      </c>
      <c r="D232" s="43" t="s">
        <v>43</v>
      </c>
      <c r="E232" s="43" t="s">
        <v>43</v>
      </c>
    </row>
    <row r="233" spans="2:5" x14ac:dyDescent="0.35">
      <c r="B233" s="44">
        <v>3</v>
      </c>
      <c r="C233" s="43" t="s">
        <v>43</v>
      </c>
      <c r="D233" s="43" t="s">
        <v>43</v>
      </c>
      <c r="E233" s="43" t="s">
        <v>43</v>
      </c>
    </row>
    <row r="234" spans="2:5" x14ac:dyDescent="0.35">
      <c r="B234" s="44">
        <v>2</v>
      </c>
      <c r="C234" s="43" t="s">
        <v>43</v>
      </c>
      <c r="D234" s="43" t="s">
        <v>43</v>
      </c>
      <c r="E234" s="43" t="s">
        <v>43</v>
      </c>
    </row>
    <row r="235" spans="2:5" x14ac:dyDescent="0.35">
      <c r="B235" s="44">
        <v>1</v>
      </c>
      <c r="C235" s="43" t="s">
        <v>43</v>
      </c>
      <c r="D235" s="43" t="s">
        <v>43</v>
      </c>
      <c r="E235" s="43" t="s">
        <v>43</v>
      </c>
    </row>
    <row r="236" spans="2:5" x14ac:dyDescent="0.35">
      <c r="B236" s="44" t="s">
        <v>204</v>
      </c>
      <c r="C236" s="43" t="s">
        <v>43</v>
      </c>
      <c r="D236" s="43" t="s">
        <v>43</v>
      </c>
      <c r="E236" s="43" t="s">
        <v>43</v>
      </c>
    </row>
    <row r="237" spans="2:5" s="36" customFormat="1" ht="15" thickBot="1" x14ac:dyDescent="0.35">
      <c r="B237" s="57" t="s">
        <v>24</v>
      </c>
      <c r="C237" s="61">
        <f>'Spain Crunch Output'!G307</f>
        <v>61</v>
      </c>
      <c r="D237" s="61">
        <f>'Spain Crunch Output'!H307</f>
        <v>74</v>
      </c>
      <c r="E237" s="61">
        <f>'Spain Crunch Output'!I307</f>
        <v>77</v>
      </c>
    </row>
    <row r="239" spans="2:5" x14ac:dyDescent="0.35">
      <c r="B239" s="99" t="s">
        <v>450</v>
      </c>
      <c r="C239" s="39" t="s">
        <v>22</v>
      </c>
      <c r="D239" s="39" t="s">
        <v>22</v>
      </c>
      <c r="E239" s="39" t="s">
        <v>22</v>
      </c>
    </row>
    <row r="240" spans="2:5" x14ac:dyDescent="0.35">
      <c r="B240" s="100"/>
      <c r="C240" s="78">
        <f>'Spain Crunch Output'!G341</f>
        <v>33.143934296163287</v>
      </c>
      <c r="D240" s="78">
        <f>'Spain Crunch Output'!H341</f>
        <v>34.900237765675527</v>
      </c>
      <c r="E240" s="78">
        <f>'Spain Crunch Output'!I341</f>
        <v>41.846585198524799</v>
      </c>
    </row>
    <row r="241" spans="2:5" x14ac:dyDescent="0.35">
      <c r="B241" s="41" t="s">
        <v>336</v>
      </c>
      <c r="C241" s="42">
        <f>'Spain Crunch Output'!G327</f>
        <v>0.49384797224336052</v>
      </c>
      <c r="D241" s="42">
        <f>'Spain Crunch Output'!H327</f>
        <v>0.50798520453506946</v>
      </c>
      <c r="E241" s="42">
        <f>'Spain Crunch Output'!I327</f>
        <v>0.54964923821782297</v>
      </c>
    </row>
    <row r="242" spans="2:5" x14ac:dyDescent="0.35">
      <c r="B242" s="41" t="s">
        <v>194</v>
      </c>
      <c r="C242" s="42">
        <f>'Spain Crunch Output'!G328</f>
        <v>0.34374339847491192</v>
      </c>
      <c r="D242" s="42">
        <f>'Spain Crunch Output'!H328</f>
        <v>0.33303196858661632</v>
      </c>
      <c r="E242" s="42">
        <f>'Spain Crunch Output'!I328</f>
        <v>0.31916737554960201</v>
      </c>
    </row>
    <row r="243" spans="2:5" x14ac:dyDescent="0.35">
      <c r="B243" s="41" t="s">
        <v>195</v>
      </c>
      <c r="C243" s="42">
        <f>'Spain Crunch Output'!G329</f>
        <v>0.1624086292817277</v>
      </c>
      <c r="D243" s="42">
        <f>'Spain Crunch Output'!H329</f>
        <v>0.15898282687831419</v>
      </c>
      <c r="E243" s="42">
        <f>'Spain Crunch Output'!I329</f>
        <v>0.131183386232575</v>
      </c>
    </row>
    <row r="244" spans="2:5" x14ac:dyDescent="0.35">
      <c r="B244" s="28" t="s">
        <v>196</v>
      </c>
      <c r="C244" s="43">
        <f>'Spain Crunch Output'!G330</f>
        <v>0.23467448344124331</v>
      </c>
      <c r="D244" s="43">
        <f>'Spain Crunch Output'!H330</f>
        <v>0.248132497036851</v>
      </c>
      <c r="E244" s="43">
        <f>'Spain Crunch Output'!I330</f>
        <v>0.28588600272205211</v>
      </c>
    </row>
    <row r="245" spans="2:5" x14ac:dyDescent="0.35">
      <c r="B245" s="44">
        <v>9</v>
      </c>
      <c r="C245" s="43">
        <f>'Spain Crunch Output'!G331</f>
        <v>0.25917348880211721</v>
      </c>
      <c r="D245" s="43">
        <f>'Spain Crunch Output'!H331</f>
        <v>0.25985270749821848</v>
      </c>
      <c r="E245" s="43">
        <f>'Spain Crunch Output'!I331</f>
        <v>0.26376323549577091</v>
      </c>
    </row>
    <row r="246" spans="2:5" x14ac:dyDescent="0.35">
      <c r="B246" s="44">
        <v>8</v>
      </c>
      <c r="C246" s="43">
        <f>'Spain Crunch Output'!G332</f>
        <v>0.24822824290822529</v>
      </c>
      <c r="D246" s="43">
        <f>'Spain Crunch Output'!H332</f>
        <v>0.23269886859151731</v>
      </c>
      <c r="E246" s="43">
        <f>'Spain Crunch Output'!I332</f>
        <v>0.20910661599711741</v>
      </c>
    </row>
    <row r="247" spans="2:5" x14ac:dyDescent="0.35">
      <c r="B247" s="44">
        <v>7</v>
      </c>
      <c r="C247" s="43">
        <f>'Spain Crunch Output'!G333</f>
        <v>9.5515155566686646E-2</v>
      </c>
      <c r="D247" s="43">
        <f>'Spain Crunch Output'!H333</f>
        <v>0.100333099995099</v>
      </c>
      <c r="E247" s="43">
        <f>'Spain Crunch Output'!I333</f>
        <v>0.1100607595524847</v>
      </c>
    </row>
    <row r="248" spans="2:5" x14ac:dyDescent="0.35">
      <c r="B248" s="44">
        <v>6</v>
      </c>
      <c r="C248" s="43">
        <f>'Spain Crunch Output'!G334</f>
        <v>2.258120706753371E-2</v>
      </c>
      <c r="D248" s="43">
        <f>'Spain Crunch Output'!H334</f>
        <v>4.7742767547120722E-2</v>
      </c>
      <c r="E248" s="43">
        <f>'Spain Crunch Output'!I334</f>
        <v>4.5373970145743618E-2</v>
      </c>
    </row>
    <row r="249" spans="2:5" x14ac:dyDescent="0.35">
      <c r="B249" s="44">
        <v>5</v>
      </c>
      <c r="C249" s="43">
        <f>'Spain Crunch Output'!G335</f>
        <v>7.1762001262947434E-2</v>
      </c>
      <c r="D249" s="43">
        <f>'Spain Crunch Output'!H335</f>
        <v>5.495229476240953E-2</v>
      </c>
      <c r="E249" s="43">
        <f>'Spain Crunch Output'!I335</f>
        <v>4.529597322695466E-2</v>
      </c>
    </row>
    <row r="250" spans="2:5" x14ac:dyDescent="0.35">
      <c r="B250" s="44">
        <v>4</v>
      </c>
      <c r="C250" s="43">
        <f>'Spain Crunch Output'!G336</f>
        <v>2.0932783725803979E-2</v>
      </c>
      <c r="D250" s="43">
        <f>'Spain Crunch Output'!H336</f>
        <v>2.0195591438719091E-2</v>
      </c>
      <c r="E250" s="43">
        <f>'Spain Crunch Output'!I336</f>
        <v>1.305771761390395E-2</v>
      </c>
    </row>
    <row r="251" spans="2:5" x14ac:dyDescent="0.35">
      <c r="B251" s="44">
        <v>3</v>
      </c>
      <c r="C251" s="43">
        <f>'Spain Crunch Output'!G337</f>
        <v>1.29207190398606E-2</v>
      </c>
      <c r="D251" s="43">
        <f>'Spain Crunch Output'!H337</f>
        <v>9.894138244822057E-3</v>
      </c>
      <c r="E251" s="43">
        <f>'Spain Crunch Output'!I337</f>
        <v>8.7812645874155611E-3</v>
      </c>
    </row>
    <row r="252" spans="2:5" x14ac:dyDescent="0.35">
      <c r="B252" s="44">
        <v>2</v>
      </c>
      <c r="C252" s="43">
        <f>'Spain Crunch Output'!G338</f>
        <v>1.9702775849123812E-2</v>
      </c>
      <c r="D252" s="43">
        <f>'Spain Crunch Output'!H338</f>
        <v>1.508754949756074E-2</v>
      </c>
      <c r="E252" s="43">
        <f>'Spain Crunch Output'!I338</f>
        <v>8.813661317603045E-3</v>
      </c>
    </row>
    <row r="253" spans="2:5" x14ac:dyDescent="0.35">
      <c r="B253" s="44">
        <v>1</v>
      </c>
      <c r="C253" s="43">
        <f>'Spain Crunch Output'!G339</f>
        <v>0</v>
      </c>
      <c r="D253" s="43">
        <f>'Spain Crunch Output'!H339</f>
        <v>0</v>
      </c>
      <c r="E253" s="43">
        <f>'Spain Crunch Output'!I339</f>
        <v>0</v>
      </c>
    </row>
    <row r="254" spans="2:5" x14ac:dyDescent="0.35">
      <c r="B254" s="44" t="s">
        <v>204</v>
      </c>
      <c r="C254" s="43">
        <f>'Spain Crunch Output'!G340</f>
        <v>1.4509142336458119E-2</v>
      </c>
      <c r="D254" s="43">
        <f>'Spain Crunch Output'!H340</f>
        <v>1.11104853876821E-2</v>
      </c>
      <c r="E254" s="43">
        <f>'Spain Crunch Output'!I340</f>
        <v>9.8607993409541798E-3</v>
      </c>
    </row>
    <row r="255" spans="2:5" ht="15" thickBot="1" x14ac:dyDescent="0.4">
      <c r="B255" s="57" t="s">
        <v>24</v>
      </c>
      <c r="C255" s="61">
        <f>'Spain Crunch Output'!G326</f>
        <v>153</v>
      </c>
      <c r="D255" s="61">
        <f>'Spain Crunch Output'!H326</f>
        <v>197</v>
      </c>
      <c r="E255" s="61">
        <f>'Spain Crunch Output'!I326</f>
        <v>220</v>
      </c>
    </row>
    <row r="257" spans="2:5" x14ac:dyDescent="0.35">
      <c r="B257" s="99" t="s">
        <v>628</v>
      </c>
      <c r="C257" s="39" t="s">
        <v>22</v>
      </c>
      <c r="D257" s="39" t="s">
        <v>22</v>
      </c>
      <c r="E257" s="39" t="s">
        <v>22</v>
      </c>
    </row>
    <row r="258" spans="2:5" x14ac:dyDescent="0.35">
      <c r="B258" s="100"/>
      <c r="C258" s="78">
        <f>'Spain Crunch Output'!G396</f>
        <v>17.70892577222364</v>
      </c>
      <c r="D258" s="78">
        <f>'Spain Crunch Output'!H396</f>
        <v>15.36849344555305</v>
      </c>
      <c r="E258" s="78">
        <f>'Spain Crunch Output'!I396</f>
        <v>16.677302393118559</v>
      </c>
    </row>
    <row r="259" spans="2:5" x14ac:dyDescent="0.35">
      <c r="B259" s="41" t="s">
        <v>336</v>
      </c>
      <c r="C259" s="42">
        <f>'Spain Crunch Output'!G382</f>
        <v>0.3716636366999958</v>
      </c>
      <c r="D259" s="42">
        <f>'Spain Crunch Output'!H382</f>
        <v>0.36132640211778261</v>
      </c>
      <c r="E259" s="42">
        <f>'Spain Crunch Output'!I382</f>
        <v>0.36889184263516639</v>
      </c>
    </row>
    <row r="260" spans="2:5" x14ac:dyDescent="0.35">
      <c r="B260" s="41" t="s">
        <v>194</v>
      </c>
      <c r="C260" s="42">
        <f>'Spain Crunch Output'!G383</f>
        <v>0.43376198432224528</v>
      </c>
      <c r="D260" s="42">
        <f>'Spain Crunch Output'!H383</f>
        <v>0.43103213021996561</v>
      </c>
      <c r="E260" s="42">
        <f>'Spain Crunch Output'!I383</f>
        <v>0.4289893386608527</v>
      </c>
    </row>
    <row r="261" spans="2:5" x14ac:dyDescent="0.35">
      <c r="B261" s="41" t="s">
        <v>195</v>
      </c>
      <c r="C261" s="42">
        <f>'Spain Crunch Output'!G384</f>
        <v>0.19457437897775931</v>
      </c>
      <c r="D261" s="42">
        <f>'Spain Crunch Output'!H384</f>
        <v>0.20764146766225211</v>
      </c>
      <c r="E261" s="42">
        <f>'Spain Crunch Output'!I384</f>
        <v>0.20211881870398091</v>
      </c>
    </row>
    <row r="262" spans="2:5" x14ac:dyDescent="0.35">
      <c r="B262" s="28" t="s">
        <v>196</v>
      </c>
      <c r="C262" s="43">
        <f>'Spain Crunch Output'!G385</f>
        <v>0.20209525835576081</v>
      </c>
      <c r="D262" s="43">
        <f>'Spain Crunch Output'!H385</f>
        <v>0.1878002944680465</v>
      </c>
      <c r="E262" s="43">
        <f>'Spain Crunch Output'!I385</f>
        <v>0.1946668076314074</v>
      </c>
    </row>
    <row r="263" spans="2:5" x14ac:dyDescent="0.35">
      <c r="B263" s="44">
        <v>9</v>
      </c>
      <c r="C263" s="43">
        <f>'Spain Crunch Output'!G386</f>
        <v>0.16956837834423499</v>
      </c>
      <c r="D263" s="43">
        <f>'Spain Crunch Output'!H386</f>
        <v>0.17352610764973611</v>
      </c>
      <c r="E263" s="43">
        <f>'Spain Crunch Output'!I386</f>
        <v>0.17422503500375891</v>
      </c>
    </row>
    <row r="264" spans="2:5" x14ac:dyDescent="0.35">
      <c r="B264" s="44">
        <v>8</v>
      </c>
      <c r="C264" s="43">
        <f>'Spain Crunch Output'!G387</f>
        <v>0.20978574492499</v>
      </c>
      <c r="D264" s="43">
        <f>'Spain Crunch Output'!H387</f>
        <v>0.2331767084327295</v>
      </c>
      <c r="E264" s="43">
        <f>'Spain Crunch Output'!I387</f>
        <v>0.23240590961457</v>
      </c>
    </row>
    <row r="265" spans="2:5" x14ac:dyDescent="0.35">
      <c r="B265" s="44">
        <v>7</v>
      </c>
      <c r="C265" s="43">
        <f>'Spain Crunch Output'!G388</f>
        <v>0.22397623939725531</v>
      </c>
      <c r="D265" s="43">
        <f>'Spain Crunch Output'!H388</f>
        <v>0.19785542178723611</v>
      </c>
      <c r="E265" s="43">
        <f>'Spain Crunch Output'!I388</f>
        <v>0.1965834290462827</v>
      </c>
    </row>
    <row r="266" spans="2:5" x14ac:dyDescent="0.35">
      <c r="B266" s="44">
        <v>6</v>
      </c>
      <c r="C266" s="43">
        <f>'Spain Crunch Output'!G389</f>
        <v>6.5004636734306981E-2</v>
      </c>
      <c r="D266" s="43">
        <f>'Spain Crunch Output'!H389</f>
        <v>6.1620452932805922E-2</v>
      </c>
      <c r="E266" s="43">
        <f>'Spain Crunch Output'!I389</f>
        <v>5.9981531121912617E-2</v>
      </c>
    </row>
    <row r="267" spans="2:5" x14ac:dyDescent="0.35">
      <c r="B267" s="44">
        <v>5</v>
      </c>
      <c r="C267" s="43">
        <f>'Spain Crunch Output'!G390</f>
        <v>7.663510185909915E-2</v>
      </c>
      <c r="D267" s="43">
        <f>'Spain Crunch Output'!H390</f>
        <v>9.0659242689069011E-2</v>
      </c>
      <c r="E267" s="43">
        <f>'Spain Crunch Output'!I390</f>
        <v>8.8247974950349098E-2</v>
      </c>
    </row>
    <row r="268" spans="2:5" x14ac:dyDescent="0.35">
      <c r="B268" s="44">
        <v>4</v>
      </c>
      <c r="C268" s="43">
        <f>'Spain Crunch Output'!G391</f>
        <v>2.2882661059838778E-2</v>
      </c>
      <c r="D268" s="43">
        <f>'Spain Crunch Output'!H391</f>
        <v>1.7484310466061921E-2</v>
      </c>
      <c r="E268" s="43">
        <f>'Spain Crunch Output'!I391</f>
        <v>1.7019279515989121E-2</v>
      </c>
    </row>
    <row r="269" spans="2:5" x14ac:dyDescent="0.35">
      <c r="B269" s="44">
        <v>3</v>
      </c>
      <c r="C269" s="43">
        <f>'Spain Crunch Output'!G392</f>
        <v>6.9702683419674413E-3</v>
      </c>
      <c r="D269" s="43">
        <f>'Spain Crunch Output'!H392</f>
        <v>1.1801201802969719E-2</v>
      </c>
      <c r="E269" s="43">
        <f>'Spain Crunch Output'!I392</f>
        <v>1.1487324736036589E-2</v>
      </c>
    </row>
    <row r="270" spans="2:5" x14ac:dyDescent="0.35">
      <c r="B270" s="44">
        <v>2</v>
      </c>
      <c r="C270" s="43">
        <f>'Spain Crunch Output'!G393</f>
        <v>6.9702683419674413E-3</v>
      </c>
      <c r="D270" s="43">
        <f>'Spain Crunch Output'!H393</f>
        <v>5.3258812602269973E-3</v>
      </c>
      <c r="E270" s="43">
        <f>'Spain Crunch Output'!I393</f>
        <v>5.1842285695346373E-3</v>
      </c>
    </row>
    <row r="271" spans="2:5" x14ac:dyDescent="0.35">
      <c r="B271" s="44">
        <v>1</v>
      </c>
      <c r="C271" s="43">
        <f>'Spain Crunch Output'!G394</f>
        <v>0</v>
      </c>
      <c r="D271" s="43">
        <f>'Spain Crunch Output'!H394</f>
        <v>0</v>
      </c>
      <c r="E271" s="43">
        <f>'Spain Crunch Output'!I394</f>
        <v>0</v>
      </c>
    </row>
    <row r="272" spans="2:5" x14ac:dyDescent="0.35">
      <c r="B272" s="44" t="s">
        <v>204</v>
      </c>
      <c r="C272" s="43">
        <f>'Spain Crunch Output'!G395</f>
        <v>1.6111442640579531E-2</v>
      </c>
      <c r="D272" s="43">
        <f>'Spain Crunch Output'!H395</f>
        <v>2.0750378511118481E-2</v>
      </c>
      <c r="E272" s="43">
        <f>'Spain Crunch Output'!I395</f>
        <v>2.0198479810158779E-2</v>
      </c>
    </row>
    <row r="273" spans="2:5" ht="15" thickBot="1" x14ac:dyDescent="0.4">
      <c r="B273" s="57" t="s">
        <v>24</v>
      </c>
      <c r="C273" s="61">
        <f>'Spain Crunch Output'!G381</f>
        <v>130</v>
      </c>
      <c r="D273" s="61">
        <f>'Spain Crunch Output'!H381</f>
        <v>171</v>
      </c>
      <c r="E273" s="61">
        <f>'Spain Crunch Output'!I381</f>
        <v>176</v>
      </c>
    </row>
    <row r="275" spans="2:5" x14ac:dyDescent="0.35">
      <c r="B275" s="99" t="s">
        <v>632</v>
      </c>
      <c r="C275" s="39" t="s">
        <v>22</v>
      </c>
      <c r="D275" s="39" t="s">
        <v>22</v>
      </c>
      <c r="E275" s="39" t="s">
        <v>22</v>
      </c>
    </row>
    <row r="276" spans="2:5" x14ac:dyDescent="0.35">
      <c r="B276" s="100"/>
      <c r="C276" s="78">
        <f>'Spain Crunch Output'!G415</f>
        <v>15.89117402177988</v>
      </c>
      <c r="D276" s="78">
        <f>'Spain Crunch Output'!H415</f>
        <v>14.409876543710171</v>
      </c>
      <c r="E276" s="78">
        <f>'Spain Crunch Output'!I415</f>
        <v>14.99453132887851</v>
      </c>
    </row>
    <row r="277" spans="2:5" x14ac:dyDescent="0.35">
      <c r="B277" s="41" t="s">
        <v>336</v>
      </c>
      <c r="C277" s="42">
        <f>'Spain Crunch Output'!G401</f>
        <v>0.3750918528244932</v>
      </c>
      <c r="D277" s="42">
        <f>'Spain Crunch Output'!H401</f>
        <v>0.36282883506859881</v>
      </c>
      <c r="E277" s="42">
        <f>'Spain Crunch Output'!I401</f>
        <v>0.36568645291588159</v>
      </c>
    </row>
    <row r="278" spans="2:5" x14ac:dyDescent="0.35">
      <c r="B278" s="41" t="s">
        <v>194</v>
      </c>
      <c r="C278" s="42">
        <f>'Spain Crunch Output'!G402</f>
        <v>0.40872803456881251</v>
      </c>
      <c r="D278" s="42">
        <f>'Spain Crunch Output'!H402</f>
        <v>0.41844109529990398</v>
      </c>
      <c r="E278" s="42">
        <f>'Spain Crunch Output'!I402</f>
        <v>0.4185724074570219</v>
      </c>
    </row>
    <row r="279" spans="2:5" x14ac:dyDescent="0.35">
      <c r="B279" s="41" t="s">
        <v>195</v>
      </c>
      <c r="C279" s="42">
        <f>'Spain Crunch Output'!G403</f>
        <v>0.2161801126066944</v>
      </c>
      <c r="D279" s="42">
        <f>'Spain Crunch Output'!H403</f>
        <v>0.21873006963149719</v>
      </c>
      <c r="E279" s="42">
        <f>'Spain Crunch Output'!I403</f>
        <v>0.21574113962709651</v>
      </c>
    </row>
    <row r="280" spans="2:5" x14ac:dyDescent="0.35">
      <c r="B280" s="28" t="s">
        <v>196</v>
      </c>
      <c r="C280" s="43">
        <f>'Spain Crunch Output'!G404</f>
        <v>0.2060887656684105</v>
      </c>
      <c r="D280" s="43">
        <f>'Spain Crunch Output'!H404</f>
        <v>0.19447388819006481</v>
      </c>
      <c r="E280" s="43">
        <f>'Spain Crunch Output'!I404</f>
        <v>0.19576845929943271</v>
      </c>
    </row>
    <row r="281" spans="2:5" x14ac:dyDescent="0.35">
      <c r="B281" s="44">
        <v>9</v>
      </c>
      <c r="C281" s="43">
        <f>'Spain Crunch Output'!G405</f>
        <v>0.1690030871560827</v>
      </c>
      <c r="D281" s="43">
        <f>'Spain Crunch Output'!H405</f>
        <v>0.16835494687853411</v>
      </c>
      <c r="E281" s="43">
        <f>'Spain Crunch Output'!I405</f>
        <v>0.16991799361644891</v>
      </c>
    </row>
    <row r="282" spans="2:5" x14ac:dyDescent="0.35">
      <c r="B282" s="44">
        <v>8</v>
      </c>
      <c r="C282" s="43">
        <f>'Spain Crunch Output'!G406</f>
        <v>0.25758863493705658</v>
      </c>
      <c r="D282" s="43">
        <f>'Spain Crunch Output'!H406</f>
        <v>0.26567522722658249</v>
      </c>
      <c r="E282" s="43">
        <f>'Spain Crunch Output'!I406</f>
        <v>0.26789407351881928</v>
      </c>
    </row>
    <row r="283" spans="2:5" x14ac:dyDescent="0.35">
      <c r="B283" s="44">
        <v>7</v>
      </c>
      <c r="C283" s="43">
        <f>'Spain Crunch Output'!G407</f>
        <v>0.15113939963175591</v>
      </c>
      <c r="D283" s="43">
        <f>'Spain Crunch Output'!H407</f>
        <v>0.15276586807332149</v>
      </c>
      <c r="E283" s="43">
        <f>'Spain Crunch Output'!I407</f>
        <v>0.15067833393820271</v>
      </c>
    </row>
    <row r="284" spans="2:5" x14ac:dyDescent="0.35">
      <c r="B284" s="44">
        <v>6</v>
      </c>
      <c r="C284" s="43">
        <f>'Spain Crunch Output'!G408</f>
        <v>0.1074010044104763</v>
      </c>
      <c r="D284" s="43">
        <f>'Spain Crunch Output'!H408</f>
        <v>0.1013612430831084</v>
      </c>
      <c r="E284" s="43">
        <f>'Spain Crunch Output'!I408</f>
        <v>9.9976149294929831E-2</v>
      </c>
    </row>
    <row r="285" spans="2:5" x14ac:dyDescent="0.35">
      <c r="B285" s="44">
        <v>5</v>
      </c>
      <c r="C285" s="43">
        <f>'Spain Crunch Output'!G409</f>
        <v>5.6473072596690217E-2</v>
      </c>
      <c r="D285" s="43">
        <f>'Spain Crunch Output'!H409</f>
        <v>6.6357109342872284E-2</v>
      </c>
      <c r="E285" s="43">
        <f>'Spain Crunch Output'!I409</f>
        <v>6.5450344418166884E-2</v>
      </c>
    </row>
    <row r="286" spans="2:5" x14ac:dyDescent="0.35">
      <c r="B286" s="44">
        <v>4</v>
      </c>
      <c r="C286" s="43">
        <f>'Spain Crunch Output'!G410</f>
        <v>2.4669437723606691E-2</v>
      </c>
      <c r="D286" s="43">
        <f>'Spain Crunch Output'!H410</f>
        <v>2.539711554286838E-2</v>
      </c>
      <c r="E286" s="43">
        <f>'Spain Crunch Output'!I410</f>
        <v>2.5050065862871469E-2</v>
      </c>
    </row>
    <row r="287" spans="2:5" x14ac:dyDescent="0.35">
      <c r="B287" s="44">
        <v>3</v>
      </c>
      <c r="C287" s="43">
        <f>'Spain Crunch Output'!G411</f>
        <v>9.9418703166077836E-3</v>
      </c>
      <c r="D287" s="43">
        <f>'Spain Crunch Output'!H411</f>
        <v>1.218918368634167E-2</v>
      </c>
      <c r="E287" s="43">
        <f>'Spain Crunch Output'!I411</f>
        <v>1.202261940503075E-2</v>
      </c>
    </row>
    <row r="288" spans="2:5" x14ac:dyDescent="0.35">
      <c r="B288" s="44">
        <v>2</v>
      </c>
      <c r="C288" s="43">
        <f>'Spain Crunch Output'!G412</f>
        <v>0</v>
      </c>
      <c r="D288" s="43">
        <f>'Spain Crunch Output'!H412</f>
        <v>0</v>
      </c>
      <c r="E288" s="43">
        <f>'Spain Crunch Output'!I412</f>
        <v>0</v>
      </c>
    </row>
    <row r="289" spans="2:5" x14ac:dyDescent="0.35">
      <c r="B289" s="44">
        <v>1</v>
      </c>
      <c r="C289" s="43">
        <f>'Spain Crunch Output'!G413</f>
        <v>0</v>
      </c>
      <c r="D289" s="43">
        <f>'Spain Crunch Output'!H413</f>
        <v>0</v>
      </c>
      <c r="E289" s="43">
        <f>'Spain Crunch Output'!I413</f>
        <v>0</v>
      </c>
    </row>
    <row r="290" spans="2:5" x14ac:dyDescent="0.35">
      <c r="B290" s="44" t="s">
        <v>204</v>
      </c>
      <c r="C290" s="43">
        <f>'Spain Crunch Output'!G414</f>
        <v>1.769472755931336E-2</v>
      </c>
      <c r="D290" s="43">
        <f>'Spain Crunch Output'!H414</f>
        <v>1.342541797630643E-2</v>
      </c>
      <c r="E290" s="43">
        <f>'Spain Crunch Output'!I414</f>
        <v>1.324196064609752E-2</v>
      </c>
    </row>
    <row r="291" spans="2:5" ht="15" thickBot="1" x14ac:dyDescent="0.4">
      <c r="B291" s="57" t="s">
        <v>24</v>
      </c>
      <c r="C291" s="61">
        <f>'Spain Crunch Output'!G400</f>
        <v>189</v>
      </c>
      <c r="D291" s="61">
        <f>'Spain Crunch Output'!H400</f>
        <v>247</v>
      </c>
      <c r="E291" s="61">
        <f>'Spain Crunch Output'!I400</f>
        <v>250</v>
      </c>
    </row>
    <row r="293" spans="2:5" x14ac:dyDescent="0.35">
      <c r="B293" s="99" t="s">
        <v>631</v>
      </c>
      <c r="C293" s="39" t="s">
        <v>22</v>
      </c>
      <c r="D293" s="39" t="s">
        <v>22</v>
      </c>
      <c r="E293" s="39" t="s">
        <v>22</v>
      </c>
    </row>
    <row r="294" spans="2:5" x14ac:dyDescent="0.35">
      <c r="B294" s="100"/>
      <c r="C294" s="78">
        <f>'Spain Crunch Output'!G434</f>
        <v>20.393141098002001</v>
      </c>
      <c r="D294" s="78">
        <f>'Spain Crunch Output'!H434</f>
        <v>23.658364409097381</v>
      </c>
      <c r="E294" s="78">
        <f>'Spain Crunch Output'!I434</f>
        <v>25.114441457831742</v>
      </c>
    </row>
    <row r="295" spans="2:5" x14ac:dyDescent="0.35">
      <c r="B295" s="41" t="s">
        <v>336</v>
      </c>
      <c r="C295" s="42">
        <f>'Spain Crunch Output'!G420</f>
        <v>0.39396255729772439</v>
      </c>
      <c r="D295" s="42">
        <f>'Spain Crunch Output'!H420</f>
        <v>0.40865611499491772</v>
      </c>
      <c r="E295" s="42">
        <f>'Spain Crunch Output'!I420</f>
        <v>0.41447196492943611</v>
      </c>
    </row>
    <row r="296" spans="2:5" x14ac:dyDescent="0.35">
      <c r="B296" s="41" t="s">
        <v>194</v>
      </c>
      <c r="C296" s="42">
        <f>'Spain Crunch Output'!G421</f>
        <v>0.41600629638457087</v>
      </c>
      <c r="D296" s="42">
        <f>'Spain Crunch Output'!H421</f>
        <v>0.41927141410113788</v>
      </c>
      <c r="E296" s="42">
        <f>'Spain Crunch Output'!I421</f>
        <v>0.42220048471944488</v>
      </c>
    </row>
    <row r="297" spans="2:5" x14ac:dyDescent="0.35">
      <c r="B297" s="41" t="s">
        <v>195</v>
      </c>
      <c r="C297" s="42">
        <f>'Spain Crunch Output'!G422</f>
        <v>0.19003114631770451</v>
      </c>
      <c r="D297" s="42">
        <f>'Spain Crunch Output'!H422</f>
        <v>0.17207247090394409</v>
      </c>
      <c r="E297" s="42">
        <f>'Spain Crunch Output'!I422</f>
        <v>0.16332755035111879</v>
      </c>
    </row>
    <row r="298" spans="2:5" x14ac:dyDescent="0.35">
      <c r="B298" s="28" t="s">
        <v>196</v>
      </c>
      <c r="C298" s="42">
        <f>'Spain Crunch Output'!G423</f>
        <v>0.2016898803734638</v>
      </c>
      <c r="D298" s="43">
        <f>'Spain Crunch Output'!H423</f>
        <v>0.19988121070256121</v>
      </c>
      <c r="E298" s="43">
        <f>'Spain Crunch Output'!I423</f>
        <v>0.19893713991251999</v>
      </c>
    </row>
    <row r="299" spans="2:5" x14ac:dyDescent="0.35">
      <c r="B299" s="44">
        <v>9</v>
      </c>
      <c r="C299" s="42">
        <f>'Spain Crunch Output'!G424</f>
        <v>0.19227267692426059</v>
      </c>
      <c r="D299" s="43">
        <f>'Spain Crunch Output'!H424</f>
        <v>0.20877490429235659</v>
      </c>
      <c r="E299" s="43">
        <f>'Spain Crunch Output'!I424</f>
        <v>0.21553482501691609</v>
      </c>
    </row>
    <row r="300" spans="2:5" x14ac:dyDescent="0.35">
      <c r="B300" s="44">
        <v>8</v>
      </c>
      <c r="C300" s="42">
        <f>'Spain Crunch Output'!G425</f>
        <v>0.23179732515977669</v>
      </c>
      <c r="D300" s="43">
        <f>'Spain Crunch Output'!H425</f>
        <v>0.23989215725981719</v>
      </c>
      <c r="E300" s="43">
        <f>'Spain Crunch Output'!I425</f>
        <v>0.24948038541260989</v>
      </c>
    </row>
    <row r="301" spans="2:5" x14ac:dyDescent="0.35">
      <c r="B301" s="44">
        <v>7</v>
      </c>
      <c r="C301" s="42">
        <f>'Spain Crunch Output'!G426</f>
        <v>0.18420897122479421</v>
      </c>
      <c r="D301" s="43">
        <f>'Spain Crunch Output'!H426</f>
        <v>0.17937925684132069</v>
      </c>
      <c r="E301" s="43">
        <f>'Spain Crunch Output'!I426</f>
        <v>0.17272009930683499</v>
      </c>
    </row>
    <row r="302" spans="2:5" x14ac:dyDescent="0.35">
      <c r="B302" s="44">
        <v>6</v>
      </c>
      <c r="C302" s="42">
        <f>'Spain Crunch Output'!G427</f>
        <v>7.035827473173395E-2</v>
      </c>
      <c r="D302" s="43">
        <f>'Spain Crunch Output'!H427</f>
        <v>7.2001499428012636E-2</v>
      </c>
      <c r="E302" s="43">
        <f>'Spain Crunch Output'!I427</f>
        <v>6.8342300551663904E-2</v>
      </c>
    </row>
    <row r="303" spans="2:5" x14ac:dyDescent="0.35">
      <c r="B303" s="44">
        <v>5</v>
      </c>
      <c r="C303" s="42">
        <f>'Spain Crunch Output'!G428</f>
        <v>6.3094890270608148E-2</v>
      </c>
      <c r="D303" s="43">
        <f>'Spain Crunch Output'!H428</f>
        <v>5.2723563180073992E-2</v>
      </c>
      <c r="E303" s="43">
        <f>'Spain Crunch Output'!I428</f>
        <v>5.0044091159654247E-2</v>
      </c>
    </row>
    <row r="304" spans="2:5" x14ac:dyDescent="0.35">
      <c r="B304" s="44">
        <v>4</v>
      </c>
      <c r="C304" s="42">
        <f>'Spain Crunch Output'!G429</f>
        <v>1.9183916669259671E-2</v>
      </c>
      <c r="D304" s="43">
        <f>'Spain Crunch Output'!H429</f>
        <v>1.3373151957850349E-2</v>
      </c>
      <c r="E304" s="43">
        <f>'Spain Crunch Output'!I429</f>
        <v>1.2693513019687229E-2</v>
      </c>
    </row>
    <row r="305" spans="2:5" x14ac:dyDescent="0.35">
      <c r="B305" s="44">
        <v>3</v>
      </c>
      <c r="C305" s="42">
        <f>'Spain Crunch Output'!G430</f>
        <v>1.4799294477082789E-2</v>
      </c>
      <c r="D305" s="43">
        <f>'Spain Crunch Output'!H430</f>
        <v>1.5311398071993439E-2</v>
      </c>
      <c r="E305" s="43">
        <f>'Spain Crunch Output'!I430</f>
        <v>1.453325524072667E-2</v>
      </c>
    </row>
    <row r="306" spans="2:5" x14ac:dyDescent="0.35">
      <c r="B306" s="44">
        <v>2</v>
      </c>
      <c r="C306" s="42">
        <f>'Spain Crunch Output'!G431</f>
        <v>6.7505431935407601E-3</v>
      </c>
      <c r="D306" s="43">
        <f>'Spain Crunch Output'!H431</f>
        <v>7.6178115922401106E-3</v>
      </c>
      <c r="E306" s="43">
        <f>'Spain Crunch Output'!I431</f>
        <v>7.2306656600025334E-3</v>
      </c>
    </row>
    <row r="307" spans="2:5" x14ac:dyDescent="0.35">
      <c r="B307" s="44">
        <v>1</v>
      </c>
      <c r="C307" s="42">
        <f>'Spain Crunch Output'!G432</f>
        <v>0</v>
      </c>
      <c r="D307" s="43">
        <f>'Spain Crunch Output'!H432</f>
        <v>0</v>
      </c>
      <c r="E307" s="43">
        <f>'Spain Crunch Output'!I432</f>
        <v>0</v>
      </c>
    </row>
    <row r="308" spans="2:5" x14ac:dyDescent="0.35">
      <c r="B308" s="44" t="s">
        <v>204</v>
      </c>
      <c r="C308" s="42">
        <f>'Spain Crunch Output'!G433</f>
        <v>1.58442269754792E-2</v>
      </c>
      <c r="D308" s="43">
        <f>'Spain Crunch Output'!H433</f>
        <v>1.1045046673773529E-2</v>
      </c>
      <c r="E308" s="43">
        <f>'Spain Crunch Output'!I433</f>
        <v>1.0483724719384239E-2</v>
      </c>
    </row>
    <row r="309" spans="2:5" ht="15" thickBot="1" x14ac:dyDescent="0.4">
      <c r="B309" s="57" t="s">
        <v>24</v>
      </c>
      <c r="C309" s="61">
        <f>'Spain Crunch Output'!G419</f>
        <v>277</v>
      </c>
      <c r="D309" s="61">
        <f>'Spain Crunch Output'!H419</f>
        <v>390</v>
      </c>
      <c r="E309" s="61">
        <f>'Spain Crunch Output'!I419</f>
        <v>412</v>
      </c>
    </row>
    <row r="311" spans="2:5" x14ac:dyDescent="0.35">
      <c r="B311" s="99" t="s">
        <v>617</v>
      </c>
      <c r="C311" s="39" t="s">
        <v>22</v>
      </c>
      <c r="D311" s="39" t="s">
        <v>22</v>
      </c>
      <c r="E311" s="39" t="s">
        <v>22</v>
      </c>
    </row>
    <row r="312" spans="2:5" x14ac:dyDescent="0.35">
      <c r="B312" s="100"/>
      <c r="C312" s="78">
        <f>'Spain Crunch Output'!G453</f>
        <v>6.50893541416856</v>
      </c>
      <c r="D312" s="78">
        <f>'Spain Crunch Output'!H453</f>
        <v>11.99771160740378</v>
      </c>
      <c r="E312" s="78">
        <f>'Spain Crunch Output'!I453</f>
        <v>12.78970848634388</v>
      </c>
    </row>
    <row r="313" spans="2:5" x14ac:dyDescent="0.35">
      <c r="B313" s="41" t="s">
        <v>336</v>
      </c>
      <c r="C313" s="42">
        <f>'Spain Crunch Output'!G439</f>
        <v>0.30269302150809391</v>
      </c>
      <c r="D313" s="42">
        <f>'Spain Crunch Output'!H439</f>
        <v>0.35205332390477362</v>
      </c>
      <c r="E313" s="42">
        <f>'Spain Crunch Output'!I439</f>
        <v>0.35881145900524958</v>
      </c>
    </row>
    <row r="314" spans="2:5" x14ac:dyDescent="0.35">
      <c r="B314" s="41" t="s">
        <v>194</v>
      </c>
      <c r="C314" s="42">
        <f>'Spain Crunch Output'!G440</f>
        <v>0.45970331112549778</v>
      </c>
      <c r="D314" s="42">
        <f>'Spain Crunch Output'!H440</f>
        <v>0.41587046826449042</v>
      </c>
      <c r="E314" s="42">
        <f>'Spain Crunch Output'!I440</f>
        <v>0.41027416685293933</v>
      </c>
    </row>
    <row r="315" spans="2:5" x14ac:dyDescent="0.35">
      <c r="B315" s="41" t="s">
        <v>195</v>
      </c>
      <c r="C315" s="42">
        <f>'Spain Crunch Output'!G441</f>
        <v>0.2376036673664082</v>
      </c>
      <c r="D315" s="42">
        <f>'Spain Crunch Output'!H441</f>
        <v>0.23207620783073579</v>
      </c>
      <c r="E315" s="42">
        <f>'Spain Crunch Output'!I441</f>
        <v>0.2309143741418109</v>
      </c>
    </row>
    <row r="316" spans="2:5" x14ac:dyDescent="0.35">
      <c r="B316" s="28" t="s">
        <v>196</v>
      </c>
      <c r="C316" s="43">
        <f>'Spain Crunch Output'!G442</f>
        <v>0.14193092473729449</v>
      </c>
      <c r="D316" s="43">
        <f>'Spain Crunch Output'!H442</f>
        <v>0.17572427743885241</v>
      </c>
      <c r="E316" s="43">
        <f>'Spain Crunch Output'!I442</f>
        <v>0.17716038705876261</v>
      </c>
    </row>
    <row r="317" spans="2:5" x14ac:dyDescent="0.35">
      <c r="B317" s="44">
        <v>9</v>
      </c>
      <c r="C317" s="43">
        <f>'Spain Crunch Output'!G443</f>
        <v>0.16076209677079939</v>
      </c>
      <c r="D317" s="43">
        <f>'Spain Crunch Output'!H443</f>
        <v>0.17632904646592129</v>
      </c>
      <c r="E317" s="43">
        <f>'Spain Crunch Output'!I443</f>
        <v>0.18165107194648711</v>
      </c>
    </row>
    <row r="318" spans="2:5" x14ac:dyDescent="0.35">
      <c r="B318" s="44">
        <v>8</v>
      </c>
      <c r="C318" s="43">
        <f>'Spain Crunch Output'!G444</f>
        <v>0.32382573874100401</v>
      </c>
      <c r="D318" s="43">
        <f>'Spain Crunch Output'!H444</f>
        <v>0.28957297762474399</v>
      </c>
      <c r="E318" s="43">
        <f>'Spain Crunch Output'!I444</f>
        <v>0.28487566425261079</v>
      </c>
    </row>
    <row r="319" spans="2:5" x14ac:dyDescent="0.35">
      <c r="B319" s="44">
        <v>7</v>
      </c>
      <c r="C319" s="43">
        <f>'Spain Crunch Output'!G445</f>
        <v>0.13587757238449391</v>
      </c>
      <c r="D319" s="43">
        <f>'Spain Crunch Output'!H445</f>
        <v>0.12629749063974641</v>
      </c>
      <c r="E319" s="43">
        <f>'Spain Crunch Output'!I445</f>
        <v>0.12539850260032839</v>
      </c>
    </row>
    <row r="320" spans="2:5" x14ac:dyDescent="0.35">
      <c r="B320" s="44">
        <v>6</v>
      </c>
      <c r="C320" s="43">
        <f>'Spain Crunch Output'!G446</f>
        <v>9.8437930244950553E-2</v>
      </c>
      <c r="D320" s="43">
        <f>'Spain Crunch Output'!H446</f>
        <v>9.6212762814022815E-2</v>
      </c>
      <c r="E320" s="43">
        <f>'Spain Crunch Output'!I446</f>
        <v>9.3438295196543855E-2</v>
      </c>
    </row>
    <row r="321" spans="2:5" x14ac:dyDescent="0.35">
      <c r="B321" s="44">
        <v>5</v>
      </c>
      <c r="C321" s="43">
        <f>'Spain Crunch Output'!G447</f>
        <v>6.322695762005473E-2</v>
      </c>
      <c r="D321" s="43">
        <f>'Spain Crunch Output'!H447</f>
        <v>5.4884566170647429E-2</v>
      </c>
      <c r="E321" s="43">
        <f>'Spain Crunch Output'!I447</f>
        <v>5.3301871244464012E-2</v>
      </c>
    </row>
    <row r="322" spans="2:5" x14ac:dyDescent="0.35">
      <c r="B322" s="44">
        <v>4</v>
      </c>
      <c r="C322" s="43">
        <f>'Spain Crunch Output'!G448</f>
        <v>4.1576270180462983E-2</v>
      </c>
      <c r="D322" s="43">
        <f>'Spain Crunch Output'!H448</f>
        <v>3.5518688107683188E-2</v>
      </c>
      <c r="E322" s="43">
        <f>'Spain Crunch Output'!I448</f>
        <v>4.0024943116073033E-2</v>
      </c>
    </row>
    <row r="323" spans="2:5" x14ac:dyDescent="0.35">
      <c r="B323" s="44">
        <v>3</v>
      </c>
      <c r="C323" s="43">
        <f>'Spain Crunch Output'!G449</f>
        <v>9.0192091829337205E-3</v>
      </c>
      <c r="D323" s="43">
        <f>'Spain Crunch Output'!H449</f>
        <v>1.581688492627693E-2</v>
      </c>
      <c r="E323" s="43">
        <f>'Spain Crunch Output'!I449</f>
        <v>1.536077667458717E-2</v>
      </c>
    </row>
    <row r="324" spans="2:5" x14ac:dyDescent="0.35">
      <c r="B324" s="44">
        <v>2</v>
      </c>
      <c r="C324" s="43">
        <f>'Spain Crunch Output'!G450</f>
        <v>8.8251968432027858E-3</v>
      </c>
      <c r="D324" s="43">
        <f>'Spain Crunch Output'!H450</f>
        <v>1.121010206323232E-2</v>
      </c>
      <c r="E324" s="43">
        <f>'Spain Crunch Output'!I450</f>
        <v>1.0886838659777289E-2</v>
      </c>
    </row>
    <row r="325" spans="2:5" x14ac:dyDescent="0.35">
      <c r="B325" s="44">
        <v>1</v>
      </c>
      <c r="C325" s="43">
        <f>'Spain Crunch Output'!G451</f>
        <v>4.3134288974760512E-3</v>
      </c>
      <c r="D325" s="43">
        <f>'Spain Crunch Output'!H451</f>
        <v>3.230725773968319E-3</v>
      </c>
      <c r="E325" s="43">
        <f>'Spain Crunch Output'!I451</f>
        <v>3.1375620004868731E-3</v>
      </c>
    </row>
    <row r="326" spans="2:5" x14ac:dyDescent="0.35">
      <c r="B326" s="44" t="s">
        <v>204</v>
      </c>
      <c r="C326" s="43">
        <f>'Spain Crunch Output'!G452</f>
        <v>1.2204674397327409E-2</v>
      </c>
      <c r="D326" s="43">
        <f>'Spain Crunch Output'!H452</f>
        <v>1.5202477974904861E-2</v>
      </c>
      <c r="E326" s="43">
        <f>'Spain Crunch Output'!I452</f>
        <v>1.4764087249878689E-2</v>
      </c>
    </row>
    <row r="327" spans="2:5" ht="15" thickBot="1" x14ac:dyDescent="0.4">
      <c r="B327" s="57" t="s">
        <v>24</v>
      </c>
      <c r="C327" s="61">
        <f>'Spain Crunch Output'!G438</f>
        <v>192</v>
      </c>
      <c r="D327" s="61">
        <f>'Spain Crunch Output'!H438</f>
        <v>256</v>
      </c>
      <c r="E327" s="61">
        <f>'Spain Crunch Output'!I438</f>
        <v>264</v>
      </c>
    </row>
  </sheetData>
  <conditionalFormatting sqref="C21:E21 C39:E39 C57:E57 C75:E75 C93:E93 C111:E111 C129:E129 C147:E147 C165:E165 C183:E183 C201:E201 C219:E219 C237:E237 C255:E255 C273:E273 C291:E291 C309:E309 C327:E327">
    <cfRule type="expression" dxfId="1" priority="8">
      <formula>C21&lt;100</formula>
    </cfRule>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8B5B-AA77-4B2F-AE76-62F4F022CDB9}">
  <dimension ref="A1:I458"/>
  <sheetViews>
    <sheetView topLeftCell="A431" workbookViewId="0">
      <selection activeCell="M3" sqref="M3"/>
    </sheetView>
  </sheetViews>
  <sheetFormatPr defaultRowHeight="14.5" x14ac:dyDescent="0.35"/>
  <cols>
    <col min="1" max="1" width="25.7265625" customWidth="1"/>
    <col min="2" max="9" width="12.7265625" customWidth="1"/>
  </cols>
  <sheetData>
    <row r="1" spans="1:9" ht="26" x14ac:dyDescent="0.6">
      <c r="A1" s="9" t="s">
        <v>413</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636</v>
      </c>
      <c r="H5" s="13" t="s">
        <v>641</v>
      </c>
      <c r="I5" s="13" t="s">
        <v>647</v>
      </c>
    </row>
    <row r="6" spans="1:9" x14ac:dyDescent="0.35">
      <c r="A6" s="14" t="s">
        <v>209</v>
      </c>
      <c r="B6" s="15">
        <v>228</v>
      </c>
      <c r="C6" s="15">
        <v>64</v>
      </c>
      <c r="D6" s="15">
        <v>129</v>
      </c>
      <c r="E6" s="15">
        <v>179</v>
      </c>
      <c r="F6" s="15">
        <v>228</v>
      </c>
      <c r="G6" s="15">
        <v>287</v>
      </c>
      <c r="H6" s="15">
        <v>346</v>
      </c>
      <c r="I6" s="15">
        <v>337</v>
      </c>
    </row>
    <row r="7" spans="1:9" x14ac:dyDescent="0.35">
      <c r="A7" s="16" t="s">
        <v>336</v>
      </c>
      <c r="B7" s="17">
        <v>0.51233780493575576</v>
      </c>
      <c r="C7" s="17">
        <v>0.53618932229870508</v>
      </c>
      <c r="D7" s="17">
        <v>0.54065050982872409</v>
      </c>
      <c r="E7" s="17">
        <v>0.52659711821900013</v>
      </c>
      <c r="F7" s="17">
        <v>0.51233780493575587</v>
      </c>
      <c r="G7" s="17">
        <v>0.50999232441834608</v>
      </c>
      <c r="H7" s="17">
        <v>0.50127838649650491</v>
      </c>
      <c r="I7" s="17">
        <v>0.50282839377720367</v>
      </c>
    </row>
    <row r="8" spans="1:9" x14ac:dyDescent="0.35">
      <c r="A8" s="16" t="s">
        <v>194</v>
      </c>
      <c r="B8" s="17">
        <v>0.36039650263532802</v>
      </c>
      <c r="C8" s="17">
        <v>0.28756380291368749</v>
      </c>
      <c r="D8" s="17">
        <v>0.3153988811846794</v>
      </c>
      <c r="E8" s="154">
        <v>0.33261444395982331</v>
      </c>
      <c r="F8" s="17">
        <v>0.36039650263532802</v>
      </c>
      <c r="G8" s="17">
        <v>0.35959261911834522</v>
      </c>
      <c r="H8" s="17">
        <v>0.35961024069119879</v>
      </c>
      <c r="I8" s="17">
        <v>0.37295258459274783</v>
      </c>
    </row>
    <row r="9" spans="1:9" x14ac:dyDescent="0.35">
      <c r="A9" s="16" t="s">
        <v>195</v>
      </c>
      <c r="B9" s="17">
        <v>0.12726569242891619</v>
      </c>
      <c r="C9" s="17">
        <v>0.17624687478760739</v>
      </c>
      <c r="D9" s="17">
        <v>0.14395060898659651</v>
      </c>
      <c r="E9" s="17">
        <v>0.1407884378211767</v>
      </c>
      <c r="F9" s="17">
        <v>0.12726569242891619</v>
      </c>
      <c r="G9" s="17">
        <v>0.130415056463309</v>
      </c>
      <c r="H9" s="17">
        <v>0.13911137281229649</v>
      </c>
      <c r="I9" s="17">
        <v>0.1242190216300484</v>
      </c>
    </row>
    <row r="10" spans="1:9" x14ac:dyDescent="0.35">
      <c r="A10" s="14" t="s">
        <v>210</v>
      </c>
      <c r="B10" s="18">
        <v>0.2352880220907895</v>
      </c>
      <c r="C10" s="18">
        <v>0.20131792878985649</v>
      </c>
      <c r="D10" s="18">
        <v>0.23414089534188159</v>
      </c>
      <c r="E10" s="18">
        <v>0.2349880096220627</v>
      </c>
      <c r="F10" s="18">
        <v>0.2352880220907895</v>
      </c>
      <c r="G10" s="18">
        <v>0.2484887354602078</v>
      </c>
      <c r="H10" s="18">
        <v>0.22647852247138919</v>
      </c>
      <c r="I10" s="18">
        <v>0.25556002428880159</v>
      </c>
    </row>
    <row r="11" spans="1:9" x14ac:dyDescent="0.35">
      <c r="A11" s="14" t="s">
        <v>197</v>
      </c>
      <c r="B11" s="18">
        <v>0.27704978284496629</v>
      </c>
      <c r="C11" s="18">
        <v>0.33487139350884848</v>
      </c>
      <c r="D11" s="18">
        <v>0.30650961448684239</v>
      </c>
      <c r="E11" s="18">
        <v>0.29160910859693728</v>
      </c>
      <c r="F11" s="18">
        <v>0.2770497828449664</v>
      </c>
      <c r="G11" s="18">
        <v>0.26150358895813819</v>
      </c>
      <c r="H11" s="18">
        <v>0.27479986402511558</v>
      </c>
      <c r="I11" s="18">
        <v>0.24726836948840211</v>
      </c>
    </row>
    <row r="12" spans="1:9" x14ac:dyDescent="0.35">
      <c r="A12" s="14" t="s">
        <v>198</v>
      </c>
      <c r="B12" s="18">
        <v>0.242356149241684</v>
      </c>
      <c r="C12" s="18">
        <v>0.20723359976579081</v>
      </c>
      <c r="D12" s="18">
        <v>0.2321632744726384</v>
      </c>
      <c r="E12" s="18">
        <v>0.2355441786843116</v>
      </c>
      <c r="F12" s="18">
        <v>0.24235614924168411</v>
      </c>
      <c r="G12" s="18">
        <v>0.23734427279019071</v>
      </c>
      <c r="H12" s="18">
        <v>0.22720198197822761</v>
      </c>
      <c r="I12" s="18">
        <v>0.2270805606244683</v>
      </c>
    </row>
    <row r="13" spans="1:9" x14ac:dyDescent="0.35">
      <c r="A13" s="14" t="s">
        <v>199</v>
      </c>
      <c r="B13" s="18">
        <v>0.11804035339364401</v>
      </c>
      <c r="C13" s="18">
        <v>8.0330203147896642E-2</v>
      </c>
      <c r="D13" s="23">
        <v>8.3235606712040985E-2</v>
      </c>
      <c r="E13" s="23">
        <v>9.7070265275511713E-2</v>
      </c>
      <c r="F13" s="18">
        <v>0.11804035339364401</v>
      </c>
      <c r="G13" s="18">
        <v>0.1222483463281545</v>
      </c>
      <c r="H13" s="18">
        <v>0.13240825871297121</v>
      </c>
      <c r="I13" s="18">
        <v>0.14587202396827961</v>
      </c>
    </row>
    <row r="14" spans="1:9" x14ac:dyDescent="0.35">
      <c r="A14" s="14" t="s">
        <v>200</v>
      </c>
      <c r="B14" s="18">
        <v>6.0485181776241168E-2</v>
      </c>
      <c r="C14" s="19">
        <v>0.1114834946434346</v>
      </c>
      <c r="D14" s="18">
        <v>6.5024427658759362E-2</v>
      </c>
      <c r="E14" s="18">
        <v>5.6030433818745708E-2</v>
      </c>
      <c r="F14" s="18">
        <v>6.0485181776241168E-2</v>
      </c>
      <c r="G14" s="18">
        <v>5.2457943961601618E-2</v>
      </c>
      <c r="H14" s="18">
        <v>5.5770645749650932E-2</v>
      </c>
      <c r="I14" s="24">
        <v>3.5745816130433192E-2</v>
      </c>
    </row>
    <row r="15" spans="1:9" x14ac:dyDescent="0.35">
      <c r="A15" s="14" t="s">
        <v>201</v>
      </c>
      <c r="B15" s="18">
        <v>3.2266278625175962E-2</v>
      </c>
      <c r="C15" s="18">
        <v>3.1416153492257133E-2</v>
      </c>
      <c r="D15" s="18">
        <v>3.2386041431457242E-2</v>
      </c>
      <c r="E15" s="18">
        <v>4.0952447744522731E-2</v>
      </c>
      <c r="F15" s="18">
        <v>3.2266278625175962E-2</v>
      </c>
      <c r="G15" s="18">
        <v>4.2051963127562909E-2</v>
      </c>
      <c r="H15" s="18">
        <v>4.5811590352242117E-2</v>
      </c>
      <c r="I15" s="18">
        <v>4.7662069542681533E-2</v>
      </c>
    </row>
    <row r="16" spans="1:9" x14ac:dyDescent="0.35">
      <c r="A16" s="14" t="s">
        <v>202</v>
      </c>
      <c r="B16" s="18">
        <v>8.0465939959041537E-3</v>
      </c>
      <c r="C16" s="18">
        <v>0</v>
      </c>
      <c r="D16" s="18">
        <v>6.5396981651260943E-3</v>
      </c>
      <c r="E16" s="18">
        <v>1.021275877415684E-2</v>
      </c>
      <c r="F16" s="18">
        <v>8.0465939959041537E-3</v>
      </c>
      <c r="G16" s="18">
        <v>6.3200089700762444E-3</v>
      </c>
      <c r="H16" s="18">
        <v>5.2567709986767689E-3</v>
      </c>
      <c r="I16" s="18">
        <v>7.591286534376596E-3</v>
      </c>
    </row>
    <row r="17" spans="1:9" x14ac:dyDescent="0.35">
      <c r="A17" s="14" t="s">
        <v>211</v>
      </c>
      <c r="B17" s="18">
        <v>1.21043712394439E-2</v>
      </c>
      <c r="C17" s="18">
        <v>0</v>
      </c>
      <c r="D17" s="18">
        <v>1.5175157944216949E-2</v>
      </c>
      <c r="E17" s="18">
        <v>1.53629005818122E-2</v>
      </c>
      <c r="F17" s="18">
        <v>1.21043712394439E-2</v>
      </c>
      <c r="G17" s="18">
        <v>1.2709528633113179E-2</v>
      </c>
      <c r="H17" s="18">
        <v>1.057135865498548E-2</v>
      </c>
      <c r="I17" s="18">
        <v>1.4234424443654249E-2</v>
      </c>
    </row>
    <row r="18" spans="1:9" x14ac:dyDescent="0.35">
      <c r="A18" s="14" t="s">
        <v>212</v>
      </c>
      <c r="B18" s="18">
        <v>4.7677604881636547E-3</v>
      </c>
      <c r="C18" s="18">
        <v>0</v>
      </c>
      <c r="D18" s="18">
        <v>8.2405353085806474E-3</v>
      </c>
      <c r="E18" s="18">
        <v>6.0512544541649156E-3</v>
      </c>
      <c r="F18" s="18">
        <v>4.7677604881636547E-3</v>
      </c>
      <c r="G18" s="18">
        <v>3.7447259135613411E-3</v>
      </c>
      <c r="H18" s="18">
        <v>7.7055103684843338E-3</v>
      </c>
      <c r="I18" s="18">
        <v>7.9117959135367923E-3</v>
      </c>
    </row>
    <row r="19" spans="1:9" x14ac:dyDescent="0.35">
      <c r="A19" s="14" t="s">
        <v>203</v>
      </c>
      <c r="B19" s="18">
        <v>0</v>
      </c>
      <c r="C19" s="18">
        <v>0</v>
      </c>
      <c r="D19" s="18">
        <v>0</v>
      </c>
      <c r="E19" s="18">
        <v>0</v>
      </c>
      <c r="F19" s="18">
        <v>0</v>
      </c>
      <c r="G19" s="18">
        <v>2.9271979227155579E-3</v>
      </c>
      <c r="H19" s="18">
        <v>2.4347448271631799E-3</v>
      </c>
      <c r="I19" s="18">
        <v>5.6398639140912152E-3</v>
      </c>
    </row>
    <row r="20" spans="1:9" x14ac:dyDescent="0.35">
      <c r="A20" s="14" t="s">
        <v>204</v>
      </c>
      <c r="B20" s="18">
        <v>9.5955063039873233E-3</v>
      </c>
      <c r="C20" s="19">
        <v>3.3347226651915703E-2</v>
      </c>
      <c r="D20" s="18">
        <v>1.6584748478456191E-2</v>
      </c>
      <c r="E20" s="18">
        <v>1.217864244777426E-2</v>
      </c>
      <c r="F20" s="18">
        <v>9.5955063039873233E-3</v>
      </c>
      <c r="G20" s="18">
        <v>1.020368793467809E-2</v>
      </c>
      <c r="H20" s="18">
        <v>1.156075186109371E-2</v>
      </c>
      <c r="I20" s="21">
        <v>5.4337651512747958E-3</v>
      </c>
    </row>
    <row r="21" spans="1:9" x14ac:dyDescent="0.35">
      <c r="A21" s="14" t="s">
        <v>213</v>
      </c>
      <c r="B21" s="1">
        <v>38.507211250683973</v>
      </c>
      <c r="C21" s="1">
        <v>35.994244751109761</v>
      </c>
      <c r="D21" s="1">
        <v>39.669990084212763</v>
      </c>
      <c r="E21" s="1">
        <v>38.580868039782338</v>
      </c>
      <c r="F21" s="1">
        <v>38.507211250683973</v>
      </c>
      <c r="G21" s="1">
        <v>37.95772679550371</v>
      </c>
      <c r="H21" s="1">
        <v>36.216701368420843</v>
      </c>
      <c r="I21" s="1">
        <v>37.860937214715527</v>
      </c>
    </row>
    <row r="23" spans="1:9" x14ac:dyDescent="0.35">
      <c r="C23" s="187"/>
      <c r="D23" s="187"/>
      <c r="E23" s="187"/>
      <c r="F23" s="187"/>
      <c r="G23" s="170"/>
      <c r="H23" s="170"/>
      <c r="I23" s="170"/>
    </row>
    <row r="24" spans="1:9" ht="29" x14ac:dyDescent="0.35">
      <c r="A24" s="12" t="s">
        <v>553</v>
      </c>
      <c r="B24" s="13" t="s">
        <v>208</v>
      </c>
      <c r="C24" s="13" t="s">
        <v>458</v>
      </c>
      <c r="D24" s="13" t="s">
        <v>466</v>
      </c>
      <c r="E24" s="13" t="s">
        <v>467</v>
      </c>
      <c r="F24" s="13" t="s">
        <v>468</v>
      </c>
      <c r="G24" s="13" t="s">
        <v>636</v>
      </c>
      <c r="H24" s="13" t="s">
        <v>641</v>
      </c>
      <c r="I24" s="13" t="s">
        <v>647</v>
      </c>
    </row>
    <row r="25" spans="1:9" x14ac:dyDescent="0.35">
      <c r="A25" s="14" t="s">
        <v>209</v>
      </c>
      <c r="B25" s="15">
        <v>251</v>
      </c>
      <c r="C25" s="15">
        <v>55</v>
      </c>
      <c r="D25" s="15">
        <v>126</v>
      </c>
      <c r="E25" s="15">
        <v>191</v>
      </c>
      <c r="F25" s="15">
        <v>251</v>
      </c>
      <c r="G25" s="15">
        <v>308</v>
      </c>
      <c r="H25" s="15">
        <v>365</v>
      </c>
      <c r="I25" s="15">
        <v>383</v>
      </c>
    </row>
    <row r="26" spans="1:9" x14ac:dyDescent="0.35">
      <c r="A26" s="16" t="s">
        <v>336</v>
      </c>
      <c r="B26" s="17">
        <v>0.4231801611179058</v>
      </c>
      <c r="C26" s="17">
        <v>0.4078086446218333</v>
      </c>
      <c r="D26" s="154">
        <v>0.36324836568008251</v>
      </c>
      <c r="E26" s="17">
        <v>0.43794434988193959</v>
      </c>
      <c r="F26" s="17">
        <v>0.42318016111790568</v>
      </c>
      <c r="G26" s="17">
        <v>0.42407561369708541</v>
      </c>
      <c r="H26" s="17">
        <v>0.43021147877345722</v>
      </c>
      <c r="I26" s="17">
        <v>0.43440451835422911</v>
      </c>
    </row>
    <row r="27" spans="1:9" x14ac:dyDescent="0.35">
      <c r="A27" s="16" t="s">
        <v>194</v>
      </c>
      <c r="B27" s="17">
        <v>0.41684323159756409</v>
      </c>
      <c r="C27" s="17">
        <v>0.36735392237950032</v>
      </c>
      <c r="D27" s="17">
        <v>0.4371090682163139</v>
      </c>
      <c r="E27" s="154">
        <v>0.38785224930614642</v>
      </c>
      <c r="F27" s="17">
        <v>0.4168432315975642</v>
      </c>
      <c r="G27" s="17">
        <v>0.42187313429707468</v>
      </c>
      <c r="H27" s="17">
        <v>0.41477775753905699</v>
      </c>
      <c r="I27" s="17">
        <v>0.40978959196299342</v>
      </c>
    </row>
    <row r="28" spans="1:9" x14ac:dyDescent="0.35">
      <c r="A28" s="16" t="s">
        <v>195</v>
      </c>
      <c r="B28" s="17">
        <v>0.15997660728453</v>
      </c>
      <c r="C28" s="17">
        <v>0.22483743299866649</v>
      </c>
      <c r="D28" s="153">
        <v>0.1996425661036034</v>
      </c>
      <c r="E28" s="17">
        <v>0.17420340081191379</v>
      </c>
      <c r="F28" s="17">
        <v>0.15997660728453009</v>
      </c>
      <c r="G28" s="17">
        <v>0.15405125200583991</v>
      </c>
      <c r="H28" s="17">
        <v>0.15501076368748579</v>
      </c>
      <c r="I28" s="17">
        <v>0.15580588968277739</v>
      </c>
    </row>
    <row r="29" spans="1:9" x14ac:dyDescent="0.35">
      <c r="A29" s="14" t="s">
        <v>210</v>
      </c>
      <c r="B29" s="18">
        <v>0.20642863058079849</v>
      </c>
      <c r="C29" s="18">
        <v>0.20817021738871691</v>
      </c>
      <c r="D29" s="21">
        <v>0.14545220413118159</v>
      </c>
      <c r="E29" s="18">
        <v>0.1925577079161819</v>
      </c>
      <c r="F29" s="18">
        <v>0.20642863058079841</v>
      </c>
      <c r="G29" s="18">
        <v>0.21071623713437629</v>
      </c>
      <c r="H29" s="18">
        <v>0.23739286388025979</v>
      </c>
      <c r="I29" s="18">
        <v>0.2342501727998452</v>
      </c>
    </row>
    <row r="30" spans="1:9" x14ac:dyDescent="0.35">
      <c r="A30" s="14" t="s">
        <v>197</v>
      </c>
      <c r="B30" s="18">
        <v>0.2167515305371073</v>
      </c>
      <c r="C30" s="18">
        <v>0.19963842723311639</v>
      </c>
      <c r="D30" s="18">
        <v>0.217796161548901</v>
      </c>
      <c r="E30" s="19">
        <v>0.24538664196575771</v>
      </c>
      <c r="F30" s="18">
        <v>0.2167515305371073</v>
      </c>
      <c r="G30" s="18">
        <v>0.21335937656270909</v>
      </c>
      <c r="H30" s="18">
        <v>0.19281861489319729</v>
      </c>
      <c r="I30" s="18">
        <v>0.2001543455543838</v>
      </c>
    </row>
    <row r="31" spans="1:9" x14ac:dyDescent="0.35">
      <c r="A31" s="14" t="s">
        <v>198</v>
      </c>
      <c r="B31" s="18">
        <v>0.25977331000852372</v>
      </c>
      <c r="C31" s="18">
        <v>0.19917459012059549</v>
      </c>
      <c r="D31" s="18">
        <v>0.25741402149558062</v>
      </c>
      <c r="E31" s="18">
        <v>0.2358762360878392</v>
      </c>
      <c r="F31" s="18">
        <v>0.25977331000852377</v>
      </c>
      <c r="G31" s="18">
        <v>0.26860604847348002</v>
      </c>
      <c r="H31" s="18">
        <v>0.27075969988812681</v>
      </c>
      <c r="I31" s="18">
        <v>0.27118688359883109</v>
      </c>
    </row>
    <row r="32" spans="1:9" x14ac:dyDescent="0.35">
      <c r="A32" s="14" t="s">
        <v>199</v>
      </c>
      <c r="B32" s="18">
        <v>0.1570699215890404</v>
      </c>
      <c r="C32" s="18">
        <v>0.16817933225890469</v>
      </c>
      <c r="D32" s="18">
        <v>0.17969504672073339</v>
      </c>
      <c r="E32" s="18">
        <v>0.15197601321830731</v>
      </c>
      <c r="F32" s="18">
        <v>0.15706992158904051</v>
      </c>
      <c r="G32" s="18">
        <v>0.15326708582359469</v>
      </c>
      <c r="H32" s="18">
        <v>0.1440180576509302</v>
      </c>
      <c r="I32" s="18">
        <v>0.1386027083641623</v>
      </c>
    </row>
    <row r="33" spans="1:9" x14ac:dyDescent="0.35">
      <c r="A33" s="14" t="s">
        <v>200</v>
      </c>
      <c r="B33" s="18">
        <v>5.9406345962022877E-2</v>
      </c>
      <c r="C33" s="18">
        <v>3.12344884820841E-2</v>
      </c>
      <c r="D33" s="18">
        <v>5.5214080509822232E-2</v>
      </c>
      <c r="E33" s="18">
        <v>6.6046076699031064E-2</v>
      </c>
      <c r="F33" s="18">
        <v>5.9406345962022877E-2</v>
      </c>
      <c r="G33" s="18">
        <v>6.2693360487320507E-2</v>
      </c>
      <c r="H33" s="25">
        <v>6.2014241065134597E-2</v>
      </c>
      <c r="I33" s="18">
        <v>6.7215592467503429E-2</v>
      </c>
    </row>
    <row r="34" spans="1:9" x14ac:dyDescent="0.35">
      <c r="A34" s="14" t="s">
        <v>201</v>
      </c>
      <c r="B34" s="18">
        <v>5.3655637858899818E-2</v>
      </c>
      <c r="C34" s="18">
        <v>8.4045092583302214E-2</v>
      </c>
      <c r="D34" s="18">
        <v>5.8089089753310702E-2</v>
      </c>
      <c r="E34" s="18">
        <v>5.1051935841020753E-2</v>
      </c>
      <c r="F34" s="18">
        <v>5.3655637858899832E-2</v>
      </c>
      <c r="G34" s="18">
        <v>4.6018720448319547E-2</v>
      </c>
      <c r="H34" s="18">
        <v>4.4092678372981101E-2</v>
      </c>
      <c r="I34" s="18">
        <v>4.1530193695743622E-2</v>
      </c>
    </row>
    <row r="35" spans="1:9" x14ac:dyDescent="0.35">
      <c r="A35" s="14" t="s">
        <v>202</v>
      </c>
      <c r="B35" s="18">
        <v>9.1981785838460926E-3</v>
      </c>
      <c r="C35" s="18">
        <v>1.966489880953946E-2</v>
      </c>
      <c r="D35" s="18">
        <v>1.8200922438101279E-2</v>
      </c>
      <c r="E35" s="18">
        <v>1.2038198004700729E-2</v>
      </c>
      <c r="F35" s="18">
        <v>9.1981785838460943E-3</v>
      </c>
      <c r="G35" s="18">
        <v>1.4879679258345029E-2</v>
      </c>
      <c r="H35" s="18">
        <v>1.258319199320738E-2</v>
      </c>
      <c r="I35" s="18">
        <v>1.4773079627114129E-2</v>
      </c>
    </row>
    <row r="36" spans="1:9" x14ac:dyDescent="0.35">
      <c r="A36" s="14" t="s">
        <v>211</v>
      </c>
      <c r="B36" s="18">
        <v>1.0893393380201819E-2</v>
      </c>
      <c r="C36" s="19">
        <v>3.6245996560111883E-2</v>
      </c>
      <c r="D36" s="20">
        <v>2.1555333612350409E-2</v>
      </c>
      <c r="E36" s="18">
        <v>1.425682544197057E-2</v>
      </c>
      <c r="F36" s="18">
        <v>1.089339338020183E-2</v>
      </c>
      <c r="G36" s="18">
        <v>8.7974152263120449E-3</v>
      </c>
      <c r="H36" s="18">
        <v>1.187847198032327E-2</v>
      </c>
      <c r="I36" s="21">
        <v>6.1709238988043556E-3</v>
      </c>
    </row>
    <row r="37" spans="1:9" x14ac:dyDescent="0.35">
      <c r="A37" s="14" t="s">
        <v>212</v>
      </c>
      <c r="B37" s="18">
        <v>7.5553837257419029E-3</v>
      </c>
      <c r="C37" s="18">
        <v>1.8349046462411069E-2</v>
      </c>
      <c r="D37" s="18">
        <v>1.4950237368061741E-2</v>
      </c>
      <c r="E37" s="18">
        <v>9.8881756276951657E-3</v>
      </c>
      <c r="F37" s="18">
        <v>7.5553837257419047E-3</v>
      </c>
      <c r="G37" s="18">
        <v>6.1016659831888481E-3</v>
      </c>
      <c r="H37" s="18">
        <v>5.1599522551420461E-3</v>
      </c>
      <c r="I37" s="18">
        <v>7.8154158740080457E-3</v>
      </c>
    </row>
    <row r="38" spans="1:9" x14ac:dyDescent="0.35">
      <c r="A38" s="14" t="s">
        <v>203</v>
      </c>
      <c r="B38" s="18">
        <v>5.0187803276945794E-3</v>
      </c>
      <c r="C38" s="18">
        <v>0</v>
      </c>
      <c r="D38" s="18">
        <v>9.930926068195808E-3</v>
      </c>
      <c r="E38" s="18">
        <v>6.5683733769845544E-3</v>
      </c>
      <c r="F38" s="18">
        <v>5.0187803276945794E-3</v>
      </c>
      <c r="G38" s="18">
        <v>4.0531258655012066E-3</v>
      </c>
      <c r="H38" s="18">
        <v>9.5509447954145957E-3</v>
      </c>
      <c r="I38" s="18">
        <v>1.119198941417906E-2</v>
      </c>
    </row>
    <row r="39" spans="1:9" x14ac:dyDescent="0.35">
      <c r="A39" s="14" t="s">
        <v>204</v>
      </c>
      <c r="B39" s="18">
        <v>1.424888744612293E-2</v>
      </c>
      <c r="C39" s="18">
        <v>3.5297910101217779E-2</v>
      </c>
      <c r="D39" s="18">
        <v>2.1701976353761199E-2</v>
      </c>
      <c r="E39" s="18">
        <v>1.4353815820510931E-2</v>
      </c>
      <c r="F39" s="18">
        <v>1.424888744612293E-2</v>
      </c>
      <c r="G39" s="18">
        <v>1.1507284736852679E-2</v>
      </c>
      <c r="H39" s="18">
        <v>9.7312832252828465E-3</v>
      </c>
      <c r="I39" s="23">
        <v>7.1086947054247356E-3</v>
      </c>
    </row>
    <row r="40" spans="1:9" x14ac:dyDescent="0.35">
      <c r="A40" s="14" t="s">
        <v>213</v>
      </c>
      <c r="B40" s="1">
        <v>26.320355383337571</v>
      </c>
      <c r="C40" s="1">
        <v>18.297121162316682</v>
      </c>
      <c r="D40" s="1">
        <v>16.360579957647921</v>
      </c>
      <c r="E40" s="1">
        <v>26.374094907002579</v>
      </c>
      <c r="F40" s="1">
        <v>26.32035538333756</v>
      </c>
      <c r="G40" s="1">
        <v>27.002436169124561</v>
      </c>
      <c r="H40" s="1">
        <v>27.52007150859712</v>
      </c>
      <c r="I40" s="1">
        <v>27.859862867145171</v>
      </c>
    </row>
    <row r="42" spans="1:9" x14ac:dyDescent="0.35">
      <c r="C42" s="187"/>
      <c r="D42" s="187"/>
      <c r="E42" s="187"/>
      <c r="F42" s="187"/>
      <c r="G42" s="170"/>
      <c r="H42" s="170"/>
      <c r="I42" s="170"/>
    </row>
    <row r="43" spans="1:9" ht="29" x14ac:dyDescent="0.35">
      <c r="A43" s="12" t="s">
        <v>592</v>
      </c>
      <c r="B43" s="13" t="s">
        <v>208</v>
      </c>
      <c r="C43" s="13" t="s">
        <v>458</v>
      </c>
      <c r="D43" s="13" t="s">
        <v>466</v>
      </c>
      <c r="E43" s="13" t="s">
        <v>467</v>
      </c>
      <c r="F43" s="13" t="s">
        <v>468</v>
      </c>
      <c r="G43" s="13" t="s">
        <v>636</v>
      </c>
      <c r="H43" s="13" t="s">
        <v>641</v>
      </c>
      <c r="I43" s="13" t="s">
        <v>647</v>
      </c>
    </row>
    <row r="44" spans="1:9" x14ac:dyDescent="0.35">
      <c r="A44" s="14" t="s">
        <v>209</v>
      </c>
      <c r="B44" s="15">
        <v>196</v>
      </c>
      <c r="C44" s="15">
        <v>37</v>
      </c>
      <c r="D44" s="15">
        <v>100</v>
      </c>
      <c r="E44" s="15">
        <v>158</v>
      </c>
      <c r="F44" s="15">
        <v>196</v>
      </c>
      <c r="G44" s="15">
        <v>239</v>
      </c>
      <c r="H44" s="15">
        <v>284</v>
      </c>
      <c r="I44" s="15">
        <v>306</v>
      </c>
    </row>
    <row r="45" spans="1:9" x14ac:dyDescent="0.35">
      <c r="A45" s="16" t="s">
        <v>336</v>
      </c>
      <c r="B45" s="17">
        <v>0.38711397683233251</v>
      </c>
      <c r="C45" s="17">
        <v>0.41392594224870799</v>
      </c>
      <c r="D45" s="17">
        <v>0.35417489592690837</v>
      </c>
      <c r="E45" s="17">
        <v>0.38987742714469692</v>
      </c>
      <c r="F45" s="17">
        <v>0.38711397683233251</v>
      </c>
      <c r="G45" s="17">
        <v>0.39365787194970248</v>
      </c>
      <c r="H45" s="17">
        <v>0.39600938708388778</v>
      </c>
      <c r="I45" s="17">
        <v>0.42542656676288632</v>
      </c>
    </row>
    <row r="46" spans="1:9" x14ac:dyDescent="0.35">
      <c r="A46" s="16" t="s">
        <v>194</v>
      </c>
      <c r="B46" s="17">
        <v>0.36089394497392607</v>
      </c>
      <c r="C46" s="17">
        <v>0.25442566952775358</v>
      </c>
      <c r="D46" s="17">
        <v>0.34929256655323843</v>
      </c>
      <c r="E46" s="17">
        <v>0.33420459725854063</v>
      </c>
      <c r="F46" s="17">
        <v>0.36089394497392607</v>
      </c>
      <c r="G46" s="17">
        <v>0.35864587879836179</v>
      </c>
      <c r="H46" s="17">
        <v>0.35900728414649957</v>
      </c>
      <c r="I46" s="17">
        <v>0.35802421435246329</v>
      </c>
    </row>
    <row r="47" spans="1:9" x14ac:dyDescent="0.35">
      <c r="A47" s="16" t="s">
        <v>195</v>
      </c>
      <c r="B47" s="17">
        <v>0.25199207819374142</v>
      </c>
      <c r="C47" s="17">
        <v>0.33164838822353832</v>
      </c>
      <c r="D47" s="17">
        <v>0.29653253751985309</v>
      </c>
      <c r="E47" s="17">
        <v>0.27591797559676251</v>
      </c>
      <c r="F47" s="152">
        <v>0.25199207819374142</v>
      </c>
      <c r="G47" s="17">
        <v>0.2476962492519357</v>
      </c>
      <c r="H47" s="17">
        <v>0.2449833287696126</v>
      </c>
      <c r="I47" s="17">
        <v>0.2165492188846499</v>
      </c>
    </row>
    <row r="48" spans="1:9" x14ac:dyDescent="0.35">
      <c r="A48" s="14" t="s">
        <v>210</v>
      </c>
      <c r="B48" s="18">
        <v>0.19713283833561621</v>
      </c>
      <c r="C48" s="18">
        <v>0.1912502387098183</v>
      </c>
      <c r="D48" s="18">
        <v>0.18606485768138739</v>
      </c>
      <c r="E48" s="18">
        <v>0.1976358874411743</v>
      </c>
      <c r="F48" s="18">
        <v>0.19713283833561621</v>
      </c>
      <c r="G48" s="18">
        <v>0.1911953740795812</v>
      </c>
      <c r="H48" s="18">
        <v>0.1932211632211161</v>
      </c>
      <c r="I48" s="18">
        <v>0.22218226430350599</v>
      </c>
    </row>
    <row r="49" spans="1:9" x14ac:dyDescent="0.35">
      <c r="A49" s="14" t="s">
        <v>197</v>
      </c>
      <c r="B49" s="18">
        <v>0.1899811384967163</v>
      </c>
      <c r="C49" s="18">
        <v>0.2226757035388898</v>
      </c>
      <c r="D49" s="18">
        <v>0.16811003824552101</v>
      </c>
      <c r="E49" s="18">
        <v>0.19224153970352259</v>
      </c>
      <c r="F49" s="18">
        <v>0.1899811384967163</v>
      </c>
      <c r="G49" s="18">
        <v>0.20246249787012141</v>
      </c>
      <c r="H49" s="18">
        <v>0.2027882238627717</v>
      </c>
      <c r="I49" s="18">
        <v>0.20324430245938019</v>
      </c>
    </row>
    <row r="50" spans="1:9" x14ac:dyDescent="0.35">
      <c r="A50" s="14" t="s">
        <v>198</v>
      </c>
      <c r="B50" s="18">
        <v>0.22745932149617859</v>
      </c>
      <c r="C50" s="18">
        <v>0.13295151819217699</v>
      </c>
      <c r="D50" s="23">
        <v>0.1719864204466563</v>
      </c>
      <c r="E50" s="23">
        <v>0.2010481579531298</v>
      </c>
      <c r="F50" s="18">
        <v>0.22745932149617859</v>
      </c>
      <c r="G50" s="18">
        <v>0.23287758213840809</v>
      </c>
      <c r="H50" s="18">
        <v>0.2298594824723959</v>
      </c>
      <c r="I50" s="18">
        <v>0.24021843642081109</v>
      </c>
    </row>
    <row r="51" spans="1:9" x14ac:dyDescent="0.35">
      <c r="A51" s="14" t="s">
        <v>199</v>
      </c>
      <c r="B51" s="18">
        <v>0.13343462347774759</v>
      </c>
      <c r="C51" s="18">
        <v>0.1214741513355766</v>
      </c>
      <c r="D51" s="20">
        <v>0.1773061461065821</v>
      </c>
      <c r="E51" s="18">
        <v>0.13315643930541091</v>
      </c>
      <c r="F51" s="25">
        <v>0.13343462347774759</v>
      </c>
      <c r="G51" s="18">
        <v>0.1257682966599537</v>
      </c>
      <c r="H51" s="18">
        <v>0.1291478016741037</v>
      </c>
      <c r="I51" s="18">
        <v>0.1178057779316522</v>
      </c>
    </row>
    <row r="52" spans="1:9" x14ac:dyDescent="0.35">
      <c r="A52" s="14" t="s">
        <v>200</v>
      </c>
      <c r="B52" s="18">
        <v>9.67952262406271E-2</v>
      </c>
      <c r="C52" s="18">
        <v>0.1527568527807586</v>
      </c>
      <c r="D52" s="20">
        <v>0.1350060816172011</v>
      </c>
      <c r="E52" s="19">
        <v>0.1201415778545257</v>
      </c>
      <c r="F52" s="18">
        <v>9.67952262406271E-2</v>
      </c>
      <c r="G52" s="18">
        <v>9.2465653418700069E-2</v>
      </c>
      <c r="H52" s="18">
        <v>8.7744661601003415E-2</v>
      </c>
      <c r="I52" s="23">
        <v>7.2357177124502195E-2</v>
      </c>
    </row>
    <row r="53" spans="1:9" x14ac:dyDescent="0.35">
      <c r="A53" s="14" t="s">
        <v>201</v>
      </c>
      <c r="B53" s="18">
        <v>8.2327699284939951E-2</v>
      </c>
      <c r="C53" s="18">
        <v>0.11204245451616721</v>
      </c>
      <c r="D53" s="18">
        <v>9.495940057783063E-2</v>
      </c>
      <c r="E53" s="18">
        <v>8.4851063228891369E-2</v>
      </c>
      <c r="F53" s="18">
        <v>8.2327699284939951E-2</v>
      </c>
      <c r="G53" s="18">
        <v>8.5423667616811125E-2</v>
      </c>
      <c r="H53" s="18">
        <v>9.1610340202270976E-2</v>
      </c>
      <c r="I53" s="18">
        <v>8.5353752798794272E-2</v>
      </c>
    </row>
    <row r="54" spans="1:9" x14ac:dyDescent="0.35">
      <c r="A54" s="14" t="s">
        <v>202</v>
      </c>
      <c r="B54" s="18">
        <v>0</v>
      </c>
      <c r="C54" s="18">
        <v>0</v>
      </c>
      <c r="D54" s="18">
        <v>0</v>
      </c>
      <c r="E54" s="18">
        <v>0</v>
      </c>
      <c r="F54" s="18">
        <v>0</v>
      </c>
      <c r="G54" s="18">
        <v>6.7970298813053104E-3</v>
      </c>
      <c r="H54" s="18">
        <v>5.7285306890548227E-3</v>
      </c>
      <c r="I54" s="18">
        <v>5.2804061084161117E-3</v>
      </c>
    </row>
    <row r="55" spans="1:9" x14ac:dyDescent="0.35">
      <c r="A55" s="14" t="s">
        <v>211</v>
      </c>
      <c r="B55" s="18">
        <v>1.0362197158190719E-2</v>
      </c>
      <c r="C55" s="18">
        <v>0</v>
      </c>
      <c r="D55" s="18">
        <v>8.4770643837948287E-3</v>
      </c>
      <c r="E55" s="18">
        <v>1.286148878385689E-2</v>
      </c>
      <c r="F55" s="18">
        <v>1.0362197158190719E-2</v>
      </c>
      <c r="G55" s="18">
        <v>8.5010756901487388E-3</v>
      </c>
      <c r="H55" s="18">
        <v>1.1222767798563481E-2</v>
      </c>
      <c r="I55" s="18">
        <v>1.307410534418646E-2</v>
      </c>
    </row>
    <row r="56" spans="1:9" x14ac:dyDescent="0.35">
      <c r="A56" s="14" t="s">
        <v>212</v>
      </c>
      <c r="B56" s="18">
        <v>3.4268597948724909E-2</v>
      </c>
      <c r="C56" s="18">
        <v>3.3905274560560007E-2</v>
      </c>
      <c r="D56" s="18">
        <v>3.2993085034443002E-2</v>
      </c>
      <c r="E56" s="18">
        <v>3.0290178173576109E-2</v>
      </c>
      <c r="F56" s="18">
        <v>3.4268597948724909E-2</v>
      </c>
      <c r="G56" s="18">
        <v>3.1342267200308437E-2</v>
      </c>
      <c r="H56" s="18">
        <v>2.641523469175085E-2</v>
      </c>
      <c r="I56" s="18">
        <v>2.0279268191816909E-2</v>
      </c>
    </row>
    <row r="57" spans="1:9" x14ac:dyDescent="0.35">
      <c r="A57" s="14" t="s">
        <v>203</v>
      </c>
      <c r="B57" s="18">
        <v>9.7103481435777839E-3</v>
      </c>
      <c r="C57" s="18">
        <v>0</v>
      </c>
      <c r="D57" s="18">
        <v>0</v>
      </c>
      <c r="E57" s="18">
        <v>4.7768280174620712E-3</v>
      </c>
      <c r="F57" s="18">
        <v>9.7103481435777839E-3</v>
      </c>
      <c r="G57" s="18">
        <v>7.966303216012471E-3</v>
      </c>
      <c r="H57" s="18">
        <v>6.7139932070564498E-3</v>
      </c>
      <c r="I57" s="18">
        <v>9.8271474755828453E-3</v>
      </c>
    </row>
    <row r="58" spans="1:9" x14ac:dyDescent="0.35">
      <c r="A58" s="14" t="s">
        <v>204</v>
      </c>
      <c r="B58" s="18">
        <v>1.8528009417680971E-2</v>
      </c>
      <c r="C58" s="18">
        <v>3.294380636605259E-2</v>
      </c>
      <c r="D58" s="18">
        <v>2.5096905906583641E-2</v>
      </c>
      <c r="E58" s="18">
        <v>2.2996839538450369E-2</v>
      </c>
      <c r="F58" s="18">
        <v>1.8528009417680971E-2</v>
      </c>
      <c r="G58" s="18">
        <v>1.520025222864955E-2</v>
      </c>
      <c r="H58" s="18">
        <v>1.5547800579912591E-2</v>
      </c>
      <c r="I58" s="18">
        <v>1.03773618413511E-2</v>
      </c>
    </row>
    <row r="59" spans="1:9" x14ac:dyDescent="0.35">
      <c r="A59" s="14" t="s">
        <v>213</v>
      </c>
      <c r="B59" s="1">
        <v>13.51218986385911</v>
      </c>
      <c r="C59" s="1">
        <v>8.2277554025169728</v>
      </c>
      <c r="D59" s="1">
        <v>5.7642358407055223</v>
      </c>
      <c r="E59" s="1">
        <v>11.39594515479344</v>
      </c>
      <c r="F59" s="1">
        <v>13.512189863859099</v>
      </c>
      <c r="G59" s="1">
        <v>14.596162269776681</v>
      </c>
      <c r="H59" s="1">
        <v>15.102605831427519</v>
      </c>
      <c r="I59" s="1">
        <v>20.88773478782365</v>
      </c>
    </row>
    <row r="61" spans="1:9" x14ac:dyDescent="0.35">
      <c r="C61" s="187"/>
      <c r="D61" s="187"/>
      <c r="E61" s="187"/>
      <c r="F61" s="187"/>
      <c r="G61" s="170"/>
      <c r="H61" s="170"/>
      <c r="I61" s="170"/>
    </row>
    <row r="62" spans="1:9" ht="29" x14ac:dyDescent="0.35">
      <c r="A62" s="12" t="s">
        <v>593</v>
      </c>
      <c r="B62" s="13" t="s">
        <v>208</v>
      </c>
      <c r="C62" s="13" t="s">
        <v>458</v>
      </c>
      <c r="D62" s="13" t="s">
        <v>466</v>
      </c>
      <c r="E62" s="13" t="s">
        <v>467</v>
      </c>
      <c r="F62" s="13" t="s">
        <v>468</v>
      </c>
      <c r="G62" s="13" t="s">
        <v>636</v>
      </c>
      <c r="H62" s="13" t="s">
        <v>641</v>
      </c>
      <c r="I62" s="13" t="s">
        <v>647</v>
      </c>
    </row>
    <row r="63" spans="1:9" x14ac:dyDescent="0.35">
      <c r="A63" s="14" t="s">
        <v>209</v>
      </c>
      <c r="B63" s="15">
        <v>92</v>
      </c>
      <c r="C63" s="15">
        <v>23</v>
      </c>
      <c r="D63" s="15">
        <v>50</v>
      </c>
      <c r="E63" s="15">
        <v>77</v>
      </c>
      <c r="F63" s="15">
        <v>92</v>
      </c>
      <c r="G63" s="15">
        <v>109</v>
      </c>
      <c r="H63" s="15">
        <v>137</v>
      </c>
      <c r="I63" s="15">
        <v>143</v>
      </c>
    </row>
    <row r="64" spans="1:9" x14ac:dyDescent="0.35">
      <c r="A64" s="16" t="s">
        <v>336</v>
      </c>
      <c r="B64" s="17">
        <v>0.36420525567347017</v>
      </c>
      <c r="C64" s="17">
        <v>0.31523946743885478</v>
      </c>
      <c r="D64" s="17">
        <v>0.39268548706169321</v>
      </c>
      <c r="E64" s="17">
        <v>0.37363156961621591</v>
      </c>
      <c r="F64" s="17">
        <v>0.36420525567347017</v>
      </c>
      <c r="G64" s="17">
        <v>0.36225048290258549</v>
      </c>
      <c r="H64" s="17">
        <v>0.39522663724143492</v>
      </c>
      <c r="I64" s="17">
        <v>0.44519315711985658</v>
      </c>
    </row>
    <row r="65" spans="1:9" x14ac:dyDescent="0.35">
      <c r="A65" s="16" t="s">
        <v>194</v>
      </c>
      <c r="B65" s="17">
        <v>0.51164441489329937</v>
      </c>
      <c r="C65" s="17">
        <v>0.58400088170925446</v>
      </c>
      <c r="D65" s="17">
        <v>0.51209179781766367</v>
      </c>
      <c r="E65" s="17">
        <v>0.51554937359818764</v>
      </c>
      <c r="F65" s="17">
        <v>0.51164441489329937</v>
      </c>
      <c r="G65" s="17">
        <v>0.50867949132880907</v>
      </c>
      <c r="H65" s="17">
        <v>0.46331106744487699</v>
      </c>
      <c r="I65" s="17">
        <v>0.4351060375401597</v>
      </c>
    </row>
    <row r="66" spans="1:9" x14ac:dyDescent="0.35">
      <c r="A66" s="16" t="s">
        <v>195</v>
      </c>
      <c r="B66" s="17">
        <v>0.1241503294332304</v>
      </c>
      <c r="C66" s="17">
        <v>0.1007596508518908</v>
      </c>
      <c r="D66" s="17">
        <v>9.5222715120643203E-2</v>
      </c>
      <c r="E66" s="17">
        <v>0.1108190567855965</v>
      </c>
      <c r="F66" s="17">
        <v>0.1241503294332304</v>
      </c>
      <c r="G66" s="17">
        <v>0.12907002576860541</v>
      </c>
      <c r="H66" s="17">
        <v>0.14146229531368781</v>
      </c>
      <c r="I66" s="17">
        <v>0.1197008053399837</v>
      </c>
    </row>
    <row r="67" spans="1:9" x14ac:dyDescent="0.35">
      <c r="A67" s="14" t="s">
        <v>210</v>
      </c>
      <c r="B67" s="18">
        <v>0.2029053907872222</v>
      </c>
      <c r="C67" s="18">
        <v>8.7861626167514612E-2</v>
      </c>
      <c r="D67" s="18">
        <v>0.2052020370284631</v>
      </c>
      <c r="E67" s="18">
        <v>0.2031107645504599</v>
      </c>
      <c r="F67" s="18">
        <v>0.20290539078722231</v>
      </c>
      <c r="G67" s="18">
        <v>0.18452323676574689</v>
      </c>
      <c r="H67" s="18">
        <v>0.21228877164542931</v>
      </c>
      <c r="I67" s="20">
        <v>0.26439248475957677</v>
      </c>
    </row>
    <row r="68" spans="1:9" x14ac:dyDescent="0.35">
      <c r="A68" s="14" t="s">
        <v>197</v>
      </c>
      <c r="B68" s="18">
        <v>0.1612998648862479</v>
      </c>
      <c r="C68" s="18">
        <v>0.2273778412713402</v>
      </c>
      <c r="D68" s="18">
        <v>0.18748345003323019</v>
      </c>
      <c r="E68" s="18">
        <v>0.17052080506575601</v>
      </c>
      <c r="F68" s="18">
        <v>0.16129986488624801</v>
      </c>
      <c r="G68" s="18">
        <v>0.1777272461368386</v>
      </c>
      <c r="H68" s="18">
        <v>0.18293786559600561</v>
      </c>
      <c r="I68" s="18">
        <v>0.1808006723602798</v>
      </c>
    </row>
    <row r="69" spans="1:9" x14ac:dyDescent="0.35">
      <c r="A69" s="14" t="s">
        <v>198</v>
      </c>
      <c r="B69" s="18">
        <v>0.33842851952921671</v>
      </c>
      <c r="C69" s="18">
        <v>0.35462202856168079</v>
      </c>
      <c r="D69" s="18">
        <v>0.30145104078915669</v>
      </c>
      <c r="E69" s="18">
        <v>0.32387376858503891</v>
      </c>
      <c r="F69" s="18">
        <v>0.33842851952921671</v>
      </c>
      <c r="G69" s="18">
        <v>0.33554228226074528</v>
      </c>
      <c r="H69" s="18">
        <v>0.29931772621177172</v>
      </c>
      <c r="I69" s="18">
        <v>0.3022206314935369</v>
      </c>
    </row>
    <row r="70" spans="1:9" x14ac:dyDescent="0.35">
      <c r="A70" s="14" t="s">
        <v>199</v>
      </c>
      <c r="B70" s="18">
        <v>0.17321589536408269</v>
      </c>
      <c r="C70" s="18">
        <v>0.2293788531475737</v>
      </c>
      <c r="D70" s="18">
        <v>0.2106407570285069</v>
      </c>
      <c r="E70" s="18">
        <v>0.1916756050131487</v>
      </c>
      <c r="F70" s="18">
        <v>0.17321589536408269</v>
      </c>
      <c r="G70" s="18">
        <v>0.17313720906806379</v>
      </c>
      <c r="H70" s="18">
        <v>0.16399334123310541</v>
      </c>
      <c r="I70" s="18">
        <v>0.13288540604662269</v>
      </c>
    </row>
    <row r="71" spans="1:9" x14ac:dyDescent="0.35">
      <c r="A71" s="14" t="s">
        <v>200</v>
      </c>
      <c r="B71" s="18">
        <v>4.6704019286653527E-2</v>
      </c>
      <c r="C71" s="18">
        <v>0</v>
      </c>
      <c r="D71" s="18">
        <v>3.0864621042612408E-2</v>
      </c>
      <c r="E71" s="18">
        <v>3.2648014740742977E-2</v>
      </c>
      <c r="F71" s="18">
        <v>4.6704019286653527E-2</v>
      </c>
      <c r="G71" s="18">
        <v>6.3901845440116109E-2</v>
      </c>
      <c r="H71" s="18">
        <v>6.6538835766979706E-2</v>
      </c>
      <c r="I71" s="18">
        <v>6.4072061996647389E-2</v>
      </c>
    </row>
    <row r="72" spans="1:9" x14ac:dyDescent="0.35">
      <c r="A72" s="14" t="s">
        <v>201</v>
      </c>
      <c r="B72" s="18">
        <v>4.0190074393688102E-2</v>
      </c>
      <c r="C72" s="18">
        <v>3.3292657806308752E-2</v>
      </c>
      <c r="D72" s="18">
        <v>3.3332671888022497E-2</v>
      </c>
      <c r="E72" s="18">
        <v>3.3954970992863577E-2</v>
      </c>
      <c r="F72" s="18">
        <v>4.0190074393688109E-2</v>
      </c>
      <c r="G72" s="18">
        <v>3.3818448038986787E-2</v>
      </c>
      <c r="H72" s="18">
        <v>5.0179231398528389E-2</v>
      </c>
      <c r="I72" s="18">
        <v>4.2861428130857387E-2</v>
      </c>
    </row>
    <row r="73" spans="1:9" x14ac:dyDescent="0.35">
      <c r="A73" s="14" t="s">
        <v>202</v>
      </c>
      <c r="B73" s="18">
        <v>1.2226418284307211E-2</v>
      </c>
      <c r="C73" s="18">
        <v>0</v>
      </c>
      <c r="D73" s="18">
        <v>0</v>
      </c>
      <c r="E73" s="18">
        <v>1.45104347942172E-2</v>
      </c>
      <c r="F73" s="18">
        <v>1.2226418284307211E-2</v>
      </c>
      <c r="G73" s="18">
        <v>1.02880747967886E-2</v>
      </c>
      <c r="H73" s="18">
        <v>8.1203395176206207E-3</v>
      </c>
      <c r="I73" s="18">
        <v>7.8192966710278634E-3</v>
      </c>
    </row>
    <row r="74" spans="1:9" x14ac:dyDescent="0.35">
      <c r="A74" s="14" t="s">
        <v>211</v>
      </c>
      <c r="B74" s="18">
        <v>9.1753202458065598E-3</v>
      </c>
      <c r="C74" s="18">
        <v>3.5796657765281632E-2</v>
      </c>
      <c r="D74" s="18">
        <v>1.6461477976478862E-2</v>
      </c>
      <c r="E74" s="18">
        <v>1.088936130327894E-2</v>
      </c>
      <c r="F74" s="18">
        <v>9.1753202458065616E-3</v>
      </c>
      <c r="G74" s="18">
        <v>7.7206896392957381E-3</v>
      </c>
      <c r="H74" s="18">
        <v>6.093911875604487E-3</v>
      </c>
      <c r="I74" s="21">
        <v>0</v>
      </c>
    </row>
    <row r="75" spans="1:9" x14ac:dyDescent="0.35">
      <c r="A75" s="14" t="s">
        <v>212</v>
      </c>
      <c r="B75" s="18">
        <v>0</v>
      </c>
      <c r="C75" s="18">
        <v>0</v>
      </c>
      <c r="D75" s="18">
        <v>0</v>
      </c>
      <c r="E75" s="18">
        <v>0</v>
      </c>
      <c r="F75" s="18">
        <v>0</v>
      </c>
      <c r="G75" s="18">
        <v>0</v>
      </c>
      <c r="H75" s="18">
        <v>0</v>
      </c>
      <c r="I75" s="18">
        <v>0</v>
      </c>
    </row>
    <row r="76" spans="1:9" x14ac:dyDescent="0.35">
      <c r="A76" s="14" t="s">
        <v>203</v>
      </c>
      <c r="B76" s="18">
        <v>0</v>
      </c>
      <c r="C76" s="18">
        <v>0</v>
      </c>
      <c r="D76" s="18">
        <v>0</v>
      </c>
      <c r="E76" s="18">
        <v>0</v>
      </c>
      <c r="F76" s="18">
        <v>0</v>
      </c>
      <c r="G76" s="18">
        <v>0</v>
      </c>
      <c r="H76" s="18">
        <v>0</v>
      </c>
      <c r="I76" s="18">
        <v>0</v>
      </c>
    </row>
    <row r="77" spans="1:9" x14ac:dyDescent="0.35">
      <c r="A77" s="14" t="s">
        <v>204</v>
      </c>
      <c r="B77" s="18">
        <v>1.5854497222775009E-2</v>
      </c>
      <c r="C77" s="18">
        <v>3.1670335280300409E-2</v>
      </c>
      <c r="D77" s="18">
        <v>1.4563944213529431E-2</v>
      </c>
      <c r="E77" s="18">
        <v>1.881627495449378E-2</v>
      </c>
      <c r="F77" s="18">
        <v>1.5854497222775019E-2</v>
      </c>
      <c r="G77" s="18">
        <v>1.334096785341816E-2</v>
      </c>
      <c r="H77" s="18">
        <v>1.0529976754954561E-2</v>
      </c>
      <c r="I77" s="18">
        <v>4.9480185414510127E-3</v>
      </c>
    </row>
    <row r="78" spans="1:9" x14ac:dyDescent="0.35">
      <c r="A78" s="14" t="s">
        <v>213</v>
      </c>
      <c r="B78" s="1">
        <v>24.005492624023979</v>
      </c>
      <c r="C78" s="1">
        <v>21.447981658696399</v>
      </c>
      <c r="D78" s="1">
        <v>29.746277194105009</v>
      </c>
      <c r="E78" s="1">
        <v>26.281251283061941</v>
      </c>
      <c r="F78" s="1">
        <v>24.005492624023979</v>
      </c>
      <c r="G78" s="1">
        <v>23.318045713398</v>
      </c>
      <c r="H78" s="1">
        <v>25.37643419277472</v>
      </c>
      <c r="I78" s="1">
        <v>32.549235177987299</v>
      </c>
    </row>
    <row r="80" spans="1:9" x14ac:dyDescent="0.35">
      <c r="C80" s="187"/>
      <c r="D80" s="187"/>
      <c r="E80" s="187"/>
      <c r="F80" s="187"/>
      <c r="G80" s="170"/>
      <c r="H80" s="170"/>
      <c r="I80" s="170"/>
    </row>
    <row r="81" spans="1:9" ht="29" x14ac:dyDescent="0.35">
      <c r="A81" s="12" t="s">
        <v>478</v>
      </c>
      <c r="B81" s="13" t="s">
        <v>208</v>
      </c>
      <c r="C81" s="13" t="s">
        <v>458</v>
      </c>
      <c r="D81" s="13" t="s">
        <v>466</v>
      </c>
      <c r="E81" s="13" t="s">
        <v>467</v>
      </c>
      <c r="F81" s="13" t="s">
        <v>468</v>
      </c>
      <c r="G81" s="13" t="s">
        <v>636</v>
      </c>
      <c r="H81" s="13" t="s">
        <v>641</v>
      </c>
      <c r="I81" s="13" t="s">
        <v>647</v>
      </c>
    </row>
    <row r="82" spans="1:9" x14ac:dyDescent="0.35">
      <c r="A82" s="14" t="s">
        <v>209</v>
      </c>
      <c r="B82" s="15">
        <v>0</v>
      </c>
      <c r="C82" s="15">
        <v>0</v>
      </c>
      <c r="D82" s="15">
        <v>0</v>
      </c>
      <c r="E82" s="15">
        <v>0</v>
      </c>
      <c r="F82" s="15">
        <v>0</v>
      </c>
      <c r="G82" s="15">
        <v>0</v>
      </c>
      <c r="H82" s="15">
        <v>0</v>
      </c>
      <c r="I82" s="15">
        <v>0</v>
      </c>
    </row>
    <row r="83" spans="1:9" x14ac:dyDescent="0.35">
      <c r="A83" s="16" t="s">
        <v>336</v>
      </c>
      <c r="B83" s="17" t="s">
        <v>214</v>
      </c>
      <c r="C83" s="168" t="s">
        <v>214</v>
      </c>
      <c r="D83" s="168" t="s">
        <v>214</v>
      </c>
      <c r="E83" s="168" t="s">
        <v>214</v>
      </c>
      <c r="F83" s="168" t="s">
        <v>214</v>
      </c>
      <c r="G83" s="168" t="s">
        <v>214</v>
      </c>
      <c r="H83" s="168" t="s">
        <v>214</v>
      </c>
      <c r="I83" s="168" t="s">
        <v>214</v>
      </c>
    </row>
    <row r="84" spans="1:9" x14ac:dyDescent="0.35">
      <c r="A84" s="16" t="s">
        <v>194</v>
      </c>
      <c r="B84" s="17" t="s">
        <v>214</v>
      </c>
      <c r="C84" s="168" t="s">
        <v>214</v>
      </c>
      <c r="D84" s="168" t="s">
        <v>214</v>
      </c>
      <c r="E84" s="168" t="s">
        <v>214</v>
      </c>
      <c r="F84" s="168" t="s">
        <v>214</v>
      </c>
      <c r="G84" s="168" t="s">
        <v>214</v>
      </c>
      <c r="H84" s="168" t="s">
        <v>214</v>
      </c>
      <c r="I84" s="168" t="s">
        <v>214</v>
      </c>
    </row>
    <row r="85" spans="1:9" x14ac:dyDescent="0.35">
      <c r="A85" s="16" t="s">
        <v>195</v>
      </c>
      <c r="B85" s="17" t="s">
        <v>214</v>
      </c>
      <c r="C85" s="168" t="s">
        <v>214</v>
      </c>
      <c r="D85" s="168" t="s">
        <v>214</v>
      </c>
      <c r="E85" s="168" t="s">
        <v>214</v>
      </c>
      <c r="F85" s="168" t="s">
        <v>214</v>
      </c>
      <c r="G85" s="168" t="s">
        <v>214</v>
      </c>
      <c r="H85" s="168" t="s">
        <v>214</v>
      </c>
      <c r="I85" s="168" t="s">
        <v>214</v>
      </c>
    </row>
    <row r="86" spans="1:9" x14ac:dyDescent="0.35">
      <c r="A86" s="14" t="s">
        <v>210</v>
      </c>
      <c r="B86" s="18" t="s">
        <v>214</v>
      </c>
      <c r="C86" s="18" t="s">
        <v>214</v>
      </c>
      <c r="D86" s="18" t="s">
        <v>214</v>
      </c>
      <c r="E86" s="18" t="s">
        <v>214</v>
      </c>
      <c r="F86" s="18" t="s">
        <v>214</v>
      </c>
      <c r="G86" s="18" t="s">
        <v>214</v>
      </c>
      <c r="H86" s="18" t="s">
        <v>214</v>
      </c>
      <c r="I86" s="18" t="s">
        <v>214</v>
      </c>
    </row>
    <row r="87" spans="1:9" x14ac:dyDescent="0.35">
      <c r="A87" s="14" t="s">
        <v>197</v>
      </c>
      <c r="B87" s="18" t="s">
        <v>214</v>
      </c>
      <c r="C87" s="18" t="s">
        <v>214</v>
      </c>
      <c r="D87" s="18" t="s">
        <v>214</v>
      </c>
      <c r="E87" s="18" t="s">
        <v>214</v>
      </c>
      <c r="F87" s="18" t="s">
        <v>214</v>
      </c>
      <c r="G87" s="18" t="s">
        <v>214</v>
      </c>
      <c r="H87" s="18" t="s">
        <v>214</v>
      </c>
      <c r="I87" s="18" t="s">
        <v>214</v>
      </c>
    </row>
    <row r="88" spans="1:9" x14ac:dyDescent="0.35">
      <c r="A88" s="14" t="s">
        <v>198</v>
      </c>
      <c r="B88" s="18" t="s">
        <v>214</v>
      </c>
      <c r="C88" s="18" t="s">
        <v>214</v>
      </c>
      <c r="D88" s="18" t="s">
        <v>214</v>
      </c>
      <c r="E88" s="18" t="s">
        <v>214</v>
      </c>
      <c r="F88" s="18" t="s">
        <v>214</v>
      </c>
      <c r="G88" s="18" t="s">
        <v>214</v>
      </c>
      <c r="H88" s="18" t="s">
        <v>214</v>
      </c>
      <c r="I88" s="18" t="s">
        <v>214</v>
      </c>
    </row>
    <row r="89" spans="1:9" x14ac:dyDescent="0.35">
      <c r="A89" s="14" t="s">
        <v>199</v>
      </c>
      <c r="B89" s="18" t="s">
        <v>214</v>
      </c>
      <c r="C89" s="18" t="s">
        <v>214</v>
      </c>
      <c r="D89" s="18" t="s">
        <v>214</v>
      </c>
      <c r="E89" s="18" t="s">
        <v>214</v>
      </c>
      <c r="F89" s="18" t="s">
        <v>214</v>
      </c>
      <c r="G89" s="18" t="s">
        <v>214</v>
      </c>
      <c r="H89" s="18" t="s">
        <v>214</v>
      </c>
      <c r="I89" s="18" t="s">
        <v>214</v>
      </c>
    </row>
    <row r="90" spans="1:9" x14ac:dyDescent="0.35">
      <c r="A90" s="14" t="s">
        <v>200</v>
      </c>
      <c r="B90" s="18" t="s">
        <v>214</v>
      </c>
      <c r="C90" s="18" t="s">
        <v>214</v>
      </c>
      <c r="D90" s="18" t="s">
        <v>214</v>
      </c>
      <c r="E90" s="18" t="s">
        <v>214</v>
      </c>
      <c r="F90" s="18" t="s">
        <v>214</v>
      </c>
      <c r="G90" s="18" t="s">
        <v>214</v>
      </c>
      <c r="H90" s="18" t="s">
        <v>214</v>
      </c>
      <c r="I90" s="18" t="s">
        <v>214</v>
      </c>
    </row>
    <row r="91" spans="1:9" x14ac:dyDescent="0.35">
      <c r="A91" s="14" t="s">
        <v>201</v>
      </c>
      <c r="B91" s="18" t="s">
        <v>214</v>
      </c>
      <c r="C91" s="18" t="s">
        <v>214</v>
      </c>
      <c r="D91" s="18" t="s">
        <v>214</v>
      </c>
      <c r="E91" s="18" t="s">
        <v>214</v>
      </c>
      <c r="F91" s="18" t="s">
        <v>214</v>
      </c>
      <c r="G91" s="18" t="s">
        <v>214</v>
      </c>
      <c r="H91" s="18" t="s">
        <v>214</v>
      </c>
      <c r="I91" s="18" t="s">
        <v>214</v>
      </c>
    </row>
    <row r="92" spans="1:9" x14ac:dyDescent="0.35">
      <c r="A92" s="14" t="s">
        <v>202</v>
      </c>
      <c r="B92" s="18" t="s">
        <v>214</v>
      </c>
      <c r="C92" s="18" t="s">
        <v>214</v>
      </c>
      <c r="D92" s="18" t="s">
        <v>214</v>
      </c>
      <c r="E92" s="18" t="s">
        <v>214</v>
      </c>
      <c r="F92" s="18" t="s">
        <v>214</v>
      </c>
      <c r="G92" s="18" t="s">
        <v>214</v>
      </c>
      <c r="H92" s="18" t="s">
        <v>214</v>
      </c>
      <c r="I92" s="18" t="s">
        <v>214</v>
      </c>
    </row>
    <row r="93" spans="1:9" x14ac:dyDescent="0.35">
      <c r="A93" s="14" t="s">
        <v>211</v>
      </c>
      <c r="B93" s="18" t="s">
        <v>214</v>
      </c>
      <c r="C93" s="18" t="s">
        <v>214</v>
      </c>
      <c r="D93" s="18" t="s">
        <v>214</v>
      </c>
      <c r="E93" s="18" t="s">
        <v>214</v>
      </c>
      <c r="F93" s="18" t="s">
        <v>214</v>
      </c>
      <c r="G93" s="18" t="s">
        <v>214</v>
      </c>
      <c r="H93" s="18" t="s">
        <v>214</v>
      </c>
      <c r="I93" s="18" t="s">
        <v>214</v>
      </c>
    </row>
    <row r="94" spans="1:9" x14ac:dyDescent="0.35">
      <c r="A94" s="14" t="s">
        <v>212</v>
      </c>
      <c r="B94" s="18" t="s">
        <v>214</v>
      </c>
      <c r="C94" s="18" t="s">
        <v>214</v>
      </c>
      <c r="D94" s="18" t="s">
        <v>214</v>
      </c>
      <c r="E94" s="18" t="s">
        <v>214</v>
      </c>
      <c r="F94" s="18" t="s">
        <v>214</v>
      </c>
      <c r="G94" s="18" t="s">
        <v>214</v>
      </c>
      <c r="H94" s="18" t="s">
        <v>214</v>
      </c>
      <c r="I94" s="18" t="s">
        <v>214</v>
      </c>
    </row>
    <row r="95" spans="1:9" x14ac:dyDescent="0.35">
      <c r="A95" s="14" t="s">
        <v>203</v>
      </c>
      <c r="B95" s="18" t="s">
        <v>214</v>
      </c>
      <c r="C95" s="18" t="s">
        <v>214</v>
      </c>
      <c r="D95" s="18" t="s">
        <v>214</v>
      </c>
      <c r="E95" s="18" t="s">
        <v>214</v>
      </c>
      <c r="F95" s="18" t="s">
        <v>214</v>
      </c>
      <c r="G95" s="18" t="s">
        <v>214</v>
      </c>
      <c r="H95" s="18" t="s">
        <v>214</v>
      </c>
      <c r="I95" s="18" t="s">
        <v>214</v>
      </c>
    </row>
    <row r="96" spans="1:9" x14ac:dyDescent="0.35">
      <c r="A96" s="14" t="s">
        <v>204</v>
      </c>
      <c r="B96" s="18" t="s">
        <v>214</v>
      </c>
      <c r="C96" s="18" t="s">
        <v>214</v>
      </c>
      <c r="D96" s="18" t="s">
        <v>214</v>
      </c>
      <c r="E96" s="18" t="s">
        <v>214</v>
      </c>
      <c r="F96" s="18" t="s">
        <v>214</v>
      </c>
      <c r="G96" s="18" t="s">
        <v>214</v>
      </c>
      <c r="H96" s="18" t="s">
        <v>214</v>
      </c>
      <c r="I96" s="18" t="s">
        <v>214</v>
      </c>
    </row>
    <row r="98" spans="1:9" x14ac:dyDescent="0.35">
      <c r="C98" s="187"/>
      <c r="D98" s="187"/>
      <c r="E98" s="187"/>
      <c r="F98" s="187"/>
      <c r="G98" s="170"/>
      <c r="H98" s="170"/>
      <c r="I98" s="170"/>
    </row>
    <row r="99" spans="1:9" ht="29" x14ac:dyDescent="0.35">
      <c r="A99" s="12" t="s">
        <v>594</v>
      </c>
      <c r="B99" s="13" t="s">
        <v>208</v>
      </c>
      <c r="C99" s="13" t="s">
        <v>458</v>
      </c>
      <c r="D99" s="13" t="s">
        <v>466</v>
      </c>
      <c r="E99" s="13" t="s">
        <v>467</v>
      </c>
      <c r="F99" s="13" t="s">
        <v>468</v>
      </c>
      <c r="G99" s="13" t="s">
        <v>636</v>
      </c>
      <c r="H99" s="13" t="s">
        <v>641</v>
      </c>
      <c r="I99" s="13" t="s">
        <v>647</v>
      </c>
    </row>
    <row r="100" spans="1:9" x14ac:dyDescent="0.35">
      <c r="A100" s="14" t="s">
        <v>209</v>
      </c>
      <c r="B100" s="15">
        <v>264</v>
      </c>
      <c r="C100" s="15">
        <v>52</v>
      </c>
      <c r="D100" s="15">
        <v>122</v>
      </c>
      <c r="E100" s="15">
        <v>188</v>
      </c>
      <c r="F100" s="15">
        <v>264</v>
      </c>
      <c r="G100" s="15">
        <v>320</v>
      </c>
      <c r="H100" s="15">
        <v>377</v>
      </c>
      <c r="I100" s="15">
        <v>397</v>
      </c>
    </row>
    <row r="101" spans="1:9" x14ac:dyDescent="0.35">
      <c r="A101" s="16" t="s">
        <v>336</v>
      </c>
      <c r="B101" s="17">
        <v>0.40098992484342733</v>
      </c>
      <c r="C101" s="17">
        <v>0.32392533765321352</v>
      </c>
      <c r="D101" s="17">
        <v>0.38780512474930412</v>
      </c>
      <c r="E101" s="17">
        <v>0.39316985657006431</v>
      </c>
      <c r="F101" s="17">
        <v>0.40098992484342738</v>
      </c>
      <c r="G101" s="17">
        <v>0.40509142780522028</v>
      </c>
      <c r="H101" s="17">
        <v>0.39646984030050192</v>
      </c>
      <c r="I101" s="17">
        <v>0.40139409378824059</v>
      </c>
    </row>
    <row r="102" spans="1:9" x14ac:dyDescent="0.35">
      <c r="A102" s="16" t="s">
        <v>194</v>
      </c>
      <c r="B102" s="17">
        <v>0.40585547634057573</v>
      </c>
      <c r="C102" s="17">
        <v>0.36167924986215277</v>
      </c>
      <c r="D102" s="17">
        <v>0.35449452092049061</v>
      </c>
      <c r="E102" s="17">
        <v>0.38398048253659273</v>
      </c>
      <c r="F102" s="17">
        <v>0.40585547634057573</v>
      </c>
      <c r="G102" s="17">
        <v>0.40421832666044988</v>
      </c>
      <c r="H102" s="17">
        <v>0.39889276797167611</v>
      </c>
      <c r="I102" s="17">
        <v>0.41363138356766682</v>
      </c>
    </row>
    <row r="103" spans="1:9" x14ac:dyDescent="0.35">
      <c r="A103" s="16" t="s">
        <v>195</v>
      </c>
      <c r="B103" s="17">
        <v>0.19315459881599689</v>
      </c>
      <c r="C103" s="149">
        <v>0.31439541248463387</v>
      </c>
      <c r="D103" s="149">
        <v>0.25770035433020538</v>
      </c>
      <c r="E103" s="153">
        <v>0.2228496608933429</v>
      </c>
      <c r="F103" s="17">
        <v>0.19315459881599689</v>
      </c>
      <c r="G103" s="17">
        <v>0.19069024553433009</v>
      </c>
      <c r="H103" s="17">
        <v>0.20463739172782219</v>
      </c>
      <c r="I103" s="155">
        <v>0.1849745226440927</v>
      </c>
    </row>
    <row r="104" spans="1:9" x14ac:dyDescent="0.35">
      <c r="A104" s="14" t="s">
        <v>210</v>
      </c>
      <c r="B104" s="18">
        <v>0.1930199423658796</v>
      </c>
      <c r="C104" s="21">
        <v>9.1729412627420459E-2</v>
      </c>
      <c r="D104" s="18">
        <v>0.16822202942883949</v>
      </c>
      <c r="E104" s="18">
        <v>0.17104172511876009</v>
      </c>
      <c r="F104" s="18">
        <v>0.1930199423658796</v>
      </c>
      <c r="G104" s="25">
        <v>0.19367379384403291</v>
      </c>
      <c r="H104" s="18">
        <v>0.19179945281162999</v>
      </c>
      <c r="I104" s="20">
        <v>0.19771764226019931</v>
      </c>
    </row>
    <row r="105" spans="1:9" x14ac:dyDescent="0.35">
      <c r="A105" s="14" t="s">
        <v>197</v>
      </c>
      <c r="B105" s="18">
        <v>0.20796998247754769</v>
      </c>
      <c r="C105" s="18">
        <v>0.232195925025793</v>
      </c>
      <c r="D105" s="18">
        <v>0.21958309532046449</v>
      </c>
      <c r="E105" s="18">
        <v>0.22212813145130419</v>
      </c>
      <c r="F105" s="18">
        <v>0.2079699824775478</v>
      </c>
      <c r="G105" s="18">
        <v>0.21141763396118751</v>
      </c>
      <c r="H105" s="18">
        <v>0.2046703874888719</v>
      </c>
      <c r="I105" s="18">
        <v>0.2036764515280412</v>
      </c>
    </row>
    <row r="106" spans="1:9" x14ac:dyDescent="0.35">
      <c r="A106" s="14" t="s">
        <v>198</v>
      </c>
      <c r="B106" s="18">
        <v>0.26417448544136751</v>
      </c>
      <c r="C106" s="18">
        <v>0.24594536450038129</v>
      </c>
      <c r="D106" s="18">
        <v>0.25234095620137648</v>
      </c>
      <c r="E106" s="18">
        <v>0.25962400284341941</v>
      </c>
      <c r="F106" s="18">
        <v>0.26417448544136751</v>
      </c>
      <c r="G106" s="18">
        <v>0.25336779156242911</v>
      </c>
      <c r="H106" s="18">
        <v>0.25333057090167233</v>
      </c>
      <c r="I106" s="18">
        <v>0.26643841228090642</v>
      </c>
    </row>
    <row r="107" spans="1:9" x14ac:dyDescent="0.35">
      <c r="A107" s="14" t="s">
        <v>199</v>
      </c>
      <c r="B107" s="18">
        <v>0.14168099089920819</v>
      </c>
      <c r="C107" s="18">
        <v>0.1157338853617715</v>
      </c>
      <c r="D107" s="23">
        <v>0.1021535647191142</v>
      </c>
      <c r="E107" s="18">
        <v>0.1243564796931733</v>
      </c>
      <c r="F107" s="18">
        <v>0.14168099089920819</v>
      </c>
      <c r="G107" s="18">
        <v>0.15085053509802079</v>
      </c>
      <c r="H107" s="18">
        <v>0.1455621970700037</v>
      </c>
      <c r="I107" s="18">
        <v>0.1471929712867604</v>
      </c>
    </row>
    <row r="108" spans="1:9" x14ac:dyDescent="0.35">
      <c r="A108" s="14" t="s">
        <v>200</v>
      </c>
      <c r="B108" s="18">
        <v>9.4990691417333351E-2</v>
      </c>
      <c r="C108" s="18">
        <v>0.15377568730387409</v>
      </c>
      <c r="D108" s="18">
        <v>0.101788586508805</v>
      </c>
      <c r="E108" s="18">
        <v>0.1033041158817094</v>
      </c>
      <c r="F108" s="18">
        <v>9.4990691417333323E-2</v>
      </c>
      <c r="G108" s="18">
        <v>9.644831791079439E-2</v>
      </c>
      <c r="H108" s="18">
        <v>0.1136014663467898</v>
      </c>
      <c r="I108" s="18">
        <v>9.0584505404072757E-2</v>
      </c>
    </row>
    <row r="109" spans="1:9" x14ac:dyDescent="0.35">
      <c r="A109" s="14" t="s">
        <v>201</v>
      </c>
      <c r="B109" s="18">
        <v>5.4888619415124879E-2</v>
      </c>
      <c r="C109" s="18">
        <v>5.5251702895660282E-2</v>
      </c>
      <c r="D109" s="18">
        <v>7.0839297013723448E-2</v>
      </c>
      <c r="E109" s="18">
        <v>5.9046240055099362E-2</v>
      </c>
      <c r="F109" s="18">
        <v>5.4888619415124879E-2</v>
      </c>
      <c r="G109" s="18">
        <v>5.2462965148261577E-2</v>
      </c>
      <c r="H109" s="18">
        <v>5.2644909993224992E-2</v>
      </c>
      <c r="I109" s="18">
        <v>6.2422903870040722E-2</v>
      </c>
    </row>
    <row r="110" spans="1:9" x14ac:dyDescent="0.35">
      <c r="A110" s="14" t="s">
        <v>202</v>
      </c>
      <c r="B110" s="18">
        <v>4.4623147609163978E-3</v>
      </c>
      <c r="C110" s="19">
        <v>2.206935742602701E-2</v>
      </c>
      <c r="D110" s="18">
        <v>9.3619483673607461E-3</v>
      </c>
      <c r="E110" s="18">
        <v>6.2383626802302566E-3</v>
      </c>
      <c r="F110" s="18">
        <v>4.4623147609163978E-3</v>
      </c>
      <c r="G110" s="18">
        <v>6.0724002632496273E-3</v>
      </c>
      <c r="H110" s="18">
        <v>5.1337310284792301E-3</v>
      </c>
      <c r="I110" s="18">
        <v>6.7670926629553874E-3</v>
      </c>
    </row>
    <row r="111" spans="1:9" x14ac:dyDescent="0.35">
      <c r="A111" s="14" t="s">
        <v>211</v>
      </c>
      <c r="B111" s="18">
        <v>1.029139492496985E-2</v>
      </c>
      <c r="C111" s="18">
        <v>1.9525396859283051E-2</v>
      </c>
      <c r="D111" s="20">
        <v>2.159137422567203E-2</v>
      </c>
      <c r="E111" s="18">
        <v>1.438747768081208E-2</v>
      </c>
      <c r="F111" s="18">
        <v>1.029139492496985E-2</v>
      </c>
      <c r="G111" s="18">
        <v>8.4933650881717712E-3</v>
      </c>
      <c r="H111" s="18">
        <v>7.1804640667767552E-3</v>
      </c>
      <c r="I111" s="18">
        <v>6.7082571713767388E-3</v>
      </c>
    </row>
    <row r="112" spans="1:9" x14ac:dyDescent="0.35">
      <c r="A112" s="14" t="s">
        <v>212</v>
      </c>
      <c r="B112" s="18">
        <v>0</v>
      </c>
      <c r="C112" s="18">
        <v>0</v>
      </c>
      <c r="D112" s="18">
        <v>0</v>
      </c>
      <c r="E112" s="18">
        <v>0</v>
      </c>
      <c r="F112" s="18">
        <v>0</v>
      </c>
      <c r="G112" s="18">
        <v>0</v>
      </c>
      <c r="H112" s="18">
        <v>0</v>
      </c>
      <c r="I112" s="18">
        <v>0</v>
      </c>
    </row>
    <row r="113" spans="1:9" x14ac:dyDescent="0.35">
      <c r="A113" s="14" t="s">
        <v>203</v>
      </c>
      <c r="B113" s="18">
        <v>3.3604195101277889E-3</v>
      </c>
      <c r="C113" s="18">
        <v>0</v>
      </c>
      <c r="D113" s="18">
        <v>7.0501691682608456E-3</v>
      </c>
      <c r="E113" s="18">
        <v>4.6979016015431634E-3</v>
      </c>
      <c r="F113" s="18">
        <v>3.3604195101277889E-3</v>
      </c>
      <c r="G113" s="18">
        <v>2.7733140120472319E-3</v>
      </c>
      <c r="H113" s="18">
        <v>5.4148446611331572E-3</v>
      </c>
      <c r="I113" s="18">
        <v>5.1765386814756394E-3</v>
      </c>
    </row>
    <row r="114" spans="1:9" x14ac:dyDescent="0.35">
      <c r="A114" s="14" t="s">
        <v>204</v>
      </c>
      <c r="B114" s="18">
        <v>2.5161158787524691E-2</v>
      </c>
      <c r="C114" s="19">
        <v>6.377326799978944E-2</v>
      </c>
      <c r="D114" s="19">
        <v>4.7068979046383283E-2</v>
      </c>
      <c r="E114" s="18">
        <v>3.5175562993948639E-2</v>
      </c>
      <c r="F114" s="18">
        <v>2.5161158787524691E-2</v>
      </c>
      <c r="G114" s="18">
        <v>2.4439883111805481E-2</v>
      </c>
      <c r="H114" s="18">
        <v>2.0661975631418219E-2</v>
      </c>
      <c r="I114" s="21">
        <v>1.3315224854171449E-2</v>
      </c>
    </row>
    <row r="115" spans="1:9" x14ac:dyDescent="0.35">
      <c r="A115" s="14" t="s">
        <v>213</v>
      </c>
      <c r="B115" s="1">
        <v>20.78353260274303</v>
      </c>
      <c r="C115" s="1">
        <v>0.95299251685796249</v>
      </c>
      <c r="D115" s="1">
        <v>13.010477041909869</v>
      </c>
      <c r="E115" s="1">
        <v>17.03201956767214</v>
      </c>
      <c r="F115" s="1">
        <v>20.78353260274304</v>
      </c>
      <c r="G115" s="1">
        <v>21.440118227089009</v>
      </c>
      <c r="H115" s="1">
        <v>19.183244857267969</v>
      </c>
      <c r="I115" s="1">
        <v>21.64195711441478</v>
      </c>
    </row>
    <row r="117" spans="1:9" x14ac:dyDescent="0.35">
      <c r="C117" s="187"/>
      <c r="D117" s="187"/>
      <c r="E117" s="187"/>
      <c r="F117" s="187"/>
      <c r="G117" s="170"/>
      <c r="H117" s="170"/>
      <c r="I117" s="170"/>
    </row>
    <row r="118" spans="1:9" ht="29" x14ac:dyDescent="0.35">
      <c r="A118" s="12" t="s">
        <v>595</v>
      </c>
      <c r="B118" s="13" t="s">
        <v>208</v>
      </c>
      <c r="C118" s="13" t="s">
        <v>458</v>
      </c>
      <c r="D118" s="13" t="s">
        <v>466</v>
      </c>
      <c r="E118" s="13" t="s">
        <v>467</v>
      </c>
      <c r="F118" s="13" t="s">
        <v>468</v>
      </c>
      <c r="G118" s="13" t="s">
        <v>636</v>
      </c>
      <c r="H118" s="13" t="s">
        <v>641</v>
      </c>
      <c r="I118" s="13" t="s">
        <v>647</v>
      </c>
    </row>
    <row r="119" spans="1:9" x14ac:dyDescent="0.35">
      <c r="A119" s="14" t="s">
        <v>209</v>
      </c>
      <c r="B119" s="15">
        <v>46</v>
      </c>
      <c r="C119" s="15">
        <v>13</v>
      </c>
      <c r="D119" s="15">
        <v>30</v>
      </c>
      <c r="E119" s="15">
        <v>38</v>
      </c>
      <c r="F119" s="15">
        <v>46</v>
      </c>
      <c r="G119" s="15">
        <v>54</v>
      </c>
      <c r="H119" s="15">
        <v>68</v>
      </c>
      <c r="I119" s="15">
        <v>68</v>
      </c>
    </row>
    <row r="120" spans="1:9" x14ac:dyDescent="0.35">
      <c r="A120" s="16" t="s">
        <v>336</v>
      </c>
      <c r="B120" s="17">
        <v>0.35057798700403942</v>
      </c>
      <c r="C120" s="17">
        <v>0.38671097398873799</v>
      </c>
      <c r="D120" s="17">
        <v>0.35205198699955897</v>
      </c>
      <c r="E120" s="17">
        <v>0.36499317688674421</v>
      </c>
      <c r="F120" s="17">
        <v>0.3505779870040393</v>
      </c>
      <c r="G120" s="17">
        <v>0.34437215071195099</v>
      </c>
      <c r="H120" s="17">
        <v>0.34549754688996848</v>
      </c>
      <c r="I120" s="17">
        <v>0.3225596014244147</v>
      </c>
    </row>
    <row r="121" spans="1:9" x14ac:dyDescent="0.35">
      <c r="A121" s="16" t="s">
        <v>194</v>
      </c>
      <c r="B121" s="17">
        <v>0.38058376496278629</v>
      </c>
      <c r="C121" s="17">
        <v>0.3111468991173762</v>
      </c>
      <c r="D121" s="17">
        <v>0.30543638904906989</v>
      </c>
      <c r="E121" s="17">
        <v>0.33748727899404901</v>
      </c>
      <c r="F121" s="17">
        <v>0.38058376496278629</v>
      </c>
      <c r="G121" s="17">
        <v>0.38942353161916787</v>
      </c>
      <c r="H121" s="17">
        <v>0.37645171269348271</v>
      </c>
      <c r="I121" s="17">
        <v>0.36584628405932018</v>
      </c>
    </row>
    <row r="122" spans="1:9" x14ac:dyDescent="0.35">
      <c r="A122" s="16" t="s">
        <v>195</v>
      </c>
      <c r="B122" s="17">
        <v>0.26883824803317452</v>
      </c>
      <c r="C122" s="17">
        <v>0.30214212689388581</v>
      </c>
      <c r="D122" s="17">
        <v>0.3425116239513713</v>
      </c>
      <c r="E122" s="17">
        <v>0.29751954411920661</v>
      </c>
      <c r="F122" s="17">
        <v>0.26883824803317452</v>
      </c>
      <c r="G122" s="17">
        <v>0.26620431766888097</v>
      </c>
      <c r="H122" s="17">
        <v>0.27805074041654898</v>
      </c>
      <c r="I122" s="17">
        <v>0.31159411451626512</v>
      </c>
    </row>
    <row r="123" spans="1:9" x14ac:dyDescent="0.35">
      <c r="A123" s="14" t="s">
        <v>210</v>
      </c>
      <c r="B123" s="18">
        <v>0.19063606437367811</v>
      </c>
      <c r="C123" s="18">
        <v>0.23371722384261989</v>
      </c>
      <c r="D123" s="18">
        <v>0.18698534945551831</v>
      </c>
      <c r="E123" s="18">
        <v>0.2019682633419406</v>
      </c>
      <c r="F123" s="18">
        <v>0.190636064373678</v>
      </c>
      <c r="G123" s="18">
        <v>0.20853771047169031</v>
      </c>
      <c r="H123" s="18">
        <v>0.21114470334654531</v>
      </c>
      <c r="I123" s="18">
        <v>0.17805523372246859</v>
      </c>
    </row>
    <row r="124" spans="1:9" x14ac:dyDescent="0.35">
      <c r="A124" s="14" t="s">
        <v>197</v>
      </c>
      <c r="B124" s="18">
        <v>0.15994192263036119</v>
      </c>
      <c r="C124" s="18">
        <v>0.1529937501461181</v>
      </c>
      <c r="D124" s="18">
        <v>0.16506663754404069</v>
      </c>
      <c r="E124" s="18">
        <v>0.16302491354480361</v>
      </c>
      <c r="F124" s="18">
        <v>0.15994192263036119</v>
      </c>
      <c r="G124" s="18">
        <v>0.13583444024026059</v>
      </c>
      <c r="H124" s="18">
        <v>0.13435284354342319</v>
      </c>
      <c r="I124" s="18">
        <v>0.14450436770194619</v>
      </c>
    </row>
    <row r="125" spans="1:9" x14ac:dyDescent="0.35">
      <c r="A125" s="14" t="s">
        <v>198</v>
      </c>
      <c r="B125" s="18">
        <v>0.23160550785182071</v>
      </c>
      <c r="C125" s="18">
        <v>0.22924961455273879</v>
      </c>
      <c r="D125" s="18">
        <v>0.19569013850188149</v>
      </c>
      <c r="E125" s="18">
        <v>0.20605559737832199</v>
      </c>
      <c r="F125" s="18">
        <v>0.2316055078518206</v>
      </c>
      <c r="G125" s="18">
        <v>0.23417804659437241</v>
      </c>
      <c r="H125" s="18">
        <v>0.242542824320015</v>
      </c>
      <c r="I125" s="18">
        <v>0.21887570444605259</v>
      </c>
    </row>
    <row r="126" spans="1:9" x14ac:dyDescent="0.35">
      <c r="A126" s="14" t="s">
        <v>199</v>
      </c>
      <c r="B126" s="18">
        <v>0.1489782571109656</v>
      </c>
      <c r="C126" s="18">
        <v>8.1897284564637407E-2</v>
      </c>
      <c r="D126" s="18">
        <v>0.10974625054718851</v>
      </c>
      <c r="E126" s="18">
        <v>0.13143168161572699</v>
      </c>
      <c r="F126" s="18">
        <v>0.1489782571109656</v>
      </c>
      <c r="G126" s="18">
        <v>0.15524548502479549</v>
      </c>
      <c r="H126" s="18">
        <v>0.1339088883734677</v>
      </c>
      <c r="I126" s="18">
        <v>0.14697057961326751</v>
      </c>
    </row>
    <row r="127" spans="1:9" x14ac:dyDescent="0.35">
      <c r="A127" s="14" t="s">
        <v>200</v>
      </c>
      <c r="B127" s="18">
        <v>0.13740605519862981</v>
      </c>
      <c r="C127" s="18">
        <v>0.2390708166272284</v>
      </c>
      <c r="D127" s="18">
        <v>0.14406640423072831</v>
      </c>
      <c r="E127" s="18">
        <v>0.14002642281717281</v>
      </c>
      <c r="F127" s="18">
        <v>0.13740605519862981</v>
      </c>
      <c r="G127" s="18">
        <v>0.1324991956143807</v>
      </c>
      <c r="H127" s="18">
        <v>0.1194800191232963</v>
      </c>
      <c r="I127" s="18">
        <v>0.11383145914470789</v>
      </c>
    </row>
    <row r="128" spans="1:9" x14ac:dyDescent="0.35">
      <c r="A128" s="14" t="s">
        <v>201</v>
      </c>
      <c r="B128" s="18">
        <v>4.1881892238357428E-2</v>
      </c>
      <c r="C128" s="18">
        <v>6.3071310266657368E-2</v>
      </c>
      <c r="D128" s="18">
        <v>6.3236115355846528E-2</v>
      </c>
      <c r="E128" s="18">
        <v>5.0186410135893762E-2</v>
      </c>
      <c r="F128" s="18">
        <v>4.1881892238357428E-2</v>
      </c>
      <c r="G128" s="18">
        <v>5.7652422707236667E-2</v>
      </c>
      <c r="H128" s="18">
        <v>6.1453594092206687E-2</v>
      </c>
      <c r="I128" s="18">
        <v>8.3477044687600602E-2</v>
      </c>
    </row>
    <row r="129" spans="1:9" x14ac:dyDescent="0.35">
      <c r="A129" s="14" t="s">
        <v>202</v>
      </c>
      <c r="B129" s="18">
        <v>2.2281900796737881E-2</v>
      </c>
      <c r="C129" s="18">
        <v>0</v>
      </c>
      <c r="D129" s="18">
        <v>3.3642721802325769E-2</v>
      </c>
      <c r="E129" s="18">
        <v>2.6700049883807309E-2</v>
      </c>
      <c r="F129" s="18">
        <v>2.2281900796737881E-2</v>
      </c>
      <c r="G129" s="18">
        <v>1.8923428407252179E-2</v>
      </c>
      <c r="H129" s="18">
        <v>3.2155410233869031E-2</v>
      </c>
      <c r="I129" s="18">
        <v>4.8369539606424219E-2</v>
      </c>
    </row>
    <row r="130" spans="1:9" x14ac:dyDescent="0.35">
      <c r="A130" s="14" t="s">
        <v>211</v>
      </c>
      <c r="B130" s="18">
        <v>1.9980236779928811E-2</v>
      </c>
      <c r="C130" s="18">
        <v>0</v>
      </c>
      <c r="D130" s="18">
        <v>3.016751369928691E-2</v>
      </c>
      <c r="E130" s="18">
        <v>2.3942002236742841E-2</v>
      </c>
      <c r="F130" s="18">
        <v>1.9980236779928811E-2</v>
      </c>
      <c r="G130" s="18">
        <v>1.6968686097026491E-2</v>
      </c>
      <c r="H130" s="18">
        <v>1.339054837930301E-2</v>
      </c>
      <c r="I130" s="18">
        <v>1.3587269240178E-2</v>
      </c>
    </row>
    <row r="131" spans="1:9" x14ac:dyDescent="0.35">
      <c r="A131" s="14" t="s">
        <v>212</v>
      </c>
      <c r="B131" s="18">
        <v>1.870758137640284E-2</v>
      </c>
      <c r="C131" s="18">
        <v>0</v>
      </c>
      <c r="D131" s="18">
        <v>2.8245972441131809E-2</v>
      </c>
      <c r="E131" s="18">
        <v>2.2416999362481101E-2</v>
      </c>
      <c r="F131" s="18">
        <v>1.870758137640284E-2</v>
      </c>
      <c r="G131" s="18">
        <v>1.5887853557854069E-2</v>
      </c>
      <c r="H131" s="18">
        <v>1.253762786896076E-2</v>
      </c>
      <c r="I131" s="18">
        <v>1.2721818454577439E-2</v>
      </c>
    </row>
    <row r="132" spans="1:9" x14ac:dyDescent="0.35">
      <c r="A132" s="14" t="s">
        <v>203</v>
      </c>
      <c r="B132" s="18">
        <v>0</v>
      </c>
      <c r="C132" s="18">
        <v>0</v>
      </c>
      <c r="D132" s="18">
        <v>0</v>
      </c>
      <c r="E132" s="18">
        <v>0</v>
      </c>
      <c r="F132" s="18">
        <v>0</v>
      </c>
      <c r="G132" s="18">
        <v>0</v>
      </c>
      <c r="H132" s="18">
        <v>0</v>
      </c>
      <c r="I132" s="18">
        <v>0</v>
      </c>
    </row>
    <row r="133" spans="1:9" x14ac:dyDescent="0.35">
      <c r="A133" s="14" t="s">
        <v>204</v>
      </c>
      <c r="B133" s="18">
        <v>2.8580581643117699E-2</v>
      </c>
      <c r="C133" s="18">
        <v>0</v>
      </c>
      <c r="D133" s="18">
        <v>4.315289642205198E-2</v>
      </c>
      <c r="E133" s="18">
        <v>3.4247659683108812E-2</v>
      </c>
      <c r="F133" s="18">
        <v>2.8580581643117699E-2</v>
      </c>
      <c r="G133" s="18">
        <v>2.4272731285130938E-2</v>
      </c>
      <c r="H133" s="18">
        <v>3.9033540718913178E-2</v>
      </c>
      <c r="I133" s="18">
        <v>3.9606983382776913E-2</v>
      </c>
    </row>
    <row r="134" spans="1:9" x14ac:dyDescent="0.35">
      <c r="A134" s="14" t="s">
        <v>213</v>
      </c>
      <c r="B134" s="1">
        <v>8.1739738970864888</v>
      </c>
      <c r="C134" s="1">
        <v>8.4568847094852231</v>
      </c>
      <c r="D134" s="1">
        <v>0.95403630481877388</v>
      </c>
      <c r="E134" s="1">
        <v>6.7473632767537577</v>
      </c>
      <c r="F134" s="1">
        <v>8.1739738970864835</v>
      </c>
      <c r="G134" s="1">
        <v>7.816783304306993</v>
      </c>
      <c r="H134" s="1">
        <v>6.7446806473419478</v>
      </c>
      <c r="I134" s="1">
        <v>1.0965486908149611</v>
      </c>
    </row>
    <row r="136" spans="1:9" x14ac:dyDescent="0.35">
      <c r="C136" s="187"/>
      <c r="D136" s="187"/>
      <c r="E136" s="187"/>
      <c r="F136" s="187"/>
      <c r="G136" s="170"/>
      <c r="H136" s="170"/>
      <c r="I136" s="170"/>
    </row>
    <row r="137" spans="1:9" ht="29" x14ac:dyDescent="0.35">
      <c r="A137" s="12" t="s">
        <v>596</v>
      </c>
      <c r="B137" s="13" t="s">
        <v>208</v>
      </c>
      <c r="C137" s="13" t="s">
        <v>458</v>
      </c>
      <c r="D137" s="13" t="s">
        <v>466</v>
      </c>
      <c r="E137" s="13" t="s">
        <v>467</v>
      </c>
      <c r="F137" s="13" t="s">
        <v>468</v>
      </c>
      <c r="G137" s="13" t="s">
        <v>636</v>
      </c>
      <c r="H137" s="13" t="s">
        <v>641</v>
      </c>
      <c r="I137" s="13" t="s">
        <v>647</v>
      </c>
    </row>
    <row r="138" spans="1:9" x14ac:dyDescent="0.35">
      <c r="A138" s="14" t="s">
        <v>209</v>
      </c>
      <c r="B138" s="15">
        <v>5</v>
      </c>
      <c r="C138" s="15">
        <v>3</v>
      </c>
      <c r="D138" s="15">
        <v>5</v>
      </c>
      <c r="E138" s="15">
        <v>5</v>
      </c>
      <c r="F138" s="15">
        <v>5</v>
      </c>
      <c r="G138" s="15">
        <v>5</v>
      </c>
      <c r="H138" s="15">
        <v>5</v>
      </c>
      <c r="I138" s="15">
        <v>2</v>
      </c>
    </row>
    <row r="139" spans="1:9" x14ac:dyDescent="0.35">
      <c r="A139" s="16" t="s">
        <v>336</v>
      </c>
      <c r="B139" s="17">
        <v>0.75968915906062928</v>
      </c>
      <c r="C139" s="17">
        <v>1</v>
      </c>
      <c r="D139" s="17">
        <v>0.75968915906062928</v>
      </c>
      <c r="E139" s="17">
        <v>0.75968915906062928</v>
      </c>
      <c r="F139" s="17">
        <v>0.75968915906062928</v>
      </c>
      <c r="G139" s="17">
        <v>0.75968915906062928</v>
      </c>
      <c r="H139" s="17">
        <v>0.75968915906062928</v>
      </c>
      <c r="I139" s="17">
        <v>0.42407666520091752</v>
      </c>
    </row>
    <row r="140" spans="1:9" x14ac:dyDescent="0.35">
      <c r="A140" s="16" t="s">
        <v>194</v>
      </c>
      <c r="B140" s="17">
        <v>0.24031084093937069</v>
      </c>
      <c r="C140" s="17">
        <v>0</v>
      </c>
      <c r="D140" s="17">
        <v>0.24031084093937069</v>
      </c>
      <c r="E140" s="17">
        <v>0.24031084093937069</v>
      </c>
      <c r="F140" s="17">
        <v>0.24031084093937069</v>
      </c>
      <c r="G140" s="17">
        <v>0.24031084093937069</v>
      </c>
      <c r="H140" s="17">
        <v>0.24031084093937069</v>
      </c>
      <c r="I140" s="17">
        <v>0.57592333479908242</v>
      </c>
    </row>
    <row r="141" spans="1:9" x14ac:dyDescent="0.35">
      <c r="A141" s="16" t="s">
        <v>195</v>
      </c>
      <c r="B141" s="17">
        <v>0</v>
      </c>
      <c r="C141" s="17">
        <v>0</v>
      </c>
      <c r="D141" s="17">
        <v>0</v>
      </c>
      <c r="E141" s="17">
        <v>0</v>
      </c>
      <c r="F141" s="17">
        <v>0</v>
      </c>
      <c r="G141" s="17">
        <v>0</v>
      </c>
      <c r="H141" s="17">
        <v>0</v>
      </c>
      <c r="I141" s="17">
        <v>0</v>
      </c>
    </row>
    <row r="142" spans="1:9" x14ac:dyDescent="0.35">
      <c r="A142" s="14" t="s">
        <v>210</v>
      </c>
      <c r="B142" s="18">
        <v>0.35133577473127708</v>
      </c>
      <c r="C142" s="18">
        <v>0.29925063225519027</v>
      </c>
      <c r="D142" s="25">
        <v>0.35133577473127708</v>
      </c>
      <c r="E142" s="25">
        <v>0.35133577473127708</v>
      </c>
      <c r="F142" s="25">
        <v>0.35133577473127708</v>
      </c>
      <c r="G142" s="25">
        <v>0.35133577473127708</v>
      </c>
      <c r="H142" s="25">
        <v>0.35133577473127708</v>
      </c>
      <c r="I142" s="18">
        <v>0.42407666520091752</v>
      </c>
    </row>
    <row r="143" spans="1:9" x14ac:dyDescent="0.35">
      <c r="A143" s="14" t="s">
        <v>197</v>
      </c>
      <c r="B143" s="18">
        <v>0.40835338432935209</v>
      </c>
      <c r="C143" s="18">
        <v>0.70074936774480978</v>
      </c>
      <c r="D143" s="18">
        <v>0.40835338432935209</v>
      </c>
      <c r="E143" s="18">
        <v>0.40835338432935209</v>
      </c>
      <c r="F143" s="18">
        <v>0.40835338432935209</v>
      </c>
      <c r="G143" s="18">
        <v>0.40835338432935209</v>
      </c>
      <c r="H143" s="18">
        <v>0.40835338432935209</v>
      </c>
      <c r="I143" s="18">
        <v>0</v>
      </c>
    </row>
    <row r="144" spans="1:9" x14ac:dyDescent="0.35">
      <c r="A144" s="14" t="s">
        <v>198</v>
      </c>
      <c r="B144" s="18">
        <v>0</v>
      </c>
      <c r="C144" s="18">
        <v>0</v>
      </c>
      <c r="D144" s="18">
        <v>0</v>
      </c>
      <c r="E144" s="18">
        <v>0</v>
      </c>
      <c r="F144" s="18">
        <v>0</v>
      </c>
      <c r="G144" s="18">
        <v>0</v>
      </c>
      <c r="H144" s="18">
        <v>0</v>
      </c>
      <c r="I144" s="18">
        <v>0</v>
      </c>
    </row>
    <row r="145" spans="1:9" x14ac:dyDescent="0.35">
      <c r="A145" s="14" t="s">
        <v>199</v>
      </c>
      <c r="B145" s="18">
        <v>0.24031084093937069</v>
      </c>
      <c r="C145" s="18">
        <v>0</v>
      </c>
      <c r="D145" s="18">
        <v>0.24031084093937069</v>
      </c>
      <c r="E145" s="18">
        <v>0.24031084093937069</v>
      </c>
      <c r="F145" s="18">
        <v>0.24031084093937069</v>
      </c>
      <c r="G145" s="18">
        <v>0.24031084093937069</v>
      </c>
      <c r="H145" s="18">
        <v>0.24031084093937069</v>
      </c>
      <c r="I145" s="18">
        <v>0.57592333479908242</v>
      </c>
    </row>
    <row r="146" spans="1:9" x14ac:dyDescent="0.35">
      <c r="A146" s="14" t="s">
        <v>200</v>
      </c>
      <c r="B146" s="18">
        <v>0</v>
      </c>
      <c r="C146" s="18">
        <v>0</v>
      </c>
      <c r="D146" s="18">
        <v>0</v>
      </c>
      <c r="E146" s="18">
        <v>0</v>
      </c>
      <c r="F146" s="18">
        <v>0</v>
      </c>
      <c r="G146" s="18">
        <v>0</v>
      </c>
      <c r="H146" s="18">
        <v>0</v>
      </c>
      <c r="I146" s="18">
        <v>0</v>
      </c>
    </row>
    <row r="147" spans="1:9" x14ac:dyDescent="0.35">
      <c r="A147" s="14" t="s">
        <v>201</v>
      </c>
      <c r="B147" s="18">
        <v>0</v>
      </c>
      <c r="C147" s="18">
        <v>0</v>
      </c>
      <c r="D147" s="18">
        <v>0</v>
      </c>
      <c r="E147" s="18">
        <v>0</v>
      </c>
      <c r="F147" s="18">
        <v>0</v>
      </c>
      <c r="G147" s="18">
        <v>0</v>
      </c>
      <c r="H147" s="18">
        <v>0</v>
      </c>
      <c r="I147" s="18">
        <v>0</v>
      </c>
    </row>
    <row r="148" spans="1:9" x14ac:dyDescent="0.35">
      <c r="A148" s="14" t="s">
        <v>202</v>
      </c>
      <c r="B148" s="18">
        <v>0</v>
      </c>
      <c r="C148" s="18">
        <v>0</v>
      </c>
      <c r="D148" s="18">
        <v>0</v>
      </c>
      <c r="E148" s="18">
        <v>0</v>
      </c>
      <c r="F148" s="18">
        <v>0</v>
      </c>
      <c r="G148" s="18">
        <v>0</v>
      </c>
      <c r="H148" s="18">
        <v>0</v>
      </c>
      <c r="I148" s="18">
        <v>0</v>
      </c>
    </row>
    <row r="149" spans="1:9" x14ac:dyDescent="0.35">
      <c r="A149" s="14" t="s">
        <v>211</v>
      </c>
      <c r="B149" s="18">
        <v>0</v>
      </c>
      <c r="C149" s="18">
        <v>0</v>
      </c>
      <c r="D149" s="18">
        <v>0</v>
      </c>
      <c r="E149" s="18">
        <v>0</v>
      </c>
      <c r="F149" s="18">
        <v>0</v>
      </c>
      <c r="G149" s="18">
        <v>0</v>
      </c>
      <c r="H149" s="18">
        <v>0</v>
      </c>
      <c r="I149" s="18">
        <v>0</v>
      </c>
    </row>
    <row r="150" spans="1:9" x14ac:dyDescent="0.35">
      <c r="A150" s="14" t="s">
        <v>212</v>
      </c>
      <c r="B150" s="18">
        <v>0</v>
      </c>
      <c r="C150" s="18">
        <v>0</v>
      </c>
      <c r="D150" s="18">
        <v>0</v>
      </c>
      <c r="E150" s="18">
        <v>0</v>
      </c>
      <c r="F150" s="18">
        <v>0</v>
      </c>
      <c r="G150" s="18">
        <v>0</v>
      </c>
      <c r="H150" s="18">
        <v>0</v>
      </c>
      <c r="I150" s="18">
        <v>0</v>
      </c>
    </row>
    <row r="151" spans="1:9" x14ac:dyDescent="0.35">
      <c r="A151" s="14" t="s">
        <v>203</v>
      </c>
      <c r="B151" s="18">
        <v>0</v>
      </c>
      <c r="C151" s="18">
        <v>0</v>
      </c>
      <c r="D151" s="18">
        <v>0</v>
      </c>
      <c r="E151" s="18">
        <v>0</v>
      </c>
      <c r="F151" s="18">
        <v>0</v>
      </c>
      <c r="G151" s="18">
        <v>0</v>
      </c>
      <c r="H151" s="18">
        <v>0</v>
      </c>
      <c r="I151" s="18">
        <v>0</v>
      </c>
    </row>
    <row r="152" spans="1:9" x14ac:dyDescent="0.35">
      <c r="A152" s="14" t="s">
        <v>204</v>
      </c>
      <c r="B152" s="18">
        <v>0</v>
      </c>
      <c r="C152" s="18">
        <v>0</v>
      </c>
      <c r="D152" s="18">
        <v>0</v>
      </c>
      <c r="E152" s="18">
        <v>0</v>
      </c>
      <c r="F152" s="18">
        <v>0</v>
      </c>
      <c r="G152" s="18">
        <v>0</v>
      </c>
      <c r="H152" s="18">
        <v>0</v>
      </c>
      <c r="I152" s="18">
        <v>0</v>
      </c>
    </row>
    <row r="153" spans="1:9" x14ac:dyDescent="0.35">
      <c r="A153" s="14" t="s">
        <v>213</v>
      </c>
      <c r="B153" s="1">
        <v>75.968915906062932</v>
      </c>
      <c r="C153" s="1">
        <v>100</v>
      </c>
      <c r="D153" s="1">
        <v>75.968915906062932</v>
      </c>
      <c r="E153" s="1">
        <v>75.968915906062932</v>
      </c>
      <c r="F153" s="1">
        <v>75.968915906062932</v>
      </c>
      <c r="G153" s="1">
        <v>75.968915906062932</v>
      </c>
      <c r="H153" s="1">
        <v>75.968915906062932</v>
      </c>
      <c r="I153" s="1">
        <v>42.407666520091752</v>
      </c>
    </row>
    <row r="155" spans="1:9" x14ac:dyDescent="0.35">
      <c r="C155" s="187"/>
      <c r="D155" s="187"/>
      <c r="E155" s="187"/>
      <c r="F155" s="187"/>
      <c r="G155" s="170"/>
      <c r="H155" s="170"/>
      <c r="I155" s="170"/>
    </row>
    <row r="156" spans="1:9" ht="29" x14ac:dyDescent="0.35">
      <c r="A156" s="12" t="s">
        <v>597</v>
      </c>
      <c r="B156" s="13" t="s">
        <v>208</v>
      </c>
      <c r="C156" s="13" t="s">
        <v>458</v>
      </c>
      <c r="D156" s="13" t="s">
        <v>466</v>
      </c>
      <c r="E156" s="13" t="s">
        <v>467</v>
      </c>
      <c r="F156" s="13" t="s">
        <v>468</v>
      </c>
      <c r="G156" s="13" t="s">
        <v>636</v>
      </c>
      <c r="H156" s="13" t="s">
        <v>641</v>
      </c>
      <c r="I156" s="13" t="s">
        <v>647</v>
      </c>
    </row>
    <row r="157" spans="1:9" x14ac:dyDescent="0.35">
      <c r="A157" s="14" t="s">
        <v>209</v>
      </c>
      <c r="B157" s="15">
        <v>35</v>
      </c>
      <c r="C157" s="15">
        <v>8</v>
      </c>
      <c r="D157" s="15">
        <v>21</v>
      </c>
      <c r="E157" s="15">
        <v>27</v>
      </c>
      <c r="F157" s="15">
        <v>35</v>
      </c>
      <c r="G157" s="15">
        <v>44</v>
      </c>
      <c r="H157" s="15">
        <v>58</v>
      </c>
      <c r="I157" s="15">
        <v>62</v>
      </c>
    </row>
    <row r="158" spans="1:9" x14ac:dyDescent="0.35">
      <c r="A158" s="16" t="s">
        <v>336</v>
      </c>
      <c r="B158" s="17">
        <v>0.4296051750448735</v>
      </c>
      <c r="C158" s="17">
        <v>0.3719657662139611</v>
      </c>
      <c r="D158" s="17">
        <v>0.33349089637818441</v>
      </c>
      <c r="E158" s="17">
        <v>0.36788547580360609</v>
      </c>
      <c r="F158" s="17">
        <v>0.42960517504487339</v>
      </c>
      <c r="G158" s="17">
        <v>0.38797340815690817</v>
      </c>
      <c r="H158" s="17">
        <v>0.44129239755645983</v>
      </c>
      <c r="I158" s="17">
        <v>0.47998633969961879</v>
      </c>
    </row>
    <row r="159" spans="1:9" x14ac:dyDescent="0.35">
      <c r="A159" s="16" t="s">
        <v>194</v>
      </c>
      <c r="B159" s="17">
        <v>0.34075535706040549</v>
      </c>
      <c r="C159" s="17">
        <v>0.37296964973764363</v>
      </c>
      <c r="D159" s="17">
        <v>0.43057848600472282</v>
      </c>
      <c r="E159" s="17">
        <v>0.36950369645868703</v>
      </c>
      <c r="F159" s="17">
        <v>0.34075535706040538</v>
      </c>
      <c r="G159" s="17">
        <v>0.40141723332223761</v>
      </c>
      <c r="H159" s="17">
        <v>0.38506524439455292</v>
      </c>
      <c r="I159" s="17">
        <v>0.37361669046363821</v>
      </c>
    </row>
    <row r="160" spans="1:9" x14ac:dyDescent="0.35">
      <c r="A160" s="16" t="s">
        <v>195</v>
      </c>
      <c r="B160" s="17">
        <v>0.22963946789472101</v>
      </c>
      <c r="C160" s="17">
        <v>0.25506458404839533</v>
      </c>
      <c r="D160" s="17">
        <v>0.23593061761709291</v>
      </c>
      <c r="E160" s="17">
        <v>0.26261082773770689</v>
      </c>
      <c r="F160" s="17">
        <v>0.22963946789472101</v>
      </c>
      <c r="G160" s="17">
        <v>0.2106093585208543</v>
      </c>
      <c r="H160" s="17">
        <v>0.17364235804898739</v>
      </c>
      <c r="I160" s="17">
        <v>0.146396969836743</v>
      </c>
    </row>
    <row r="161" spans="1:9" x14ac:dyDescent="0.35">
      <c r="A161" s="14" t="s">
        <v>210</v>
      </c>
      <c r="B161" s="18">
        <v>0.1118334317895138</v>
      </c>
      <c r="C161" s="18">
        <v>9.7055222230863367E-2</v>
      </c>
      <c r="D161" s="23">
        <v>3.6722647249650263E-2</v>
      </c>
      <c r="E161" s="18">
        <v>0.1019975915164277</v>
      </c>
      <c r="F161" s="18">
        <v>0.1118334317895137</v>
      </c>
      <c r="G161" s="18">
        <v>0.14454752100696641</v>
      </c>
      <c r="H161" s="18">
        <v>0.1881801798500907</v>
      </c>
      <c r="I161" s="18">
        <v>0.20124443799996339</v>
      </c>
    </row>
    <row r="162" spans="1:9" x14ac:dyDescent="0.35">
      <c r="A162" s="14" t="s">
        <v>197</v>
      </c>
      <c r="B162" s="18">
        <v>0.31777174325535967</v>
      </c>
      <c r="C162" s="18">
        <v>0.27491054398309772</v>
      </c>
      <c r="D162" s="18">
        <v>0.29676824912853411</v>
      </c>
      <c r="E162" s="18">
        <v>0.26588788428717841</v>
      </c>
      <c r="F162" s="18">
        <v>0.31777174325535967</v>
      </c>
      <c r="G162" s="18">
        <v>0.2434258871499419</v>
      </c>
      <c r="H162" s="18">
        <v>0.25311221770636899</v>
      </c>
      <c r="I162" s="18">
        <v>0.27874190169965551</v>
      </c>
    </row>
    <row r="163" spans="1:9" x14ac:dyDescent="0.35">
      <c r="A163" s="14" t="s">
        <v>198</v>
      </c>
      <c r="B163" s="18">
        <v>0.16437141362264909</v>
      </c>
      <c r="C163" s="18">
        <v>0.1222097189370339</v>
      </c>
      <c r="D163" s="18">
        <v>0.133454147800423</v>
      </c>
      <c r="E163" s="18">
        <v>0.13941831179607589</v>
      </c>
      <c r="F163" s="18">
        <v>0.16437141362264901</v>
      </c>
      <c r="G163" s="18">
        <v>0.215427043713253</v>
      </c>
      <c r="H163" s="18">
        <v>0.1967517666765318</v>
      </c>
      <c r="I163" s="18">
        <v>0.21339201817117129</v>
      </c>
    </row>
    <row r="164" spans="1:9" x14ac:dyDescent="0.35">
      <c r="A164" s="14" t="s">
        <v>199</v>
      </c>
      <c r="B164" s="18">
        <v>0.17638394343775651</v>
      </c>
      <c r="C164" s="18">
        <v>0.25075993080060971</v>
      </c>
      <c r="D164" s="19">
        <v>0.29712433820429979</v>
      </c>
      <c r="E164" s="18">
        <v>0.230085384662611</v>
      </c>
      <c r="F164" s="18">
        <v>0.1763839434377564</v>
      </c>
      <c r="G164" s="18">
        <v>0.18599018960898461</v>
      </c>
      <c r="H164" s="18">
        <v>0.18831347771802101</v>
      </c>
      <c r="I164" s="18">
        <v>0.16022467229246681</v>
      </c>
    </row>
    <row r="165" spans="1:9" x14ac:dyDescent="0.35">
      <c r="A165" s="14" t="s">
        <v>200</v>
      </c>
      <c r="B165" s="18">
        <v>0.14575540142538729</v>
      </c>
      <c r="C165" s="18">
        <v>0.25506458404839533</v>
      </c>
      <c r="D165" s="18">
        <v>0.1423336321657338</v>
      </c>
      <c r="E165" s="18">
        <v>0.1901317486727355</v>
      </c>
      <c r="F165" s="18">
        <v>0.1457554014253872</v>
      </c>
      <c r="G165" s="18">
        <v>0.13075560395357891</v>
      </c>
      <c r="H165" s="18">
        <v>9.9527825708198653E-2</v>
      </c>
      <c r="I165" s="18">
        <v>7.7523194123201175E-2</v>
      </c>
    </row>
    <row r="166" spans="1:9" x14ac:dyDescent="0.35">
      <c r="A166" s="14" t="s">
        <v>201</v>
      </c>
      <c r="B166" s="18">
        <v>5.5562615595783342E-2</v>
      </c>
      <c r="C166" s="18">
        <v>0</v>
      </c>
      <c r="D166" s="18">
        <v>9.3596985451359055E-2</v>
      </c>
      <c r="E166" s="18">
        <v>7.2479079064971419E-2</v>
      </c>
      <c r="F166" s="18">
        <v>5.5562615595783321E-2</v>
      </c>
      <c r="G166" s="18">
        <v>4.256318971352286E-2</v>
      </c>
      <c r="H166" s="18">
        <v>4.5729906924334672E-2</v>
      </c>
      <c r="I166" s="18">
        <v>4.2496272369709001E-2</v>
      </c>
    </row>
    <row r="167" spans="1:9" x14ac:dyDescent="0.35">
      <c r="A167" s="14" t="s">
        <v>202</v>
      </c>
      <c r="B167" s="18">
        <v>0</v>
      </c>
      <c r="C167" s="18">
        <v>0</v>
      </c>
      <c r="D167" s="18">
        <v>0</v>
      </c>
      <c r="E167" s="18">
        <v>0</v>
      </c>
      <c r="F167" s="18">
        <v>0</v>
      </c>
      <c r="G167" s="18">
        <v>0</v>
      </c>
      <c r="H167" s="18">
        <v>0</v>
      </c>
      <c r="I167" s="18">
        <v>0</v>
      </c>
    </row>
    <row r="168" spans="1:9" x14ac:dyDescent="0.35">
      <c r="A168" s="14" t="s">
        <v>211</v>
      </c>
      <c r="B168" s="18">
        <v>0</v>
      </c>
      <c r="C168" s="18">
        <v>0</v>
      </c>
      <c r="D168" s="18">
        <v>0</v>
      </c>
      <c r="E168" s="18">
        <v>0</v>
      </c>
      <c r="F168" s="18">
        <v>0</v>
      </c>
      <c r="G168" s="18">
        <v>0</v>
      </c>
      <c r="H168" s="18">
        <v>0</v>
      </c>
      <c r="I168" s="18">
        <v>0</v>
      </c>
    </row>
    <row r="169" spans="1:9" x14ac:dyDescent="0.35">
      <c r="A169" s="14" t="s">
        <v>212</v>
      </c>
      <c r="B169" s="18">
        <v>2.832145087355039E-2</v>
      </c>
      <c r="C169" s="18">
        <v>0</v>
      </c>
      <c r="D169" s="18">
        <v>0</v>
      </c>
      <c r="E169" s="23">
        <v>0</v>
      </c>
      <c r="F169" s="18">
        <v>2.832145087355039E-2</v>
      </c>
      <c r="G169" s="18">
        <v>2.1695366094043728E-2</v>
      </c>
      <c r="H169" s="18">
        <v>1.651395848433497E-2</v>
      </c>
      <c r="I169" s="18">
        <v>1.5346230177409791E-2</v>
      </c>
    </row>
    <row r="170" spans="1:9" x14ac:dyDescent="0.35">
      <c r="A170" s="14" t="s">
        <v>203</v>
      </c>
      <c r="B170" s="18">
        <v>0</v>
      </c>
      <c r="C170" s="18">
        <v>0</v>
      </c>
      <c r="D170" s="18">
        <v>0</v>
      </c>
      <c r="E170" s="18">
        <v>0</v>
      </c>
      <c r="F170" s="18">
        <v>0</v>
      </c>
      <c r="G170" s="18">
        <v>1.559519875970888E-2</v>
      </c>
      <c r="H170" s="18">
        <v>1.1870666932119181E-2</v>
      </c>
      <c r="I170" s="18">
        <v>1.103127316642301E-2</v>
      </c>
    </row>
    <row r="171" spans="1:9" x14ac:dyDescent="0.35">
      <c r="A171" s="14" t="s">
        <v>204</v>
      </c>
      <c r="B171" s="18">
        <v>0</v>
      </c>
      <c r="C171" s="18">
        <v>0</v>
      </c>
      <c r="D171" s="18">
        <v>0</v>
      </c>
      <c r="E171" s="18">
        <v>0</v>
      </c>
      <c r="F171" s="18">
        <v>0</v>
      </c>
      <c r="G171" s="18">
        <v>0</v>
      </c>
      <c r="H171" s="18">
        <v>0</v>
      </c>
      <c r="I171" s="18">
        <v>0</v>
      </c>
    </row>
    <row r="172" spans="1:9" x14ac:dyDescent="0.35">
      <c r="A172" s="14" t="s">
        <v>213</v>
      </c>
      <c r="B172" s="1">
        <v>19.996570715015249</v>
      </c>
      <c r="C172" s="1">
        <v>11.69011821655657</v>
      </c>
      <c r="D172" s="1">
        <v>9.7560278761091475</v>
      </c>
      <c r="E172" s="1">
        <v>10.52746480658992</v>
      </c>
      <c r="F172" s="1">
        <v>19.99657071501526</v>
      </c>
      <c r="G172" s="1">
        <v>17.736404963605381</v>
      </c>
      <c r="H172" s="1">
        <v>26.765003950747229</v>
      </c>
      <c r="I172" s="1">
        <v>33.358936986287603</v>
      </c>
    </row>
    <row r="174" spans="1:9" x14ac:dyDescent="0.35">
      <c r="C174" s="187"/>
      <c r="D174" s="187"/>
      <c r="E174" s="187"/>
      <c r="F174" s="187"/>
      <c r="G174" s="170"/>
      <c r="H174" s="170"/>
      <c r="I174" s="170"/>
    </row>
    <row r="175" spans="1:9" ht="29" x14ac:dyDescent="0.35">
      <c r="A175" s="12" t="s">
        <v>486</v>
      </c>
      <c r="B175" s="13" t="s">
        <v>208</v>
      </c>
      <c r="C175" s="13" t="s">
        <v>458</v>
      </c>
      <c r="D175" s="13" t="s">
        <v>466</v>
      </c>
      <c r="E175" s="13" t="s">
        <v>467</v>
      </c>
      <c r="F175" s="13" t="s">
        <v>468</v>
      </c>
      <c r="G175" s="13" t="s">
        <v>636</v>
      </c>
      <c r="H175" s="13" t="s">
        <v>641</v>
      </c>
      <c r="I175" s="13" t="s">
        <v>647</v>
      </c>
    </row>
    <row r="176" spans="1:9" x14ac:dyDescent="0.35">
      <c r="A176" s="14" t="s">
        <v>209</v>
      </c>
      <c r="B176" s="15">
        <v>0</v>
      </c>
      <c r="C176" s="15">
        <v>0</v>
      </c>
      <c r="D176" s="15">
        <v>0</v>
      </c>
      <c r="E176" s="15">
        <v>0</v>
      </c>
      <c r="F176" s="15">
        <v>0</v>
      </c>
      <c r="G176" s="15">
        <v>0</v>
      </c>
      <c r="H176" s="15">
        <v>0</v>
      </c>
      <c r="I176" s="15">
        <v>0</v>
      </c>
    </row>
    <row r="177" spans="1:9" x14ac:dyDescent="0.35">
      <c r="A177" s="16" t="s">
        <v>336</v>
      </c>
      <c r="B177" s="17" t="s">
        <v>214</v>
      </c>
      <c r="C177" s="168" t="s">
        <v>214</v>
      </c>
      <c r="D177" s="168" t="s">
        <v>214</v>
      </c>
      <c r="E177" s="168" t="s">
        <v>214</v>
      </c>
      <c r="F177" s="168" t="s">
        <v>214</v>
      </c>
      <c r="G177" s="168" t="s">
        <v>214</v>
      </c>
      <c r="H177" s="168" t="s">
        <v>214</v>
      </c>
      <c r="I177" s="168" t="s">
        <v>214</v>
      </c>
    </row>
    <row r="178" spans="1:9" x14ac:dyDescent="0.35">
      <c r="A178" s="16" t="s">
        <v>194</v>
      </c>
      <c r="B178" s="17" t="s">
        <v>214</v>
      </c>
      <c r="C178" s="168" t="s">
        <v>214</v>
      </c>
      <c r="D178" s="168" t="s">
        <v>214</v>
      </c>
      <c r="E178" s="168" t="s">
        <v>214</v>
      </c>
      <c r="F178" s="168" t="s">
        <v>214</v>
      </c>
      <c r="G178" s="168" t="s">
        <v>214</v>
      </c>
      <c r="H178" s="168" t="s">
        <v>214</v>
      </c>
      <c r="I178" s="168" t="s">
        <v>214</v>
      </c>
    </row>
    <row r="179" spans="1:9" x14ac:dyDescent="0.35">
      <c r="A179" s="16" t="s">
        <v>195</v>
      </c>
      <c r="B179" s="17" t="s">
        <v>214</v>
      </c>
      <c r="C179" s="168" t="s">
        <v>214</v>
      </c>
      <c r="D179" s="168" t="s">
        <v>214</v>
      </c>
      <c r="E179" s="168" t="s">
        <v>214</v>
      </c>
      <c r="F179" s="168" t="s">
        <v>214</v>
      </c>
      <c r="G179" s="168" t="s">
        <v>214</v>
      </c>
      <c r="H179" s="168" t="s">
        <v>214</v>
      </c>
      <c r="I179" s="168" t="s">
        <v>214</v>
      </c>
    </row>
    <row r="180" spans="1:9" x14ac:dyDescent="0.35">
      <c r="A180" s="14" t="s">
        <v>210</v>
      </c>
      <c r="B180" s="18" t="s">
        <v>214</v>
      </c>
      <c r="C180" s="18" t="s">
        <v>214</v>
      </c>
      <c r="D180" s="18" t="s">
        <v>214</v>
      </c>
      <c r="E180" s="18" t="s">
        <v>214</v>
      </c>
      <c r="F180" s="18" t="s">
        <v>214</v>
      </c>
      <c r="G180" s="18" t="s">
        <v>214</v>
      </c>
      <c r="H180" s="18" t="s">
        <v>214</v>
      </c>
      <c r="I180" s="18" t="s">
        <v>214</v>
      </c>
    </row>
    <row r="181" spans="1:9" x14ac:dyDescent="0.35">
      <c r="A181" s="14" t="s">
        <v>197</v>
      </c>
      <c r="B181" s="18" t="s">
        <v>214</v>
      </c>
      <c r="C181" s="18" t="s">
        <v>214</v>
      </c>
      <c r="D181" s="18" t="s">
        <v>214</v>
      </c>
      <c r="E181" s="18" t="s">
        <v>214</v>
      </c>
      <c r="F181" s="18" t="s">
        <v>214</v>
      </c>
      <c r="G181" s="18" t="s">
        <v>214</v>
      </c>
      <c r="H181" s="18" t="s">
        <v>214</v>
      </c>
      <c r="I181" s="18" t="s">
        <v>214</v>
      </c>
    </row>
    <row r="182" spans="1:9" x14ac:dyDescent="0.35">
      <c r="A182" s="14" t="s">
        <v>198</v>
      </c>
      <c r="B182" s="18" t="s">
        <v>214</v>
      </c>
      <c r="C182" s="18" t="s">
        <v>214</v>
      </c>
      <c r="D182" s="18" t="s">
        <v>214</v>
      </c>
      <c r="E182" s="18" t="s">
        <v>214</v>
      </c>
      <c r="F182" s="18" t="s">
        <v>214</v>
      </c>
      <c r="G182" s="18" t="s">
        <v>214</v>
      </c>
      <c r="H182" s="18" t="s">
        <v>214</v>
      </c>
      <c r="I182" s="18" t="s">
        <v>214</v>
      </c>
    </row>
    <row r="183" spans="1:9" x14ac:dyDescent="0.35">
      <c r="A183" s="14" t="s">
        <v>199</v>
      </c>
      <c r="B183" s="18" t="s">
        <v>214</v>
      </c>
      <c r="C183" s="18" t="s">
        <v>214</v>
      </c>
      <c r="D183" s="18" t="s">
        <v>214</v>
      </c>
      <c r="E183" s="18" t="s">
        <v>214</v>
      </c>
      <c r="F183" s="18" t="s">
        <v>214</v>
      </c>
      <c r="G183" s="18" t="s">
        <v>214</v>
      </c>
      <c r="H183" s="18" t="s">
        <v>214</v>
      </c>
      <c r="I183" s="18" t="s">
        <v>214</v>
      </c>
    </row>
    <row r="184" spans="1:9" x14ac:dyDescent="0.35">
      <c r="A184" s="14" t="s">
        <v>200</v>
      </c>
      <c r="B184" s="18" t="s">
        <v>214</v>
      </c>
      <c r="C184" s="18" t="s">
        <v>214</v>
      </c>
      <c r="D184" s="18" t="s">
        <v>214</v>
      </c>
      <c r="E184" s="18" t="s">
        <v>214</v>
      </c>
      <c r="F184" s="18" t="s">
        <v>214</v>
      </c>
      <c r="G184" s="18" t="s">
        <v>214</v>
      </c>
      <c r="H184" s="18" t="s">
        <v>214</v>
      </c>
      <c r="I184" s="18" t="s">
        <v>214</v>
      </c>
    </row>
    <row r="185" spans="1:9" x14ac:dyDescent="0.35">
      <c r="A185" s="14" t="s">
        <v>201</v>
      </c>
      <c r="B185" s="18" t="s">
        <v>214</v>
      </c>
      <c r="C185" s="18" t="s">
        <v>214</v>
      </c>
      <c r="D185" s="18" t="s">
        <v>214</v>
      </c>
      <c r="E185" s="18" t="s">
        <v>214</v>
      </c>
      <c r="F185" s="18" t="s">
        <v>214</v>
      </c>
      <c r="G185" s="18" t="s">
        <v>214</v>
      </c>
      <c r="H185" s="18" t="s">
        <v>214</v>
      </c>
      <c r="I185" s="18" t="s">
        <v>214</v>
      </c>
    </row>
    <row r="186" spans="1:9" x14ac:dyDescent="0.35">
      <c r="A186" s="14" t="s">
        <v>202</v>
      </c>
      <c r="B186" s="18" t="s">
        <v>214</v>
      </c>
      <c r="C186" s="18" t="s">
        <v>214</v>
      </c>
      <c r="D186" s="18" t="s">
        <v>214</v>
      </c>
      <c r="E186" s="18" t="s">
        <v>214</v>
      </c>
      <c r="F186" s="18" t="s">
        <v>214</v>
      </c>
      <c r="G186" s="18" t="s">
        <v>214</v>
      </c>
      <c r="H186" s="18" t="s">
        <v>214</v>
      </c>
      <c r="I186" s="18" t="s">
        <v>214</v>
      </c>
    </row>
    <row r="187" spans="1:9" x14ac:dyDescent="0.35">
      <c r="A187" s="14" t="s">
        <v>211</v>
      </c>
      <c r="B187" s="18" t="s">
        <v>214</v>
      </c>
      <c r="C187" s="18" t="s">
        <v>214</v>
      </c>
      <c r="D187" s="18" t="s">
        <v>214</v>
      </c>
      <c r="E187" s="18" t="s">
        <v>214</v>
      </c>
      <c r="F187" s="18" t="s">
        <v>214</v>
      </c>
      <c r="G187" s="18" t="s">
        <v>214</v>
      </c>
      <c r="H187" s="18" t="s">
        <v>214</v>
      </c>
      <c r="I187" s="18" t="s">
        <v>214</v>
      </c>
    </row>
    <row r="188" spans="1:9" x14ac:dyDescent="0.35">
      <c r="A188" s="14" t="s">
        <v>212</v>
      </c>
      <c r="B188" s="18" t="s">
        <v>214</v>
      </c>
      <c r="C188" s="18" t="s">
        <v>214</v>
      </c>
      <c r="D188" s="18" t="s">
        <v>214</v>
      </c>
      <c r="E188" s="18" t="s">
        <v>214</v>
      </c>
      <c r="F188" s="18" t="s">
        <v>214</v>
      </c>
      <c r="G188" s="18" t="s">
        <v>214</v>
      </c>
      <c r="H188" s="18" t="s">
        <v>214</v>
      </c>
      <c r="I188" s="18" t="s">
        <v>214</v>
      </c>
    </row>
    <row r="189" spans="1:9" x14ac:dyDescent="0.35">
      <c r="A189" s="14" t="s">
        <v>203</v>
      </c>
      <c r="B189" s="18" t="s">
        <v>214</v>
      </c>
      <c r="C189" s="18" t="s">
        <v>214</v>
      </c>
      <c r="D189" s="18" t="s">
        <v>214</v>
      </c>
      <c r="E189" s="18" t="s">
        <v>214</v>
      </c>
      <c r="F189" s="18" t="s">
        <v>214</v>
      </c>
      <c r="G189" s="18" t="s">
        <v>214</v>
      </c>
      <c r="H189" s="18" t="s">
        <v>214</v>
      </c>
      <c r="I189" s="18" t="s">
        <v>214</v>
      </c>
    </row>
    <row r="190" spans="1:9" x14ac:dyDescent="0.35">
      <c r="A190" s="14" t="s">
        <v>204</v>
      </c>
      <c r="B190" s="18" t="s">
        <v>214</v>
      </c>
      <c r="C190" s="18" t="s">
        <v>214</v>
      </c>
      <c r="D190" s="18" t="s">
        <v>214</v>
      </c>
      <c r="E190" s="18" t="s">
        <v>214</v>
      </c>
      <c r="F190" s="18" t="s">
        <v>214</v>
      </c>
      <c r="G190" s="18" t="s">
        <v>214</v>
      </c>
      <c r="H190" s="18" t="s">
        <v>214</v>
      </c>
      <c r="I190" s="18" t="s">
        <v>214</v>
      </c>
    </row>
    <row r="192" spans="1:9" x14ac:dyDescent="0.35">
      <c r="C192" s="187"/>
      <c r="D192" s="187"/>
      <c r="E192" s="187"/>
      <c r="F192" s="187"/>
      <c r="G192" s="170"/>
      <c r="H192" s="170"/>
      <c r="I192" s="170"/>
    </row>
    <row r="193" spans="1:9" ht="29" x14ac:dyDescent="0.35">
      <c r="A193" s="12" t="s">
        <v>561</v>
      </c>
      <c r="B193" s="13" t="s">
        <v>208</v>
      </c>
      <c r="C193" s="13" t="s">
        <v>458</v>
      </c>
      <c r="D193" s="13" t="s">
        <v>466</v>
      </c>
      <c r="E193" s="13" t="s">
        <v>467</v>
      </c>
      <c r="F193" s="13" t="s">
        <v>468</v>
      </c>
      <c r="G193" s="13" t="s">
        <v>636</v>
      </c>
      <c r="H193" s="13" t="s">
        <v>641</v>
      </c>
      <c r="I193" s="13" t="s">
        <v>647</v>
      </c>
    </row>
    <row r="194" spans="1:9" x14ac:dyDescent="0.35">
      <c r="A194" s="14" t="s">
        <v>209</v>
      </c>
      <c r="B194" s="15">
        <v>3</v>
      </c>
      <c r="C194" s="15">
        <v>0</v>
      </c>
      <c r="D194" s="15">
        <v>0</v>
      </c>
      <c r="E194" s="15">
        <v>2</v>
      </c>
      <c r="F194" s="15">
        <v>3</v>
      </c>
      <c r="G194" s="15">
        <v>4</v>
      </c>
      <c r="H194" s="15">
        <v>4</v>
      </c>
      <c r="I194" s="15">
        <v>6</v>
      </c>
    </row>
    <row r="195" spans="1:9" x14ac:dyDescent="0.35">
      <c r="A195" s="16" t="s">
        <v>336</v>
      </c>
      <c r="B195" s="17">
        <v>0.29996696926009059</v>
      </c>
      <c r="C195" s="168" t="s">
        <v>214</v>
      </c>
      <c r="D195" s="168" t="s">
        <v>214</v>
      </c>
      <c r="E195" s="17">
        <v>0.44480937193426379</v>
      </c>
      <c r="F195" s="17">
        <v>0.29996696926009059</v>
      </c>
      <c r="G195" s="17">
        <v>0.21957357237128169</v>
      </c>
      <c r="H195" s="17">
        <v>0.21957357237128169</v>
      </c>
      <c r="I195" s="17">
        <v>0.36123069813203301</v>
      </c>
    </row>
    <row r="196" spans="1:9" x14ac:dyDescent="0.35">
      <c r="A196" s="16" t="s">
        <v>194</v>
      </c>
      <c r="B196" s="17">
        <v>0.32562803711693988</v>
      </c>
      <c r="C196" s="168" t="s">
        <v>214</v>
      </c>
      <c r="D196" s="168" t="s">
        <v>214</v>
      </c>
      <c r="E196" s="17">
        <v>0</v>
      </c>
      <c r="F196" s="17">
        <v>0.32562803711693988</v>
      </c>
      <c r="G196" s="17">
        <v>0.50636477955385495</v>
      </c>
      <c r="H196" s="17">
        <v>0.50636477955385495</v>
      </c>
      <c r="I196" s="17">
        <v>0.47385593702629031</v>
      </c>
    </row>
    <row r="197" spans="1:9" x14ac:dyDescent="0.35">
      <c r="A197" s="16" t="s">
        <v>195</v>
      </c>
      <c r="B197" s="17">
        <v>0.37440499362296942</v>
      </c>
      <c r="C197" s="168" t="s">
        <v>214</v>
      </c>
      <c r="D197" s="168" t="s">
        <v>214</v>
      </c>
      <c r="E197" s="17">
        <v>0.55519062806573616</v>
      </c>
      <c r="F197" s="17">
        <v>0.37440499362296942</v>
      </c>
      <c r="G197" s="17">
        <v>0.27406164807486338</v>
      </c>
      <c r="H197" s="17">
        <v>0.27406164807486338</v>
      </c>
      <c r="I197" s="152">
        <v>0.16491336484167671</v>
      </c>
    </row>
    <row r="198" spans="1:9" x14ac:dyDescent="0.35">
      <c r="A198" s="14" t="s">
        <v>210</v>
      </c>
      <c r="B198" s="18">
        <v>0</v>
      </c>
      <c r="C198" s="18" t="s">
        <v>214</v>
      </c>
      <c r="D198" s="18" t="s">
        <v>214</v>
      </c>
      <c r="E198" s="18">
        <v>0</v>
      </c>
      <c r="F198" s="18">
        <v>0</v>
      </c>
      <c r="G198" s="18">
        <v>0</v>
      </c>
      <c r="H198" s="18">
        <v>0</v>
      </c>
      <c r="I198" s="18">
        <v>0</v>
      </c>
    </row>
    <row r="199" spans="1:9" x14ac:dyDescent="0.35">
      <c r="A199" s="14" t="s">
        <v>197</v>
      </c>
      <c r="B199" s="18">
        <v>0.29996696926009059</v>
      </c>
      <c r="C199" s="18" t="s">
        <v>214</v>
      </c>
      <c r="D199" s="18" t="s">
        <v>214</v>
      </c>
      <c r="E199" s="18">
        <v>0.44480937193426379</v>
      </c>
      <c r="F199" s="18">
        <v>0.29996696926009059</v>
      </c>
      <c r="G199" s="18">
        <v>0.21957357237128169</v>
      </c>
      <c r="H199" s="18">
        <v>0.21957357237128169</v>
      </c>
      <c r="I199" s="18">
        <v>0.36123069813203301</v>
      </c>
    </row>
    <row r="200" spans="1:9" x14ac:dyDescent="0.35">
      <c r="A200" s="14" t="s">
        <v>198</v>
      </c>
      <c r="B200" s="18">
        <v>0.32562803711693988</v>
      </c>
      <c r="C200" s="18" t="s">
        <v>214</v>
      </c>
      <c r="D200" s="18" t="s">
        <v>214</v>
      </c>
      <c r="E200" s="18">
        <v>0</v>
      </c>
      <c r="F200" s="18">
        <v>0.32562803711693988</v>
      </c>
      <c r="G200" s="18">
        <v>0.50636477955385495</v>
      </c>
      <c r="H200" s="18">
        <v>0.50636477955385495</v>
      </c>
      <c r="I200" s="18">
        <v>0.30469903476143889</v>
      </c>
    </row>
    <row r="201" spans="1:9" x14ac:dyDescent="0.35">
      <c r="A201" s="14" t="s">
        <v>199</v>
      </c>
      <c r="B201" s="18">
        <v>0</v>
      </c>
      <c r="C201" s="18" t="s">
        <v>214</v>
      </c>
      <c r="D201" s="18" t="s">
        <v>214</v>
      </c>
      <c r="E201" s="18">
        <v>0</v>
      </c>
      <c r="F201" s="18">
        <v>0</v>
      </c>
      <c r="G201" s="18">
        <v>0</v>
      </c>
      <c r="H201" s="18">
        <v>0</v>
      </c>
      <c r="I201" s="18">
        <v>0.16915690226485139</v>
      </c>
    </row>
    <row r="202" spans="1:9" x14ac:dyDescent="0.35">
      <c r="A202" s="14" t="s">
        <v>200</v>
      </c>
      <c r="B202" s="18">
        <v>0.37440499362296942</v>
      </c>
      <c r="C202" s="18" t="s">
        <v>214</v>
      </c>
      <c r="D202" s="18" t="s">
        <v>214</v>
      </c>
      <c r="E202" s="18">
        <v>0.55519062806573616</v>
      </c>
      <c r="F202" s="18">
        <v>0.37440499362296942</v>
      </c>
      <c r="G202" s="18">
        <v>0.27406164807486338</v>
      </c>
      <c r="H202" s="18">
        <v>0.27406164807486338</v>
      </c>
      <c r="I202" s="25">
        <v>0.16491336484167671</v>
      </c>
    </row>
    <row r="203" spans="1:9" x14ac:dyDescent="0.35">
      <c r="A203" s="14" t="s">
        <v>201</v>
      </c>
      <c r="B203" s="18">
        <v>0</v>
      </c>
      <c r="C203" s="18" t="s">
        <v>214</v>
      </c>
      <c r="D203" s="18" t="s">
        <v>214</v>
      </c>
      <c r="E203" s="18">
        <v>0</v>
      </c>
      <c r="F203" s="18">
        <v>0</v>
      </c>
      <c r="G203" s="18">
        <v>0</v>
      </c>
      <c r="H203" s="18">
        <v>0</v>
      </c>
      <c r="I203" s="18">
        <v>0</v>
      </c>
    </row>
    <row r="204" spans="1:9" x14ac:dyDescent="0.35">
      <c r="A204" s="14" t="s">
        <v>202</v>
      </c>
      <c r="B204" s="18">
        <v>0</v>
      </c>
      <c r="C204" s="18" t="s">
        <v>214</v>
      </c>
      <c r="D204" s="18" t="s">
        <v>214</v>
      </c>
      <c r="E204" s="18">
        <v>0</v>
      </c>
      <c r="F204" s="18">
        <v>0</v>
      </c>
      <c r="G204" s="18">
        <v>0</v>
      </c>
      <c r="H204" s="18">
        <v>0</v>
      </c>
      <c r="I204" s="18">
        <v>0</v>
      </c>
    </row>
    <row r="205" spans="1:9" x14ac:dyDescent="0.35">
      <c r="A205" s="14" t="s">
        <v>211</v>
      </c>
      <c r="B205" s="18">
        <v>0</v>
      </c>
      <c r="C205" s="18" t="s">
        <v>214</v>
      </c>
      <c r="D205" s="18" t="s">
        <v>214</v>
      </c>
      <c r="E205" s="18">
        <v>0</v>
      </c>
      <c r="F205" s="18">
        <v>0</v>
      </c>
      <c r="G205" s="18">
        <v>0</v>
      </c>
      <c r="H205" s="18">
        <v>0</v>
      </c>
      <c r="I205" s="18">
        <v>0</v>
      </c>
    </row>
    <row r="206" spans="1:9" x14ac:dyDescent="0.35">
      <c r="A206" s="14" t="s">
        <v>212</v>
      </c>
      <c r="B206" s="18">
        <v>0</v>
      </c>
      <c r="C206" s="18" t="s">
        <v>214</v>
      </c>
      <c r="D206" s="18" t="s">
        <v>214</v>
      </c>
      <c r="E206" s="18">
        <v>0</v>
      </c>
      <c r="F206" s="18">
        <v>0</v>
      </c>
      <c r="G206" s="18">
        <v>0</v>
      </c>
      <c r="H206" s="18">
        <v>0</v>
      </c>
      <c r="I206" s="18">
        <v>0</v>
      </c>
    </row>
    <row r="207" spans="1:9" x14ac:dyDescent="0.35">
      <c r="A207" s="14" t="s">
        <v>203</v>
      </c>
      <c r="B207" s="18">
        <v>0</v>
      </c>
      <c r="C207" s="18" t="s">
        <v>214</v>
      </c>
      <c r="D207" s="18" t="s">
        <v>214</v>
      </c>
      <c r="E207" s="18">
        <v>0</v>
      </c>
      <c r="F207" s="18">
        <v>0</v>
      </c>
      <c r="G207" s="18">
        <v>0</v>
      </c>
      <c r="H207" s="18">
        <v>0</v>
      </c>
      <c r="I207" s="18">
        <v>0</v>
      </c>
    </row>
    <row r="208" spans="1:9" x14ac:dyDescent="0.35">
      <c r="A208" s="14" t="s">
        <v>204</v>
      </c>
      <c r="B208" s="18">
        <v>0</v>
      </c>
      <c r="C208" s="18" t="s">
        <v>214</v>
      </c>
      <c r="D208" s="18" t="s">
        <v>214</v>
      </c>
      <c r="E208" s="18">
        <v>0</v>
      </c>
      <c r="F208" s="18">
        <v>0</v>
      </c>
      <c r="G208" s="18">
        <v>0</v>
      </c>
      <c r="H208" s="18">
        <v>0</v>
      </c>
      <c r="I208" s="18">
        <v>0</v>
      </c>
    </row>
    <row r="209" spans="1:9" x14ac:dyDescent="0.35">
      <c r="A209" s="14" t="s">
        <v>213</v>
      </c>
      <c r="B209" s="1">
        <v>-7.4438024362878803</v>
      </c>
      <c r="C209" s="1" t="s">
        <v>214</v>
      </c>
      <c r="D209" s="1" t="s">
        <v>214</v>
      </c>
      <c r="E209" s="1">
        <v>-11.03812561314723</v>
      </c>
      <c r="F209" s="1">
        <v>-7.443802436287875</v>
      </c>
      <c r="G209" s="1">
        <v>-5.4488075703581771</v>
      </c>
      <c r="H209" s="1">
        <v>-5.4488075703581771</v>
      </c>
      <c r="I209" s="1">
        <v>19.63173332903563</v>
      </c>
    </row>
    <row r="211" spans="1:9" x14ac:dyDescent="0.35">
      <c r="C211" s="187"/>
      <c r="D211" s="187"/>
      <c r="E211" s="187"/>
      <c r="F211" s="187"/>
      <c r="G211" s="170"/>
      <c r="H211" s="170"/>
      <c r="I211" s="170"/>
    </row>
    <row r="212" spans="1:9" ht="29" x14ac:dyDescent="0.35">
      <c r="A212" s="12" t="s">
        <v>488</v>
      </c>
      <c r="B212" s="13" t="s">
        <v>208</v>
      </c>
      <c r="C212" s="13" t="s">
        <v>458</v>
      </c>
      <c r="D212" s="13" t="s">
        <v>466</v>
      </c>
      <c r="E212" s="13" t="s">
        <v>467</v>
      </c>
      <c r="F212" s="13" t="s">
        <v>468</v>
      </c>
      <c r="G212" s="13" t="s">
        <v>636</v>
      </c>
      <c r="H212" s="13" t="s">
        <v>641</v>
      </c>
      <c r="I212" s="13" t="s">
        <v>647</v>
      </c>
    </row>
    <row r="213" spans="1:9" x14ac:dyDescent="0.35">
      <c r="A213" s="14" t="s">
        <v>209</v>
      </c>
      <c r="B213" s="15">
        <v>0</v>
      </c>
      <c r="C213" s="15">
        <v>0</v>
      </c>
      <c r="D213" s="15">
        <v>0</v>
      </c>
      <c r="E213" s="15">
        <v>0</v>
      </c>
      <c r="F213" s="15">
        <v>0</v>
      </c>
      <c r="G213" s="15">
        <v>0</v>
      </c>
      <c r="H213" s="15">
        <v>0</v>
      </c>
      <c r="I213" s="15">
        <v>0</v>
      </c>
    </row>
    <row r="214" spans="1:9" x14ac:dyDescent="0.35">
      <c r="A214" s="16" t="s">
        <v>336</v>
      </c>
      <c r="B214" s="17" t="s">
        <v>214</v>
      </c>
      <c r="C214" s="168" t="s">
        <v>214</v>
      </c>
      <c r="D214" s="168" t="s">
        <v>214</v>
      </c>
      <c r="E214" s="168" t="s">
        <v>214</v>
      </c>
      <c r="F214" s="168" t="s">
        <v>214</v>
      </c>
      <c r="G214" s="168" t="s">
        <v>214</v>
      </c>
      <c r="H214" s="168" t="s">
        <v>214</v>
      </c>
      <c r="I214" s="168" t="s">
        <v>214</v>
      </c>
    </row>
    <row r="215" spans="1:9" x14ac:dyDescent="0.35">
      <c r="A215" s="16" t="s">
        <v>194</v>
      </c>
      <c r="B215" s="17" t="s">
        <v>214</v>
      </c>
      <c r="C215" s="168" t="s">
        <v>214</v>
      </c>
      <c r="D215" s="168" t="s">
        <v>214</v>
      </c>
      <c r="E215" s="168" t="s">
        <v>214</v>
      </c>
      <c r="F215" s="168" t="s">
        <v>214</v>
      </c>
      <c r="G215" s="168" t="s">
        <v>214</v>
      </c>
      <c r="H215" s="168" t="s">
        <v>214</v>
      </c>
      <c r="I215" s="168" t="s">
        <v>214</v>
      </c>
    </row>
    <row r="216" spans="1:9" x14ac:dyDescent="0.35">
      <c r="A216" s="16" t="s">
        <v>195</v>
      </c>
      <c r="B216" s="17" t="s">
        <v>214</v>
      </c>
      <c r="C216" s="168" t="s">
        <v>214</v>
      </c>
      <c r="D216" s="168" t="s">
        <v>214</v>
      </c>
      <c r="E216" s="168" t="s">
        <v>214</v>
      </c>
      <c r="F216" s="168" t="s">
        <v>214</v>
      </c>
      <c r="G216" s="168" t="s">
        <v>214</v>
      </c>
      <c r="H216" s="168" t="s">
        <v>214</v>
      </c>
      <c r="I216" s="168" t="s">
        <v>214</v>
      </c>
    </row>
    <row r="217" spans="1:9" x14ac:dyDescent="0.35">
      <c r="A217" s="14" t="s">
        <v>210</v>
      </c>
      <c r="B217" s="18" t="s">
        <v>214</v>
      </c>
      <c r="C217" s="18" t="s">
        <v>214</v>
      </c>
      <c r="D217" s="18" t="s">
        <v>214</v>
      </c>
      <c r="E217" s="18" t="s">
        <v>214</v>
      </c>
      <c r="F217" s="18" t="s">
        <v>214</v>
      </c>
      <c r="G217" s="18" t="s">
        <v>214</v>
      </c>
      <c r="H217" s="18" t="s">
        <v>214</v>
      </c>
      <c r="I217" s="18" t="s">
        <v>214</v>
      </c>
    </row>
    <row r="218" spans="1:9" x14ac:dyDescent="0.35">
      <c r="A218" s="14" t="s">
        <v>197</v>
      </c>
      <c r="B218" s="18" t="s">
        <v>214</v>
      </c>
      <c r="C218" s="18" t="s">
        <v>214</v>
      </c>
      <c r="D218" s="18" t="s">
        <v>214</v>
      </c>
      <c r="E218" s="18" t="s">
        <v>214</v>
      </c>
      <c r="F218" s="18" t="s">
        <v>214</v>
      </c>
      <c r="G218" s="18" t="s">
        <v>214</v>
      </c>
      <c r="H218" s="18" t="s">
        <v>214</v>
      </c>
      <c r="I218" s="18" t="s">
        <v>214</v>
      </c>
    </row>
    <row r="219" spans="1:9" x14ac:dyDescent="0.35">
      <c r="A219" s="14" t="s">
        <v>198</v>
      </c>
      <c r="B219" s="18" t="s">
        <v>214</v>
      </c>
      <c r="C219" s="18" t="s">
        <v>214</v>
      </c>
      <c r="D219" s="18" t="s">
        <v>214</v>
      </c>
      <c r="E219" s="18" t="s">
        <v>214</v>
      </c>
      <c r="F219" s="18" t="s">
        <v>214</v>
      </c>
      <c r="G219" s="18" t="s">
        <v>214</v>
      </c>
      <c r="H219" s="18" t="s">
        <v>214</v>
      </c>
      <c r="I219" s="18" t="s">
        <v>214</v>
      </c>
    </row>
    <row r="220" spans="1:9" x14ac:dyDescent="0.35">
      <c r="A220" s="14" t="s">
        <v>199</v>
      </c>
      <c r="B220" s="18" t="s">
        <v>214</v>
      </c>
      <c r="C220" s="18" t="s">
        <v>214</v>
      </c>
      <c r="D220" s="18" t="s">
        <v>214</v>
      </c>
      <c r="E220" s="18" t="s">
        <v>214</v>
      </c>
      <c r="F220" s="18" t="s">
        <v>214</v>
      </c>
      <c r="G220" s="18" t="s">
        <v>214</v>
      </c>
      <c r="H220" s="18" t="s">
        <v>214</v>
      </c>
      <c r="I220" s="18" t="s">
        <v>214</v>
      </c>
    </row>
    <row r="221" spans="1:9" x14ac:dyDescent="0.35">
      <c r="A221" s="14" t="s">
        <v>200</v>
      </c>
      <c r="B221" s="18" t="s">
        <v>214</v>
      </c>
      <c r="C221" s="18" t="s">
        <v>214</v>
      </c>
      <c r="D221" s="18" t="s">
        <v>214</v>
      </c>
      <c r="E221" s="18" t="s">
        <v>214</v>
      </c>
      <c r="F221" s="18" t="s">
        <v>214</v>
      </c>
      <c r="G221" s="18" t="s">
        <v>214</v>
      </c>
      <c r="H221" s="18" t="s">
        <v>214</v>
      </c>
      <c r="I221" s="18" t="s">
        <v>214</v>
      </c>
    </row>
    <row r="222" spans="1:9" x14ac:dyDescent="0.35">
      <c r="A222" s="14" t="s">
        <v>201</v>
      </c>
      <c r="B222" s="18" t="s">
        <v>214</v>
      </c>
      <c r="C222" s="18" t="s">
        <v>214</v>
      </c>
      <c r="D222" s="18" t="s">
        <v>214</v>
      </c>
      <c r="E222" s="18" t="s">
        <v>214</v>
      </c>
      <c r="F222" s="18" t="s">
        <v>214</v>
      </c>
      <c r="G222" s="18" t="s">
        <v>214</v>
      </c>
      <c r="H222" s="18" t="s">
        <v>214</v>
      </c>
      <c r="I222" s="18" t="s">
        <v>214</v>
      </c>
    </row>
    <row r="223" spans="1:9" x14ac:dyDescent="0.35">
      <c r="A223" s="14" t="s">
        <v>202</v>
      </c>
      <c r="B223" s="18" t="s">
        <v>214</v>
      </c>
      <c r="C223" s="18" t="s">
        <v>214</v>
      </c>
      <c r="D223" s="18" t="s">
        <v>214</v>
      </c>
      <c r="E223" s="18" t="s">
        <v>214</v>
      </c>
      <c r="F223" s="18" t="s">
        <v>214</v>
      </c>
      <c r="G223" s="18" t="s">
        <v>214</v>
      </c>
      <c r="H223" s="18" t="s">
        <v>214</v>
      </c>
      <c r="I223" s="18" t="s">
        <v>214</v>
      </c>
    </row>
    <row r="224" spans="1:9" x14ac:dyDescent="0.35">
      <c r="A224" s="14" t="s">
        <v>211</v>
      </c>
      <c r="B224" s="18" t="s">
        <v>214</v>
      </c>
      <c r="C224" s="18" t="s">
        <v>214</v>
      </c>
      <c r="D224" s="18" t="s">
        <v>214</v>
      </c>
      <c r="E224" s="18" t="s">
        <v>214</v>
      </c>
      <c r="F224" s="18" t="s">
        <v>214</v>
      </c>
      <c r="G224" s="18" t="s">
        <v>214</v>
      </c>
      <c r="H224" s="18" t="s">
        <v>214</v>
      </c>
      <c r="I224" s="18" t="s">
        <v>214</v>
      </c>
    </row>
    <row r="225" spans="1:9" x14ac:dyDescent="0.35">
      <c r="A225" s="14" t="s">
        <v>212</v>
      </c>
      <c r="B225" s="18" t="s">
        <v>214</v>
      </c>
      <c r="C225" s="18" t="s">
        <v>214</v>
      </c>
      <c r="D225" s="18" t="s">
        <v>214</v>
      </c>
      <c r="E225" s="18" t="s">
        <v>214</v>
      </c>
      <c r="F225" s="18" t="s">
        <v>214</v>
      </c>
      <c r="G225" s="18" t="s">
        <v>214</v>
      </c>
      <c r="H225" s="18" t="s">
        <v>214</v>
      </c>
      <c r="I225" s="18" t="s">
        <v>214</v>
      </c>
    </row>
    <row r="226" spans="1:9" x14ac:dyDescent="0.35">
      <c r="A226" s="14" t="s">
        <v>203</v>
      </c>
      <c r="B226" s="18" t="s">
        <v>214</v>
      </c>
      <c r="C226" s="18" t="s">
        <v>214</v>
      </c>
      <c r="D226" s="18" t="s">
        <v>214</v>
      </c>
      <c r="E226" s="18" t="s">
        <v>214</v>
      </c>
      <c r="F226" s="18" t="s">
        <v>214</v>
      </c>
      <c r="G226" s="18" t="s">
        <v>214</v>
      </c>
      <c r="H226" s="18" t="s">
        <v>214</v>
      </c>
      <c r="I226" s="18" t="s">
        <v>214</v>
      </c>
    </row>
    <row r="227" spans="1:9" x14ac:dyDescent="0.35">
      <c r="A227" s="14" t="s">
        <v>204</v>
      </c>
      <c r="B227" s="18" t="s">
        <v>214</v>
      </c>
      <c r="C227" s="18" t="s">
        <v>214</v>
      </c>
      <c r="D227" s="18" t="s">
        <v>214</v>
      </c>
      <c r="E227" s="18" t="s">
        <v>214</v>
      </c>
      <c r="F227" s="18" t="s">
        <v>214</v>
      </c>
      <c r="G227" s="18" t="s">
        <v>214</v>
      </c>
      <c r="H227" s="18" t="s">
        <v>214</v>
      </c>
      <c r="I227" s="18" t="s">
        <v>214</v>
      </c>
    </row>
    <row r="229" spans="1:9" x14ac:dyDescent="0.35">
      <c r="C229" s="187"/>
      <c r="D229" s="187"/>
      <c r="E229" s="187"/>
      <c r="F229" s="187"/>
      <c r="G229" s="170"/>
      <c r="H229" s="170"/>
      <c r="I229" s="170"/>
    </row>
    <row r="230" spans="1:9" ht="29" x14ac:dyDescent="0.35">
      <c r="A230" s="12" t="s">
        <v>552</v>
      </c>
      <c r="B230" s="13" t="s">
        <v>208</v>
      </c>
      <c r="C230" s="13" t="s">
        <v>458</v>
      </c>
      <c r="D230" s="13" t="s">
        <v>466</v>
      </c>
      <c r="E230" s="13" t="s">
        <v>467</v>
      </c>
      <c r="F230" s="13" t="s">
        <v>468</v>
      </c>
      <c r="G230" s="13" t="s">
        <v>636</v>
      </c>
      <c r="H230" s="13" t="s">
        <v>641</v>
      </c>
      <c r="I230" s="13" t="s">
        <v>647</v>
      </c>
    </row>
    <row r="231" spans="1:9" x14ac:dyDescent="0.35">
      <c r="A231" s="14" t="s">
        <v>209</v>
      </c>
      <c r="B231" s="15">
        <v>32</v>
      </c>
      <c r="C231" s="15">
        <v>7</v>
      </c>
      <c r="D231" s="15">
        <v>16</v>
      </c>
      <c r="E231" s="15">
        <v>27</v>
      </c>
      <c r="F231" s="15">
        <v>32</v>
      </c>
      <c r="G231" s="15">
        <v>45</v>
      </c>
      <c r="H231" s="15">
        <v>58</v>
      </c>
      <c r="I231" s="15">
        <v>55</v>
      </c>
    </row>
    <row r="232" spans="1:9" x14ac:dyDescent="0.35">
      <c r="A232" s="16" t="s">
        <v>336</v>
      </c>
      <c r="B232" s="17">
        <v>0.52392620135586565</v>
      </c>
      <c r="C232" s="17">
        <v>0.58385758062158444</v>
      </c>
      <c r="D232" s="17">
        <v>0.51169843073083587</v>
      </c>
      <c r="E232" s="17">
        <v>0.50468612489982489</v>
      </c>
      <c r="F232" s="17">
        <v>0.52392620135586565</v>
      </c>
      <c r="G232" s="17">
        <v>0.52134043056385082</v>
      </c>
      <c r="H232" s="17">
        <v>0.49571796995741269</v>
      </c>
      <c r="I232" s="17">
        <v>0.5211694433505466</v>
      </c>
    </row>
    <row r="233" spans="1:9" x14ac:dyDescent="0.35">
      <c r="A233" s="16" t="s">
        <v>194</v>
      </c>
      <c r="B233" s="17">
        <v>0.31306101258288122</v>
      </c>
      <c r="C233" s="17">
        <v>0.28013009930009158</v>
      </c>
      <c r="D233" s="17">
        <v>0.285144206750994</v>
      </c>
      <c r="E233" s="17">
        <v>0.30201348859556942</v>
      </c>
      <c r="F233" s="17">
        <v>0.31306101258288099</v>
      </c>
      <c r="G233" s="17">
        <v>0.33587302194202567</v>
      </c>
      <c r="H233" s="17">
        <v>0.35391442315005089</v>
      </c>
      <c r="I233" s="17">
        <v>0.33742228219031523</v>
      </c>
    </row>
    <row r="234" spans="1:9" x14ac:dyDescent="0.35">
      <c r="A234" s="16" t="s">
        <v>195</v>
      </c>
      <c r="B234" s="17">
        <v>0.16301278606125319</v>
      </c>
      <c r="C234" s="17">
        <v>0.13601232007832401</v>
      </c>
      <c r="D234" s="17">
        <v>0.20315736251816999</v>
      </c>
      <c r="E234" s="17">
        <v>0.19330038650460549</v>
      </c>
      <c r="F234" s="17">
        <v>0.16301278606125319</v>
      </c>
      <c r="G234" s="17">
        <v>0.14278654749412351</v>
      </c>
      <c r="H234" s="17">
        <v>0.1503676068925362</v>
      </c>
      <c r="I234" s="17">
        <v>0.14140827445913809</v>
      </c>
    </row>
    <row r="235" spans="1:9" x14ac:dyDescent="0.35">
      <c r="A235" s="14" t="s">
        <v>210</v>
      </c>
      <c r="B235" s="18">
        <v>0.25697400229316492</v>
      </c>
      <c r="C235" s="18">
        <v>0.4356293129152734</v>
      </c>
      <c r="D235" s="18">
        <v>0.24501665727163219</v>
      </c>
      <c r="E235" s="18">
        <v>0.27311089265952931</v>
      </c>
      <c r="F235" s="18">
        <v>0.25697400229316492</v>
      </c>
      <c r="G235" s="18">
        <v>0.2584347664386874</v>
      </c>
      <c r="H235" s="18">
        <v>0.24110089672116539</v>
      </c>
      <c r="I235" s="18">
        <v>0.2017423562494618</v>
      </c>
    </row>
    <row r="236" spans="1:9" x14ac:dyDescent="0.35">
      <c r="A236" s="14" t="s">
        <v>197</v>
      </c>
      <c r="B236" s="18">
        <v>0.26695219906270068</v>
      </c>
      <c r="C236" s="18">
        <v>0.14822826770631101</v>
      </c>
      <c r="D236" s="18">
        <v>0.26668177345920369</v>
      </c>
      <c r="E236" s="18">
        <v>0.23157523224029561</v>
      </c>
      <c r="F236" s="18">
        <v>0.26695219906270068</v>
      </c>
      <c r="G236" s="18">
        <v>0.26290566412516342</v>
      </c>
      <c r="H236" s="18">
        <v>0.25461707323624733</v>
      </c>
      <c r="I236" s="18">
        <v>0.31942708710108481</v>
      </c>
    </row>
    <row r="237" spans="1:9" x14ac:dyDescent="0.35">
      <c r="A237" s="14" t="s">
        <v>198</v>
      </c>
      <c r="B237" s="18">
        <v>0.1217884426802172</v>
      </c>
      <c r="C237" s="18">
        <v>0</v>
      </c>
      <c r="D237" s="18">
        <v>0.17001196171870281</v>
      </c>
      <c r="E237" s="18">
        <v>0.14441660443147081</v>
      </c>
      <c r="F237" s="18">
        <v>0.1217884426802172</v>
      </c>
      <c r="G237" s="18">
        <v>0.12127324415370611</v>
      </c>
      <c r="H237" s="18">
        <v>0.14579179656464139</v>
      </c>
      <c r="I237" s="18">
        <v>0.15225556021982181</v>
      </c>
    </row>
    <row r="238" spans="1:9" x14ac:dyDescent="0.35">
      <c r="A238" s="14" t="s">
        <v>199</v>
      </c>
      <c r="B238" s="18">
        <v>0.191272569902664</v>
      </c>
      <c r="C238" s="18">
        <v>0.28013009930009158</v>
      </c>
      <c r="D238" s="18">
        <v>0.11513224503229109</v>
      </c>
      <c r="E238" s="18">
        <v>0.1575968841640987</v>
      </c>
      <c r="F238" s="18">
        <v>0.19127256990266389</v>
      </c>
      <c r="G238" s="18">
        <v>0.2145997777883196</v>
      </c>
      <c r="H238" s="18">
        <v>0.20812262658540959</v>
      </c>
      <c r="I238" s="18">
        <v>0.18516672197049339</v>
      </c>
    </row>
    <row r="239" spans="1:9" x14ac:dyDescent="0.35">
      <c r="A239" s="14" t="s">
        <v>200</v>
      </c>
      <c r="B239" s="18">
        <v>7.2846746660482756E-2</v>
      </c>
      <c r="C239" s="18">
        <v>0</v>
      </c>
      <c r="D239" s="18">
        <v>0.14725689412225959</v>
      </c>
      <c r="E239" s="18">
        <v>8.6381593894010539E-2</v>
      </c>
      <c r="F239" s="18">
        <v>7.2846746660482742E-2</v>
      </c>
      <c r="G239" s="18">
        <v>7.980134078201398E-2</v>
      </c>
      <c r="H239" s="18">
        <v>8.182320479401943E-2</v>
      </c>
      <c r="I239" s="18">
        <v>8.5450883921105711E-2</v>
      </c>
    </row>
    <row r="240" spans="1:9" x14ac:dyDescent="0.35">
      <c r="A240" s="14" t="s">
        <v>201</v>
      </c>
      <c r="B240" s="18">
        <v>6.2512547971986854E-2</v>
      </c>
      <c r="C240" s="18">
        <v>0</v>
      </c>
      <c r="D240" s="18">
        <v>0</v>
      </c>
      <c r="E240" s="18">
        <v>7.4127312196432343E-2</v>
      </c>
      <c r="F240" s="18">
        <v>6.251254797198684E-2</v>
      </c>
      <c r="G240" s="18">
        <v>4.3667946183323272E-2</v>
      </c>
      <c r="H240" s="18">
        <v>3.3823929950474819E-2</v>
      </c>
      <c r="I240" s="18">
        <v>3.5323533455204989E-2</v>
      </c>
    </row>
    <row r="241" spans="1:9" x14ac:dyDescent="0.35">
      <c r="A241" s="14" t="s">
        <v>202</v>
      </c>
      <c r="B241" s="18">
        <v>0</v>
      </c>
      <c r="C241" s="18">
        <v>0</v>
      </c>
      <c r="D241" s="18">
        <v>0</v>
      </c>
      <c r="E241" s="18">
        <v>0</v>
      </c>
      <c r="F241" s="18">
        <v>0</v>
      </c>
      <c r="G241" s="18">
        <v>0</v>
      </c>
      <c r="H241" s="18">
        <v>0</v>
      </c>
      <c r="I241" s="18">
        <v>0</v>
      </c>
    </row>
    <row r="242" spans="1:9" x14ac:dyDescent="0.35">
      <c r="A242" s="14" t="s">
        <v>211</v>
      </c>
      <c r="B242" s="18">
        <v>0</v>
      </c>
      <c r="C242" s="18">
        <v>0</v>
      </c>
      <c r="D242" s="18">
        <v>0</v>
      </c>
      <c r="E242" s="18">
        <v>0</v>
      </c>
      <c r="F242" s="18">
        <v>0</v>
      </c>
      <c r="G242" s="18">
        <v>0</v>
      </c>
      <c r="H242" s="18">
        <v>0</v>
      </c>
      <c r="I242" s="18">
        <v>0</v>
      </c>
    </row>
    <row r="243" spans="1:9" x14ac:dyDescent="0.35">
      <c r="A243" s="14" t="s">
        <v>212</v>
      </c>
      <c r="B243" s="18">
        <v>2.765349142878365E-2</v>
      </c>
      <c r="C243" s="20">
        <v>0.13601232007832401</v>
      </c>
      <c r="D243" s="18">
        <v>5.590046839591041E-2</v>
      </c>
      <c r="E243" s="18">
        <v>3.2791480414162667E-2</v>
      </c>
      <c r="F243" s="18">
        <v>2.765349142878365E-2</v>
      </c>
      <c r="G243" s="18">
        <v>1.9317260528786209E-2</v>
      </c>
      <c r="H243" s="18">
        <v>1.4962592108585681E-2</v>
      </c>
      <c r="I243" s="24">
        <v>0</v>
      </c>
    </row>
    <row r="244" spans="1:9" x14ac:dyDescent="0.35">
      <c r="A244" s="14" t="s">
        <v>203</v>
      </c>
      <c r="B244" s="18">
        <v>0</v>
      </c>
      <c r="C244" s="18">
        <v>0</v>
      </c>
      <c r="D244" s="18">
        <v>0</v>
      </c>
      <c r="E244" s="18">
        <v>0</v>
      </c>
      <c r="F244" s="18">
        <v>0</v>
      </c>
      <c r="G244" s="18">
        <v>0</v>
      </c>
      <c r="H244" s="18">
        <v>0</v>
      </c>
      <c r="I244" s="18">
        <v>0</v>
      </c>
    </row>
    <row r="245" spans="1:9" x14ac:dyDescent="0.35">
      <c r="A245" s="14" t="s">
        <v>204</v>
      </c>
      <c r="B245" s="18">
        <v>0</v>
      </c>
      <c r="C245" s="18">
        <v>0</v>
      </c>
      <c r="D245" s="18">
        <v>0</v>
      </c>
      <c r="E245" s="18">
        <v>0</v>
      </c>
      <c r="F245" s="18">
        <v>0</v>
      </c>
      <c r="G245" s="18">
        <v>0</v>
      </c>
      <c r="H245" s="18">
        <v>1.9757880039456301E-2</v>
      </c>
      <c r="I245" s="18">
        <v>2.0633857082827362E-2</v>
      </c>
    </row>
    <row r="246" spans="1:9" x14ac:dyDescent="0.35">
      <c r="A246" s="14" t="s">
        <v>213</v>
      </c>
      <c r="B246" s="1">
        <v>36.091341529461239</v>
      </c>
      <c r="C246" s="1">
        <v>44.784526054326037</v>
      </c>
      <c r="D246" s="1">
        <v>30.854106821266601</v>
      </c>
      <c r="E246" s="1">
        <v>31.138573839521939</v>
      </c>
      <c r="F246" s="1">
        <v>36.091341529461232</v>
      </c>
      <c r="G246" s="1">
        <v>37.855388306972728</v>
      </c>
      <c r="H246" s="1">
        <v>34.535036306487648</v>
      </c>
      <c r="I246" s="1">
        <v>37.976116889140862</v>
      </c>
    </row>
    <row r="248" spans="1:9" x14ac:dyDescent="0.35">
      <c r="C248" s="187"/>
      <c r="D248" s="187"/>
      <c r="E248" s="187"/>
      <c r="F248" s="187"/>
      <c r="G248" s="170"/>
      <c r="H248" s="170"/>
      <c r="I248" s="170"/>
    </row>
    <row r="249" spans="1:9" ht="29" x14ac:dyDescent="0.35">
      <c r="A249" s="12" t="s">
        <v>492</v>
      </c>
      <c r="B249" s="13" t="s">
        <v>208</v>
      </c>
      <c r="C249" s="13" t="s">
        <v>458</v>
      </c>
      <c r="D249" s="13" t="s">
        <v>466</v>
      </c>
      <c r="E249" s="13" t="s">
        <v>467</v>
      </c>
      <c r="F249" s="13" t="s">
        <v>468</v>
      </c>
      <c r="G249" s="13" t="s">
        <v>636</v>
      </c>
      <c r="H249" s="13" t="s">
        <v>641</v>
      </c>
      <c r="I249" s="13" t="s">
        <v>647</v>
      </c>
    </row>
    <row r="250" spans="1:9" x14ac:dyDescent="0.35">
      <c r="A250" s="14" t="s">
        <v>209</v>
      </c>
      <c r="B250" s="15">
        <v>155</v>
      </c>
      <c r="C250" s="15">
        <v>20</v>
      </c>
      <c r="D250" s="15">
        <v>64</v>
      </c>
      <c r="E250" s="15">
        <v>109</v>
      </c>
      <c r="F250" s="15">
        <v>155</v>
      </c>
      <c r="G250" s="15">
        <v>220</v>
      </c>
      <c r="H250" s="15">
        <v>278</v>
      </c>
      <c r="I250" s="15">
        <v>309</v>
      </c>
    </row>
    <row r="251" spans="1:9" x14ac:dyDescent="0.35">
      <c r="A251" s="16" t="s">
        <v>336</v>
      </c>
      <c r="B251" s="17">
        <v>0.52520881126536922</v>
      </c>
      <c r="C251" s="17">
        <v>0.3592508999395132</v>
      </c>
      <c r="D251" s="17">
        <v>0.45927361971928199</v>
      </c>
      <c r="E251" s="17">
        <v>0.49033789773246322</v>
      </c>
      <c r="F251" s="17">
        <v>0.52520881126536922</v>
      </c>
      <c r="G251" s="17">
        <v>0.53314417193885211</v>
      </c>
      <c r="H251" s="17">
        <v>0.54483509022520182</v>
      </c>
      <c r="I251" s="17">
        <v>0.54941495348831104</v>
      </c>
    </row>
    <row r="252" spans="1:9" x14ac:dyDescent="0.35">
      <c r="A252" s="16" t="s">
        <v>194</v>
      </c>
      <c r="B252" s="17">
        <v>0.36018012270705951</v>
      </c>
      <c r="C252" s="149">
        <v>0.59884200497773021</v>
      </c>
      <c r="D252" s="17">
        <v>0.3885184860723141</v>
      </c>
      <c r="E252" s="17">
        <v>0.37509079268633722</v>
      </c>
      <c r="F252" s="17">
        <v>0.36018012270705951</v>
      </c>
      <c r="G252" s="17">
        <v>0.36973594950329958</v>
      </c>
      <c r="H252" s="17">
        <v>0.37664382946169411</v>
      </c>
      <c r="I252" s="155">
        <v>0.37429135684304848</v>
      </c>
    </row>
    <row r="253" spans="1:9" x14ac:dyDescent="0.35">
      <c r="A253" s="16" t="s">
        <v>195</v>
      </c>
      <c r="B253" s="17">
        <v>0.1146110660275714</v>
      </c>
      <c r="C253" s="17">
        <v>4.190709508275673E-2</v>
      </c>
      <c r="D253" s="17">
        <v>0.15220789420840389</v>
      </c>
      <c r="E253" s="17">
        <v>0.13457130958119959</v>
      </c>
      <c r="F253" s="17">
        <v>0.1146110660275714</v>
      </c>
      <c r="G253" s="17">
        <v>9.7119878557848316E-2</v>
      </c>
      <c r="H253" s="17">
        <v>7.8521080313103953E-2</v>
      </c>
      <c r="I253" s="17">
        <v>7.629368966864028E-2</v>
      </c>
    </row>
    <row r="254" spans="1:9" x14ac:dyDescent="0.35">
      <c r="A254" s="14" t="s">
        <v>210</v>
      </c>
      <c r="B254" s="18">
        <v>0.33972608192135539</v>
      </c>
      <c r="C254" s="18">
        <v>0.1999143145462926</v>
      </c>
      <c r="D254" s="18">
        <v>0.28909886607601709</v>
      </c>
      <c r="E254" s="23">
        <v>0.29341476010137429</v>
      </c>
      <c r="F254" s="18">
        <v>0.33972608192135528</v>
      </c>
      <c r="G254" s="18">
        <v>0.34774384116080831</v>
      </c>
      <c r="H254" s="18">
        <v>0.34660163869566513</v>
      </c>
      <c r="I254" s="18">
        <v>0.35365375809832822</v>
      </c>
    </row>
    <row r="255" spans="1:9" x14ac:dyDescent="0.35">
      <c r="A255" s="14" t="s">
        <v>197</v>
      </c>
      <c r="B255" s="18">
        <v>0.18548272934401391</v>
      </c>
      <c r="C255" s="18">
        <v>0.15933658539322049</v>
      </c>
      <c r="D255" s="18">
        <v>0.1701747536432649</v>
      </c>
      <c r="E255" s="18">
        <v>0.19692313763108879</v>
      </c>
      <c r="F255" s="25">
        <v>0.18548272934401391</v>
      </c>
      <c r="G255" s="18">
        <v>0.1854003307780438</v>
      </c>
      <c r="H255" s="18">
        <v>0.19823345152953681</v>
      </c>
      <c r="I255" s="18">
        <v>0.19576119538998291</v>
      </c>
    </row>
    <row r="256" spans="1:9" x14ac:dyDescent="0.35">
      <c r="A256" s="14" t="s">
        <v>198</v>
      </c>
      <c r="B256" s="18">
        <v>0.28837583578278297</v>
      </c>
      <c r="C256" s="18">
        <v>0.44267827821233091</v>
      </c>
      <c r="D256" s="18">
        <v>0.34050082446020158</v>
      </c>
      <c r="E256" s="18">
        <v>0.2951618672484283</v>
      </c>
      <c r="F256" s="18">
        <v>0.28837583578278309</v>
      </c>
      <c r="G256" s="18">
        <v>0.29147821055029871</v>
      </c>
      <c r="H256" s="18">
        <v>0.28322122418113971</v>
      </c>
      <c r="I256" s="23">
        <v>0.26586673133293548</v>
      </c>
    </row>
    <row r="257" spans="1:9" x14ac:dyDescent="0.35">
      <c r="A257" s="14" t="s">
        <v>199</v>
      </c>
      <c r="B257" s="18">
        <v>7.18042869242764E-2</v>
      </c>
      <c r="C257" s="18">
        <v>0.1561637267653993</v>
      </c>
      <c r="D257" s="18">
        <v>4.8017661612112537E-2</v>
      </c>
      <c r="E257" s="18">
        <v>7.9928925437908832E-2</v>
      </c>
      <c r="F257" s="18">
        <v>7.1804286924276414E-2</v>
      </c>
      <c r="G257" s="18">
        <v>7.8257738953000935E-2</v>
      </c>
      <c r="H257" s="18">
        <v>9.3422605280554447E-2</v>
      </c>
      <c r="I257" s="18">
        <v>0.108424625510113</v>
      </c>
    </row>
    <row r="258" spans="1:9" x14ac:dyDescent="0.35">
      <c r="A258" s="14" t="s">
        <v>200</v>
      </c>
      <c r="B258" s="18">
        <v>5.0207184339891298E-2</v>
      </c>
      <c r="C258" s="18">
        <v>0</v>
      </c>
      <c r="D258" s="18">
        <v>4.3925197416112678E-2</v>
      </c>
      <c r="E258" s="18">
        <v>5.1979476539375707E-2</v>
      </c>
      <c r="F258" s="18">
        <v>5.0207184339891318E-2</v>
      </c>
      <c r="G258" s="25">
        <v>3.5970277023972423E-2</v>
      </c>
      <c r="H258" s="18">
        <v>3.090675549726404E-2</v>
      </c>
      <c r="I258" s="18">
        <v>3.269550982322976E-2</v>
      </c>
    </row>
    <row r="259" spans="1:9" x14ac:dyDescent="0.35">
      <c r="A259" s="14" t="s">
        <v>201</v>
      </c>
      <c r="B259" s="18">
        <v>4.5525026854849202E-2</v>
      </c>
      <c r="C259" s="18">
        <v>0</v>
      </c>
      <c r="D259" s="18">
        <v>6.2578026346543428E-2</v>
      </c>
      <c r="E259" s="18">
        <v>5.5828092170903863E-2</v>
      </c>
      <c r="F259" s="18">
        <v>4.5525026854849208E-2</v>
      </c>
      <c r="G259" s="18">
        <v>4.7624094235257347E-2</v>
      </c>
      <c r="H259" s="18">
        <v>3.7082647067152259E-2</v>
      </c>
      <c r="I259" s="18">
        <v>3.6829395532639773E-2</v>
      </c>
    </row>
    <row r="260" spans="1:9" x14ac:dyDescent="0.35">
      <c r="A260" s="14" t="s">
        <v>202</v>
      </c>
      <c r="B260" s="18">
        <v>1.3556259304786621E-2</v>
      </c>
      <c r="C260" s="18">
        <v>0</v>
      </c>
      <c r="D260" s="20">
        <v>3.2818959067628342E-2</v>
      </c>
      <c r="E260" s="18">
        <v>1.9218126015851301E-2</v>
      </c>
      <c r="F260" s="18">
        <v>1.3556259304786621E-2</v>
      </c>
      <c r="G260" s="18">
        <v>9.7122037217001606E-3</v>
      </c>
      <c r="H260" s="18">
        <v>7.5624372208943384E-3</v>
      </c>
      <c r="I260" s="18">
        <v>6.7687843127707502E-3</v>
      </c>
    </row>
    <row r="261" spans="1:9" x14ac:dyDescent="0.35">
      <c r="A261" s="14" t="s">
        <v>211</v>
      </c>
      <c r="B261" s="18">
        <v>0</v>
      </c>
      <c r="C261" s="18">
        <v>0</v>
      </c>
      <c r="D261" s="18">
        <v>0</v>
      </c>
      <c r="E261" s="18">
        <v>0</v>
      </c>
      <c r="F261" s="18">
        <v>0</v>
      </c>
      <c r="G261" s="18">
        <v>0</v>
      </c>
      <c r="H261" s="18">
        <v>0</v>
      </c>
      <c r="I261" s="18">
        <v>0</v>
      </c>
    </row>
    <row r="262" spans="1:9" x14ac:dyDescent="0.35">
      <c r="A262" s="14" t="s">
        <v>212</v>
      </c>
      <c r="B262" s="18">
        <v>0</v>
      </c>
      <c r="C262" s="18">
        <v>0</v>
      </c>
      <c r="D262" s="18">
        <v>0</v>
      </c>
      <c r="E262" s="18">
        <v>0</v>
      </c>
      <c r="F262" s="18">
        <v>0</v>
      </c>
      <c r="G262" s="18">
        <v>0</v>
      </c>
      <c r="H262" s="18">
        <v>0</v>
      </c>
      <c r="I262" s="18">
        <v>0</v>
      </c>
    </row>
    <row r="263" spans="1:9" x14ac:dyDescent="0.35">
      <c r="A263" s="14" t="s">
        <v>203</v>
      </c>
      <c r="B263" s="18">
        <v>0</v>
      </c>
      <c r="C263" s="18">
        <v>0</v>
      </c>
      <c r="D263" s="18">
        <v>0</v>
      </c>
      <c r="E263" s="18">
        <v>0</v>
      </c>
      <c r="F263" s="18">
        <v>0</v>
      </c>
      <c r="G263" s="18">
        <v>0</v>
      </c>
      <c r="H263" s="18">
        <v>0</v>
      </c>
      <c r="I263" s="18">
        <v>0</v>
      </c>
    </row>
    <row r="264" spans="1:9" x14ac:dyDescent="0.35">
      <c r="A264" s="14" t="s">
        <v>204</v>
      </c>
      <c r="B264" s="18">
        <v>5.3225955280442588E-3</v>
      </c>
      <c r="C264" s="19">
        <v>4.190709508275673E-2</v>
      </c>
      <c r="D264" s="18">
        <v>1.2885711378119421E-2</v>
      </c>
      <c r="E264" s="18">
        <v>7.5456148550686998E-3</v>
      </c>
      <c r="F264" s="18">
        <v>5.3225955280442596E-3</v>
      </c>
      <c r="G264" s="18">
        <v>3.8133035769183951E-3</v>
      </c>
      <c r="H264" s="18">
        <v>2.9692405277933149E-3</v>
      </c>
      <c r="I264" s="25">
        <v>0</v>
      </c>
    </row>
    <row r="265" spans="1:9" x14ac:dyDescent="0.35">
      <c r="A265" s="14" t="s">
        <v>213</v>
      </c>
      <c r="B265" s="1">
        <v>41.059774523779787</v>
      </c>
      <c r="C265" s="1">
        <v>31.73438048567564</v>
      </c>
      <c r="D265" s="1">
        <v>30.70657255108782</v>
      </c>
      <c r="E265" s="1">
        <v>35.576658815126358</v>
      </c>
      <c r="F265" s="1">
        <v>41.059774523779772</v>
      </c>
      <c r="G265" s="1">
        <v>43.602429338100379</v>
      </c>
      <c r="H265" s="1">
        <v>46.631400991209787</v>
      </c>
      <c r="I265" s="1">
        <v>47.312126381967083</v>
      </c>
    </row>
    <row r="267" spans="1:9" x14ac:dyDescent="0.35">
      <c r="C267" s="187"/>
      <c r="D267" s="187"/>
      <c r="E267" s="187"/>
      <c r="F267" s="187"/>
      <c r="G267" s="170"/>
      <c r="H267" s="170"/>
      <c r="I267" s="170"/>
    </row>
    <row r="268" spans="1:9" ht="29" x14ac:dyDescent="0.35">
      <c r="A268" s="12" t="s">
        <v>598</v>
      </c>
      <c r="B268" s="13" t="s">
        <v>208</v>
      </c>
      <c r="C268" s="13" t="s">
        <v>458</v>
      </c>
      <c r="D268" s="13" t="s">
        <v>466</v>
      </c>
      <c r="E268" s="13" t="s">
        <v>467</v>
      </c>
      <c r="F268" s="13" t="s">
        <v>468</v>
      </c>
      <c r="G268" s="13" t="s">
        <v>636</v>
      </c>
      <c r="H268" s="13" t="s">
        <v>641</v>
      </c>
      <c r="I268" s="13" t="s">
        <v>647</v>
      </c>
    </row>
    <row r="269" spans="1:9" x14ac:dyDescent="0.35">
      <c r="A269" s="14" t="s">
        <v>209</v>
      </c>
      <c r="B269" s="15">
        <v>6</v>
      </c>
      <c r="C269" s="15">
        <v>0</v>
      </c>
      <c r="D269" s="15">
        <v>2</v>
      </c>
      <c r="E269" s="15">
        <v>5</v>
      </c>
      <c r="F269" s="15">
        <v>6</v>
      </c>
      <c r="G269" s="15">
        <v>6</v>
      </c>
      <c r="H269" s="15">
        <v>7</v>
      </c>
      <c r="I269" s="15">
        <v>10</v>
      </c>
    </row>
    <row r="270" spans="1:9" x14ac:dyDescent="0.35">
      <c r="A270" s="16" t="s">
        <v>336</v>
      </c>
      <c r="B270" s="17">
        <v>0.18133433433948959</v>
      </c>
      <c r="C270" s="168" t="s">
        <v>214</v>
      </c>
      <c r="D270" s="17">
        <v>0.47652090624598592</v>
      </c>
      <c r="E270" s="17">
        <v>0.2122932962992784</v>
      </c>
      <c r="F270" s="17">
        <v>0.18133433433948959</v>
      </c>
      <c r="G270" s="17">
        <v>0.18133433433948959</v>
      </c>
      <c r="H270" s="17">
        <v>0.15514299938606349</v>
      </c>
      <c r="I270" s="17">
        <v>0.20405601435487269</v>
      </c>
    </row>
    <row r="271" spans="1:9" x14ac:dyDescent="0.35">
      <c r="A271" s="16" t="s">
        <v>194</v>
      </c>
      <c r="B271" s="17">
        <v>0.34503479728448572</v>
      </c>
      <c r="C271" s="168" t="s">
        <v>214</v>
      </c>
      <c r="D271" s="17">
        <v>0.52347909375401414</v>
      </c>
      <c r="E271" s="17">
        <v>0.23321348738355549</v>
      </c>
      <c r="F271" s="17">
        <v>0.34503479728448572</v>
      </c>
      <c r="G271" s="17">
        <v>0.34503479728448572</v>
      </c>
      <c r="H271" s="17">
        <v>0.43963581738167579</v>
      </c>
      <c r="I271" s="152">
        <v>0.30339857033726192</v>
      </c>
    </row>
    <row r="272" spans="1:9" x14ac:dyDescent="0.35">
      <c r="A272" s="16" t="s">
        <v>195</v>
      </c>
      <c r="B272" s="17">
        <v>0.47363086837602469</v>
      </c>
      <c r="C272" s="168" t="s">
        <v>214</v>
      </c>
      <c r="D272" s="154">
        <v>0</v>
      </c>
      <c r="E272" s="17">
        <v>0.55449321631716608</v>
      </c>
      <c r="F272" s="17">
        <v>0.47363086837602469</v>
      </c>
      <c r="G272" s="17">
        <v>0.47363086837602469</v>
      </c>
      <c r="H272" s="17">
        <v>0.40522118323226058</v>
      </c>
      <c r="I272" s="17">
        <v>0.49254541530786522</v>
      </c>
    </row>
    <row r="273" spans="1:9" x14ac:dyDescent="0.35">
      <c r="A273" s="14" t="s">
        <v>210</v>
      </c>
      <c r="B273" s="18">
        <v>0</v>
      </c>
      <c r="C273" s="18" t="s">
        <v>214</v>
      </c>
      <c r="D273" s="18">
        <v>0</v>
      </c>
      <c r="E273" s="18">
        <v>0</v>
      </c>
      <c r="F273" s="18">
        <v>0</v>
      </c>
      <c r="G273" s="18">
        <v>0</v>
      </c>
      <c r="H273" s="18">
        <v>0</v>
      </c>
      <c r="I273" s="18">
        <v>0</v>
      </c>
    </row>
    <row r="274" spans="1:9" x14ac:dyDescent="0.35">
      <c r="A274" s="14" t="s">
        <v>197</v>
      </c>
      <c r="B274" s="18">
        <v>0.18133433433948959</v>
      </c>
      <c r="C274" s="18" t="s">
        <v>214</v>
      </c>
      <c r="D274" s="18">
        <v>0.47652090624598592</v>
      </c>
      <c r="E274" s="18">
        <v>0.2122932962992784</v>
      </c>
      <c r="F274" s="18">
        <v>0.18133433433948959</v>
      </c>
      <c r="G274" s="18">
        <v>0.18133433433948959</v>
      </c>
      <c r="H274" s="18">
        <v>0.15514299938606349</v>
      </c>
      <c r="I274" s="18">
        <v>0.20405601435487269</v>
      </c>
    </row>
    <row r="275" spans="1:9" x14ac:dyDescent="0.35">
      <c r="A275" s="14" t="s">
        <v>198</v>
      </c>
      <c r="B275" s="18">
        <v>0.34503479728448572</v>
      </c>
      <c r="C275" s="18" t="s">
        <v>214</v>
      </c>
      <c r="D275" s="18">
        <v>0.52347909375401414</v>
      </c>
      <c r="E275" s="18">
        <v>0.23321348738355549</v>
      </c>
      <c r="F275" s="18">
        <v>0.34503479728448572</v>
      </c>
      <c r="G275" s="18">
        <v>0.34503479728448572</v>
      </c>
      <c r="H275" s="18">
        <v>0.2951991057747535</v>
      </c>
      <c r="I275" s="18">
        <v>0.20372085966586079</v>
      </c>
    </row>
    <row r="276" spans="1:9" x14ac:dyDescent="0.35">
      <c r="A276" s="14" t="s">
        <v>199</v>
      </c>
      <c r="B276" s="18">
        <v>0</v>
      </c>
      <c r="C276" s="18" t="s">
        <v>214</v>
      </c>
      <c r="D276" s="18">
        <v>0</v>
      </c>
      <c r="E276" s="18">
        <v>0</v>
      </c>
      <c r="F276" s="18">
        <v>0</v>
      </c>
      <c r="G276" s="18">
        <v>0</v>
      </c>
      <c r="H276" s="18">
        <v>0.14443671160692231</v>
      </c>
      <c r="I276" s="18">
        <v>9.967771067140116E-2</v>
      </c>
    </row>
    <row r="277" spans="1:9" x14ac:dyDescent="0.35">
      <c r="A277" s="14" t="s">
        <v>200</v>
      </c>
      <c r="B277" s="18">
        <v>0.1806995620946982</v>
      </c>
      <c r="C277" s="18" t="s">
        <v>214</v>
      </c>
      <c r="D277" s="18">
        <v>0</v>
      </c>
      <c r="E277" s="18">
        <v>0.21155015026057089</v>
      </c>
      <c r="F277" s="18">
        <v>0.1806995620946982</v>
      </c>
      <c r="G277" s="18">
        <v>0.1806995620946982</v>
      </c>
      <c r="H277" s="18">
        <v>0.15459991155692909</v>
      </c>
      <c r="I277" s="25">
        <v>0.31958831646350838</v>
      </c>
    </row>
    <row r="278" spans="1:9" x14ac:dyDescent="0.35">
      <c r="A278" s="14" t="s">
        <v>201</v>
      </c>
      <c r="B278" s="18">
        <v>0.14647248645216851</v>
      </c>
      <c r="C278" s="18" t="s">
        <v>214</v>
      </c>
      <c r="D278" s="18">
        <v>0</v>
      </c>
      <c r="E278" s="18">
        <v>0.17147953298169519</v>
      </c>
      <c r="F278" s="18">
        <v>0.14647248645216851</v>
      </c>
      <c r="G278" s="18">
        <v>0.14647248645216851</v>
      </c>
      <c r="H278" s="18">
        <v>0.1253164821681278</v>
      </c>
      <c r="I278" s="18">
        <v>8.6482584053192937E-2</v>
      </c>
    </row>
    <row r="279" spans="1:9" x14ac:dyDescent="0.35">
      <c r="A279" s="14" t="s">
        <v>202</v>
      </c>
      <c r="B279" s="18">
        <v>0.1464588198291579</v>
      </c>
      <c r="C279" s="18" t="s">
        <v>214</v>
      </c>
      <c r="D279" s="18">
        <v>0</v>
      </c>
      <c r="E279" s="18">
        <v>0.1714635330749</v>
      </c>
      <c r="F279" s="25">
        <v>0.1464588198291579</v>
      </c>
      <c r="G279" s="25">
        <v>0.1464588198291579</v>
      </c>
      <c r="H279" s="18">
        <v>0.12530478950720361</v>
      </c>
      <c r="I279" s="25">
        <v>8.6474514791163803E-2</v>
      </c>
    </row>
    <row r="280" spans="1:9" x14ac:dyDescent="0.35">
      <c r="A280" s="14" t="s">
        <v>211</v>
      </c>
      <c r="B280" s="18">
        <v>0</v>
      </c>
      <c r="C280" s="18" t="s">
        <v>214</v>
      </c>
      <c r="D280" s="18">
        <v>0</v>
      </c>
      <c r="E280" s="18">
        <v>0</v>
      </c>
      <c r="F280" s="18">
        <v>0</v>
      </c>
      <c r="G280" s="18">
        <v>0</v>
      </c>
      <c r="H280" s="18">
        <v>0</v>
      </c>
      <c r="I280" s="18">
        <v>0</v>
      </c>
    </row>
    <row r="281" spans="1:9" x14ac:dyDescent="0.35">
      <c r="A281" s="14" t="s">
        <v>212</v>
      </c>
      <c r="B281" s="18">
        <v>0</v>
      </c>
      <c r="C281" s="18" t="s">
        <v>214</v>
      </c>
      <c r="D281" s="18">
        <v>0</v>
      </c>
      <c r="E281" s="18">
        <v>0</v>
      </c>
      <c r="F281" s="18">
        <v>0</v>
      </c>
      <c r="G281" s="18">
        <v>0</v>
      </c>
      <c r="H281" s="18">
        <v>0</v>
      </c>
      <c r="I281" s="18">
        <v>0</v>
      </c>
    </row>
    <row r="282" spans="1:9" x14ac:dyDescent="0.35">
      <c r="A282" s="14" t="s">
        <v>203</v>
      </c>
      <c r="B282" s="18">
        <v>0</v>
      </c>
      <c r="C282" s="18" t="s">
        <v>214</v>
      </c>
      <c r="D282" s="18">
        <v>0</v>
      </c>
      <c r="E282" s="18">
        <v>0</v>
      </c>
      <c r="F282" s="18">
        <v>0</v>
      </c>
      <c r="G282" s="18">
        <v>0</v>
      </c>
      <c r="H282" s="18">
        <v>0</v>
      </c>
      <c r="I282" s="18">
        <v>0</v>
      </c>
    </row>
    <row r="283" spans="1:9" x14ac:dyDescent="0.35">
      <c r="A283" s="14" t="s">
        <v>204</v>
      </c>
      <c r="B283" s="18">
        <v>0</v>
      </c>
      <c r="C283" s="18" t="s">
        <v>214</v>
      </c>
      <c r="D283" s="18">
        <v>0</v>
      </c>
      <c r="E283" s="18">
        <v>0</v>
      </c>
      <c r="F283" s="18">
        <v>0</v>
      </c>
      <c r="G283" s="18">
        <v>0</v>
      </c>
      <c r="H283" s="18">
        <v>0</v>
      </c>
      <c r="I283" s="18">
        <v>0</v>
      </c>
    </row>
    <row r="284" spans="1:9" x14ac:dyDescent="0.35">
      <c r="A284" s="14" t="s">
        <v>213</v>
      </c>
      <c r="B284" s="1">
        <v>-29.229653403653511</v>
      </c>
      <c r="C284" s="1" t="s">
        <v>214</v>
      </c>
      <c r="D284" s="1">
        <v>47.652090624598593</v>
      </c>
      <c r="E284" s="1">
        <v>-34.219992001788768</v>
      </c>
      <c r="F284" s="1">
        <v>-29.229653403653511</v>
      </c>
      <c r="G284" s="1">
        <v>-29.229653403653511</v>
      </c>
      <c r="H284" s="1">
        <v>-25.007818384619711</v>
      </c>
      <c r="I284" s="1">
        <v>-28.84894009529927</v>
      </c>
    </row>
    <row r="286" spans="1:9" x14ac:dyDescent="0.35">
      <c r="C286" s="187"/>
      <c r="D286" s="187"/>
      <c r="E286" s="187"/>
      <c r="F286" s="187"/>
      <c r="G286" s="170"/>
      <c r="H286" s="170"/>
      <c r="I286" s="170"/>
    </row>
    <row r="287" spans="1:9" ht="29" x14ac:dyDescent="0.35">
      <c r="A287" s="12" t="s">
        <v>599</v>
      </c>
      <c r="B287" s="13" t="s">
        <v>208</v>
      </c>
      <c r="C287" s="13" t="s">
        <v>458</v>
      </c>
      <c r="D287" s="13" t="s">
        <v>466</v>
      </c>
      <c r="E287" s="13" t="s">
        <v>467</v>
      </c>
      <c r="F287" s="13" t="s">
        <v>468</v>
      </c>
      <c r="G287" s="13" t="s">
        <v>636</v>
      </c>
      <c r="H287" s="13" t="s">
        <v>641</v>
      </c>
      <c r="I287" s="13" t="s">
        <v>647</v>
      </c>
    </row>
    <row r="288" spans="1:9" x14ac:dyDescent="0.35">
      <c r="A288" s="14" t="s">
        <v>209</v>
      </c>
      <c r="B288" s="15">
        <v>19</v>
      </c>
      <c r="C288" s="15">
        <v>4</v>
      </c>
      <c r="D288" s="15">
        <v>6</v>
      </c>
      <c r="E288" s="15">
        <v>15</v>
      </c>
      <c r="F288" s="15">
        <v>19</v>
      </c>
      <c r="G288" s="15">
        <v>23</v>
      </c>
      <c r="H288" s="15">
        <v>31</v>
      </c>
      <c r="I288" s="15">
        <v>35</v>
      </c>
    </row>
    <row r="289" spans="1:9" x14ac:dyDescent="0.35">
      <c r="A289" s="16" t="s">
        <v>336</v>
      </c>
      <c r="B289" s="17">
        <v>0.53052944365879395</v>
      </c>
      <c r="C289" s="17">
        <v>0.54292391831971754</v>
      </c>
      <c r="D289" s="17">
        <v>0.39482128772887132</v>
      </c>
      <c r="E289" s="17">
        <v>0.53445965645182791</v>
      </c>
      <c r="F289" s="17">
        <v>0.53052944365879395</v>
      </c>
      <c r="G289" s="17">
        <v>0.52152111453051075</v>
      </c>
      <c r="H289" s="17">
        <v>0.53626864393201401</v>
      </c>
      <c r="I289" s="17">
        <v>0.54273616927463397</v>
      </c>
    </row>
    <row r="290" spans="1:9" x14ac:dyDescent="0.35">
      <c r="A290" s="16" t="s">
        <v>194</v>
      </c>
      <c r="B290" s="17">
        <v>0.3036893904892754</v>
      </c>
      <c r="C290" s="17">
        <v>0.45707608168028258</v>
      </c>
      <c r="D290" s="17">
        <v>0.33239163181019499</v>
      </c>
      <c r="E290" s="17">
        <v>0.2528548469131483</v>
      </c>
      <c r="F290" s="17">
        <v>0.3036893904892754</v>
      </c>
      <c r="G290" s="17">
        <v>0.25313080521022763</v>
      </c>
      <c r="H290" s="17">
        <v>0.18339263965865199</v>
      </c>
      <c r="I290" s="17">
        <v>0.1657909662470699</v>
      </c>
    </row>
    <row r="291" spans="1:9" x14ac:dyDescent="0.35">
      <c r="A291" s="16" t="s">
        <v>195</v>
      </c>
      <c r="B291" s="17">
        <v>0.1657811658519307</v>
      </c>
      <c r="C291" s="17">
        <v>0</v>
      </c>
      <c r="D291" s="17">
        <v>0.27278708046093381</v>
      </c>
      <c r="E291" s="17">
        <v>0.2126854966350237</v>
      </c>
      <c r="F291" s="17">
        <v>0.1657811658519307</v>
      </c>
      <c r="G291" s="17">
        <v>0.22534808025926181</v>
      </c>
      <c r="H291" s="17">
        <v>0.28033871640933422</v>
      </c>
      <c r="I291" s="17">
        <v>0.29147286447829618</v>
      </c>
    </row>
    <row r="292" spans="1:9" x14ac:dyDescent="0.35">
      <c r="A292" s="14" t="s">
        <v>210</v>
      </c>
      <c r="B292" s="18">
        <v>0.35832742405649082</v>
      </c>
      <c r="C292" s="18">
        <v>0.27038474160252512</v>
      </c>
      <c r="D292" s="18">
        <v>0.19662727733958829</v>
      </c>
      <c r="E292" s="18">
        <v>0.31353665912303702</v>
      </c>
      <c r="F292" s="18">
        <v>0.35832742405649082</v>
      </c>
      <c r="G292" s="18">
        <v>0.37798750010120541</v>
      </c>
      <c r="H292" s="18">
        <v>0.40085545879031043</v>
      </c>
      <c r="I292" s="18">
        <v>0.35323449936856899</v>
      </c>
    </row>
    <row r="293" spans="1:9" x14ac:dyDescent="0.35">
      <c r="A293" s="14" t="s">
        <v>197</v>
      </c>
      <c r="B293" s="18">
        <v>0.17220201960230319</v>
      </c>
      <c r="C293" s="18">
        <v>0.27253917671719241</v>
      </c>
      <c r="D293" s="18">
        <v>0.198194010389283</v>
      </c>
      <c r="E293" s="18">
        <v>0.22092299732879089</v>
      </c>
      <c r="F293" s="18">
        <v>0.17220201960230319</v>
      </c>
      <c r="G293" s="18">
        <v>0.14353361442930529</v>
      </c>
      <c r="H293" s="18">
        <v>0.13541318514170361</v>
      </c>
      <c r="I293" s="18">
        <v>0.1895016699060649</v>
      </c>
    </row>
    <row r="294" spans="1:9" x14ac:dyDescent="0.35">
      <c r="A294" s="14" t="s">
        <v>198</v>
      </c>
      <c r="B294" s="18">
        <v>0.16371660691676221</v>
      </c>
      <c r="C294" s="18">
        <v>0</v>
      </c>
      <c r="D294" s="18">
        <v>0</v>
      </c>
      <c r="E294" s="21">
        <v>7.3279677221699549E-2</v>
      </c>
      <c r="F294" s="18">
        <v>0.16371660691676221</v>
      </c>
      <c r="G294" s="18">
        <v>0.1364608637409406</v>
      </c>
      <c r="H294" s="18">
        <v>9.8865556844282415E-2</v>
      </c>
      <c r="I294" s="18">
        <v>8.741651193828788E-2</v>
      </c>
    </row>
    <row r="295" spans="1:9" x14ac:dyDescent="0.35">
      <c r="A295" s="14" t="s">
        <v>199</v>
      </c>
      <c r="B295" s="18">
        <v>0.13997278357251319</v>
      </c>
      <c r="C295" s="19">
        <v>0.45707608168028258</v>
      </c>
      <c r="D295" s="18">
        <v>0.33239163181019499</v>
      </c>
      <c r="E295" s="18">
        <v>0.17957516969144879</v>
      </c>
      <c r="F295" s="18">
        <v>0.13997278357251319</v>
      </c>
      <c r="G295" s="18">
        <v>0.1166699414692869</v>
      </c>
      <c r="H295" s="18">
        <v>8.4527082814369589E-2</v>
      </c>
      <c r="I295" s="21">
        <v>7.8374454308782024E-2</v>
      </c>
    </row>
    <row r="296" spans="1:9" x14ac:dyDescent="0.35">
      <c r="A296" s="14" t="s">
        <v>200</v>
      </c>
      <c r="B296" s="18">
        <v>0.1176900971227445</v>
      </c>
      <c r="C296" s="18">
        <v>0</v>
      </c>
      <c r="D296" s="18">
        <v>0.27278708046093381</v>
      </c>
      <c r="E296" s="18">
        <v>0.15098806083877939</v>
      </c>
      <c r="F296" s="18">
        <v>0.1176900971227445</v>
      </c>
      <c r="G296" s="25">
        <v>0.13920434896538669</v>
      </c>
      <c r="H296" s="18">
        <v>0.16109008738800079</v>
      </c>
      <c r="I296" s="18">
        <v>0.14243518164240629</v>
      </c>
    </row>
    <row r="297" spans="1:9" x14ac:dyDescent="0.35">
      <c r="A297" s="14" t="s">
        <v>201</v>
      </c>
      <c r="B297" s="18">
        <v>4.8091068729186212E-2</v>
      </c>
      <c r="C297" s="18">
        <v>0</v>
      </c>
      <c r="D297" s="18">
        <v>0</v>
      </c>
      <c r="E297" s="18">
        <v>6.1697435796244343E-2</v>
      </c>
      <c r="F297" s="18">
        <v>4.8091068729186212E-2</v>
      </c>
      <c r="G297" s="18">
        <v>4.0084808136454118E-2</v>
      </c>
      <c r="H297" s="18">
        <v>5.4566863249312113E-2</v>
      </c>
      <c r="I297" s="18">
        <v>4.8247792304264708E-2</v>
      </c>
    </row>
    <row r="298" spans="1:9" x14ac:dyDescent="0.35">
      <c r="A298" s="14" t="s">
        <v>202</v>
      </c>
      <c r="B298" s="18">
        <v>0</v>
      </c>
      <c r="C298" s="18">
        <v>0</v>
      </c>
      <c r="D298" s="18">
        <v>0</v>
      </c>
      <c r="E298" s="18">
        <v>0</v>
      </c>
      <c r="F298" s="18">
        <v>0</v>
      </c>
      <c r="G298" s="18">
        <v>0</v>
      </c>
      <c r="H298" s="18">
        <v>3.1312190343778697E-2</v>
      </c>
      <c r="I298" s="18">
        <v>7.1284651478624728E-2</v>
      </c>
    </row>
    <row r="299" spans="1:9" x14ac:dyDescent="0.35">
      <c r="A299" s="14" t="s">
        <v>211</v>
      </c>
      <c r="B299" s="18">
        <v>0</v>
      </c>
      <c r="C299" s="18">
        <v>0</v>
      </c>
      <c r="D299" s="18">
        <v>0</v>
      </c>
      <c r="E299" s="18">
        <v>0</v>
      </c>
      <c r="F299" s="18">
        <v>0</v>
      </c>
      <c r="G299" s="18">
        <v>4.6058923157421008E-2</v>
      </c>
      <c r="H299" s="18">
        <v>3.3369575428242523E-2</v>
      </c>
      <c r="I299" s="18">
        <v>2.9505239053000471E-2</v>
      </c>
    </row>
    <row r="300" spans="1:9" x14ac:dyDescent="0.35">
      <c r="A300" s="14" t="s">
        <v>212</v>
      </c>
      <c r="B300" s="18">
        <v>0</v>
      </c>
      <c r="C300" s="18">
        <v>0</v>
      </c>
      <c r="D300" s="18">
        <v>0</v>
      </c>
      <c r="E300" s="18">
        <v>0</v>
      </c>
      <c r="F300" s="18">
        <v>0</v>
      </c>
      <c r="G300" s="18">
        <v>0</v>
      </c>
      <c r="H300" s="18">
        <v>0</v>
      </c>
      <c r="I300" s="18">
        <v>0</v>
      </c>
    </row>
    <row r="301" spans="1:9" x14ac:dyDescent="0.35">
      <c r="A301" s="14" t="s">
        <v>203</v>
      </c>
      <c r="B301" s="18">
        <v>0</v>
      </c>
      <c r="C301" s="18">
        <v>0</v>
      </c>
      <c r="D301" s="18">
        <v>0</v>
      </c>
      <c r="E301" s="18">
        <v>0</v>
      </c>
      <c r="F301" s="18">
        <v>0</v>
      </c>
      <c r="G301" s="18">
        <v>0</v>
      </c>
      <c r="H301" s="18">
        <v>0</v>
      </c>
      <c r="I301" s="18">
        <v>0</v>
      </c>
    </row>
    <row r="302" spans="1:9" x14ac:dyDescent="0.35">
      <c r="A302" s="14" t="s">
        <v>204</v>
      </c>
      <c r="B302" s="18">
        <v>0</v>
      </c>
      <c r="C302" s="18">
        <v>0</v>
      </c>
      <c r="D302" s="18">
        <v>0</v>
      </c>
      <c r="E302" s="18">
        <v>0</v>
      </c>
      <c r="F302" s="18">
        <v>0</v>
      </c>
      <c r="G302" s="18">
        <v>0</v>
      </c>
      <c r="H302" s="18">
        <v>0</v>
      </c>
      <c r="I302" s="18">
        <v>0</v>
      </c>
    </row>
    <row r="303" spans="1:9" x14ac:dyDescent="0.35">
      <c r="A303" s="14" t="s">
        <v>213</v>
      </c>
      <c r="B303" s="1">
        <v>36.474827780686319</v>
      </c>
      <c r="C303" s="1">
        <v>54.292391831971742</v>
      </c>
      <c r="D303" s="1">
        <v>12.20342072679375</v>
      </c>
      <c r="E303" s="1">
        <v>32.177415981680433</v>
      </c>
      <c r="F303" s="1">
        <v>36.474827780686333</v>
      </c>
      <c r="G303" s="1">
        <v>29.617303427124881</v>
      </c>
      <c r="H303" s="1">
        <v>25.592992752267978</v>
      </c>
      <c r="I303" s="1">
        <v>25.126330479633769</v>
      </c>
    </row>
    <row r="305" spans="1:9" x14ac:dyDescent="0.35">
      <c r="C305" s="187"/>
      <c r="D305" s="187"/>
      <c r="E305" s="187"/>
      <c r="F305" s="187"/>
      <c r="G305" s="170"/>
      <c r="H305" s="170"/>
      <c r="I305" s="170"/>
    </row>
    <row r="306" spans="1:9" ht="29" x14ac:dyDescent="0.35">
      <c r="A306" s="12" t="s">
        <v>600</v>
      </c>
      <c r="B306" s="13" t="s">
        <v>208</v>
      </c>
      <c r="C306" s="13" t="s">
        <v>458</v>
      </c>
      <c r="D306" s="13" t="s">
        <v>466</v>
      </c>
      <c r="E306" s="13" t="s">
        <v>467</v>
      </c>
      <c r="F306" s="13" t="s">
        <v>468</v>
      </c>
      <c r="G306" s="13" t="s">
        <v>636</v>
      </c>
      <c r="H306" s="13" t="s">
        <v>641</v>
      </c>
      <c r="I306" s="13" t="s">
        <v>647</v>
      </c>
    </row>
    <row r="307" spans="1:9" x14ac:dyDescent="0.35">
      <c r="A307" s="14" t="s">
        <v>209</v>
      </c>
      <c r="B307" s="15">
        <v>49</v>
      </c>
      <c r="C307" s="15">
        <v>11</v>
      </c>
      <c r="D307" s="15">
        <v>27</v>
      </c>
      <c r="E307" s="15">
        <v>38</v>
      </c>
      <c r="F307" s="15">
        <v>49</v>
      </c>
      <c r="G307" s="15">
        <v>61</v>
      </c>
      <c r="H307" s="15">
        <v>74</v>
      </c>
      <c r="I307" s="15">
        <v>77</v>
      </c>
    </row>
    <row r="308" spans="1:9" x14ac:dyDescent="0.35">
      <c r="A308" s="16" t="s">
        <v>336</v>
      </c>
      <c r="B308" s="17">
        <v>0.2535472735227054</v>
      </c>
      <c r="C308" s="155">
        <v>0</v>
      </c>
      <c r="D308" s="17">
        <v>0.28282628097940737</v>
      </c>
      <c r="E308" s="17">
        <v>0.27669779238928199</v>
      </c>
      <c r="F308" s="17">
        <v>0.25354727352270529</v>
      </c>
      <c r="G308" s="17">
        <v>0.29868799134187618</v>
      </c>
      <c r="H308" s="17">
        <v>0.33198210004374668</v>
      </c>
      <c r="I308" s="149">
        <v>0.3559757669086997</v>
      </c>
    </row>
    <row r="309" spans="1:9" x14ac:dyDescent="0.35">
      <c r="A309" s="16" t="s">
        <v>194</v>
      </c>
      <c r="B309" s="17">
        <v>0.49823773904712498</v>
      </c>
      <c r="C309" s="17">
        <v>0.63629975907365066</v>
      </c>
      <c r="D309" s="17">
        <v>0.5001829829943053</v>
      </c>
      <c r="E309" s="17">
        <v>0.48192625655442328</v>
      </c>
      <c r="F309" s="17">
        <v>0.49823773904712487</v>
      </c>
      <c r="G309" s="17">
        <v>0.45178575585768721</v>
      </c>
      <c r="H309" s="17">
        <v>0.45903064273655092</v>
      </c>
      <c r="I309" s="17">
        <v>0.4327377396530907</v>
      </c>
    </row>
    <row r="310" spans="1:9" x14ac:dyDescent="0.35">
      <c r="A310" s="16" t="s">
        <v>195</v>
      </c>
      <c r="B310" s="17">
        <v>0.2482149874301697</v>
      </c>
      <c r="C310" s="17">
        <v>0.36370024092634939</v>
      </c>
      <c r="D310" s="17">
        <v>0.2169907360262873</v>
      </c>
      <c r="E310" s="17">
        <v>0.2413759510562947</v>
      </c>
      <c r="F310" s="17">
        <v>0.24821498743016959</v>
      </c>
      <c r="G310" s="17">
        <v>0.24952625280043639</v>
      </c>
      <c r="H310" s="17">
        <v>0.20898725721970249</v>
      </c>
      <c r="I310" s="17">
        <v>0.2112864934382096</v>
      </c>
    </row>
    <row r="311" spans="1:9" x14ac:dyDescent="0.35">
      <c r="A311" s="14" t="s">
        <v>210</v>
      </c>
      <c r="B311" s="18">
        <v>7.0682933173354348E-2</v>
      </c>
      <c r="C311" s="18">
        <v>0</v>
      </c>
      <c r="D311" s="18">
        <v>9.9431237026933073E-2</v>
      </c>
      <c r="E311" s="18">
        <v>9.2447794345266857E-2</v>
      </c>
      <c r="F311" s="18">
        <v>7.0682933173354334E-2</v>
      </c>
      <c r="G311" s="18">
        <v>0.13543618048868561</v>
      </c>
      <c r="H311" s="18">
        <v>0.15355070358911191</v>
      </c>
      <c r="I311" s="18">
        <v>0.16045196956153879</v>
      </c>
    </row>
    <row r="312" spans="1:9" x14ac:dyDescent="0.35">
      <c r="A312" s="14" t="s">
        <v>197</v>
      </c>
      <c r="B312" s="18">
        <v>0.18286434034935101</v>
      </c>
      <c r="C312" s="18">
        <v>0</v>
      </c>
      <c r="D312" s="18">
        <v>0.18339504395247441</v>
      </c>
      <c r="E312" s="18">
        <v>0.1842499980440151</v>
      </c>
      <c r="F312" s="18">
        <v>0.18286434034935101</v>
      </c>
      <c r="G312" s="18">
        <v>0.1632518108531906</v>
      </c>
      <c r="H312" s="18">
        <v>0.17843139645463479</v>
      </c>
      <c r="I312" s="18">
        <v>0.19552379734716091</v>
      </c>
    </row>
    <row r="313" spans="1:9" x14ac:dyDescent="0.35">
      <c r="A313" s="14" t="s">
        <v>198</v>
      </c>
      <c r="B313" s="18">
        <v>0.31554842034477892</v>
      </c>
      <c r="C313" s="18">
        <v>0.42458108263837507</v>
      </c>
      <c r="D313" s="18">
        <v>0.31769302286243778</v>
      </c>
      <c r="E313" s="18">
        <v>0.32854131525606689</v>
      </c>
      <c r="F313" s="18">
        <v>0.31554842034477881</v>
      </c>
      <c r="G313" s="18">
        <v>0.27406717082374638</v>
      </c>
      <c r="H313" s="18">
        <v>0.28463916184796251</v>
      </c>
      <c r="I313" s="18">
        <v>0.26842243867930859</v>
      </c>
    </row>
    <row r="314" spans="1:9" x14ac:dyDescent="0.35">
      <c r="A314" s="14" t="s">
        <v>199</v>
      </c>
      <c r="B314" s="18">
        <v>0.18268931870234609</v>
      </c>
      <c r="C314" s="18">
        <v>0.2117186764352755</v>
      </c>
      <c r="D314" s="18">
        <v>0.18248996013186741</v>
      </c>
      <c r="E314" s="18">
        <v>0.15338494129835639</v>
      </c>
      <c r="F314" s="18">
        <v>0.18268931870234609</v>
      </c>
      <c r="G314" s="18">
        <v>0.17771858503394089</v>
      </c>
      <c r="H314" s="18">
        <v>0.17439148088858841</v>
      </c>
      <c r="I314" s="18">
        <v>0.16431530097378211</v>
      </c>
    </row>
    <row r="315" spans="1:9" x14ac:dyDescent="0.35">
      <c r="A315" s="14" t="s">
        <v>200</v>
      </c>
      <c r="B315" s="18">
        <v>8.3082212449148429E-2</v>
      </c>
      <c r="C315" s="18">
        <v>0.19126745375330029</v>
      </c>
      <c r="D315" s="18">
        <v>0.11694613163031049</v>
      </c>
      <c r="E315" s="18">
        <v>0.1086650899363652</v>
      </c>
      <c r="F315" s="25">
        <v>8.3082212449148402E-2</v>
      </c>
      <c r="G315" s="18">
        <v>6.7575037809776473E-2</v>
      </c>
      <c r="H315" s="18">
        <v>5.6596537037237063E-2</v>
      </c>
      <c r="I315" s="18">
        <v>4.9677566657534637E-2</v>
      </c>
    </row>
    <row r="316" spans="1:9" x14ac:dyDescent="0.35">
      <c r="A316" s="14" t="s">
        <v>201</v>
      </c>
      <c r="B316" s="18">
        <v>7.7332552234672947E-2</v>
      </c>
      <c r="C316" s="18">
        <v>0.17243278717304911</v>
      </c>
      <c r="D316" s="18">
        <v>0.1000446043959768</v>
      </c>
      <c r="E316" s="18">
        <v>0.101144980325756</v>
      </c>
      <c r="F316" s="18">
        <v>7.7332552234672933E-2</v>
      </c>
      <c r="G316" s="18">
        <v>9.7295810135109032E-2</v>
      </c>
      <c r="H316" s="18">
        <v>8.1488758280546775E-2</v>
      </c>
      <c r="I316" s="18">
        <v>6.919547074849175E-2</v>
      </c>
    </row>
    <row r="317" spans="1:9" x14ac:dyDescent="0.35">
      <c r="A317" s="14" t="s">
        <v>202</v>
      </c>
      <c r="B317" s="18">
        <v>2.4911793211705911E-2</v>
      </c>
      <c r="C317" s="18">
        <v>0</v>
      </c>
      <c r="D317" s="18">
        <v>0</v>
      </c>
      <c r="E317" s="21">
        <v>0</v>
      </c>
      <c r="F317" s="18">
        <v>2.4911793211705901E-2</v>
      </c>
      <c r="G317" s="18">
        <v>2.0262043084381221E-2</v>
      </c>
      <c r="H317" s="18">
        <v>1.6970193566201251E-2</v>
      </c>
      <c r="I317" s="18">
        <v>1.5980052621124351E-2</v>
      </c>
    </row>
    <row r="318" spans="1:9" x14ac:dyDescent="0.35">
      <c r="A318" s="14" t="s">
        <v>211</v>
      </c>
      <c r="B318" s="18">
        <v>1.7407857060734451E-2</v>
      </c>
      <c r="C318" s="18">
        <v>0</v>
      </c>
      <c r="D318" s="18">
        <v>0</v>
      </c>
      <c r="E318" s="18">
        <v>0</v>
      </c>
      <c r="F318" s="18">
        <v>1.7407857060734441E-2</v>
      </c>
      <c r="G318" s="18">
        <v>1.415870574927584E-2</v>
      </c>
      <c r="H318" s="18">
        <v>1.1858427909341071E-2</v>
      </c>
      <c r="I318" s="18">
        <v>1.116653745025601E-2</v>
      </c>
    </row>
    <row r="319" spans="1:9" x14ac:dyDescent="0.35">
      <c r="A319" s="14" t="s">
        <v>212</v>
      </c>
      <c r="B319" s="18">
        <v>0</v>
      </c>
      <c r="C319" s="18">
        <v>0</v>
      </c>
      <c r="D319" s="18">
        <v>0</v>
      </c>
      <c r="E319" s="18">
        <v>0</v>
      </c>
      <c r="F319" s="18">
        <v>0</v>
      </c>
      <c r="G319" s="18">
        <v>0</v>
      </c>
      <c r="H319" s="18">
        <v>0</v>
      </c>
      <c r="I319" s="18">
        <v>0</v>
      </c>
    </row>
    <row r="320" spans="1:9" x14ac:dyDescent="0.35">
      <c r="A320" s="14" t="s">
        <v>203</v>
      </c>
      <c r="B320" s="18">
        <v>0</v>
      </c>
      <c r="C320" s="18">
        <v>0</v>
      </c>
      <c r="D320" s="18">
        <v>0</v>
      </c>
      <c r="E320" s="18">
        <v>0</v>
      </c>
      <c r="F320" s="18">
        <v>0</v>
      </c>
      <c r="G320" s="18">
        <v>0</v>
      </c>
      <c r="H320" s="18">
        <v>0</v>
      </c>
      <c r="I320" s="18">
        <v>0</v>
      </c>
    </row>
    <row r="321" spans="1:9" x14ac:dyDescent="0.35">
      <c r="A321" s="14" t="s">
        <v>204</v>
      </c>
      <c r="B321" s="18">
        <v>4.5480572473907972E-2</v>
      </c>
      <c r="C321" s="18">
        <v>0</v>
      </c>
      <c r="D321" s="18">
        <v>0</v>
      </c>
      <c r="E321" s="18">
        <v>3.1565880794173488E-2</v>
      </c>
      <c r="F321" s="18">
        <v>4.5480572473907951E-2</v>
      </c>
      <c r="G321" s="18">
        <v>5.0234656021893823E-2</v>
      </c>
      <c r="H321" s="18">
        <v>4.2073340426376338E-2</v>
      </c>
      <c r="I321" s="18">
        <v>6.5266865960802889E-2</v>
      </c>
    </row>
    <row r="322" spans="1:9" x14ac:dyDescent="0.35">
      <c r="A322" s="14" t="s">
        <v>213</v>
      </c>
      <c r="B322" s="1">
        <v>0.53322860925356985</v>
      </c>
      <c r="C322" s="1">
        <v>-36.370024092634942</v>
      </c>
      <c r="D322" s="1">
        <v>6.5835544953120149</v>
      </c>
      <c r="E322" s="1">
        <v>3.5321841332987289</v>
      </c>
      <c r="F322" s="1">
        <v>0.53322860925356885</v>
      </c>
      <c r="G322" s="1">
        <v>4.9161738541439783</v>
      </c>
      <c r="H322" s="1">
        <v>12.299484282404419</v>
      </c>
      <c r="I322" s="1">
        <v>14.468927347049011</v>
      </c>
    </row>
    <row r="324" spans="1:9" x14ac:dyDescent="0.35">
      <c r="C324" s="187"/>
      <c r="D324" s="187"/>
      <c r="E324" s="187"/>
      <c r="F324" s="187"/>
      <c r="G324" s="170"/>
      <c r="H324" s="170"/>
      <c r="I324" s="170"/>
    </row>
    <row r="325" spans="1:9" ht="29" x14ac:dyDescent="0.35">
      <c r="A325" s="12" t="s">
        <v>538</v>
      </c>
      <c r="B325" s="13" t="s">
        <v>208</v>
      </c>
      <c r="C325" s="13" t="s">
        <v>458</v>
      </c>
      <c r="D325" s="13" t="s">
        <v>466</v>
      </c>
      <c r="E325" s="13" t="s">
        <v>467</v>
      </c>
      <c r="F325" s="13" t="s">
        <v>468</v>
      </c>
      <c r="G325" s="13" t="s">
        <v>636</v>
      </c>
      <c r="H325" s="13" t="s">
        <v>641</v>
      </c>
      <c r="I325" s="13" t="s">
        <v>647</v>
      </c>
    </row>
    <row r="326" spans="1:9" x14ac:dyDescent="0.35">
      <c r="A326" s="14" t="s">
        <v>209</v>
      </c>
      <c r="B326" s="15">
        <v>118</v>
      </c>
      <c r="C326" s="15">
        <v>21</v>
      </c>
      <c r="D326" s="15">
        <v>56</v>
      </c>
      <c r="E326" s="15">
        <v>80</v>
      </c>
      <c r="F326" s="15">
        <v>118</v>
      </c>
      <c r="G326" s="15">
        <v>153</v>
      </c>
      <c r="H326" s="15">
        <v>197</v>
      </c>
      <c r="I326" s="15">
        <v>220</v>
      </c>
    </row>
    <row r="327" spans="1:9" x14ac:dyDescent="0.35">
      <c r="A327" s="16" t="s">
        <v>336</v>
      </c>
      <c r="B327" s="17">
        <v>0.45381828090255411</v>
      </c>
      <c r="C327" s="17">
        <v>0.33795621324214259</v>
      </c>
      <c r="D327" s="148">
        <v>0.31552630153957129</v>
      </c>
      <c r="E327" s="148">
        <v>0.356654110864421</v>
      </c>
      <c r="F327" s="17">
        <v>0.45381828090255422</v>
      </c>
      <c r="G327" s="17">
        <v>0.49384797224336052</v>
      </c>
      <c r="H327" s="17">
        <v>0.50798520453506946</v>
      </c>
      <c r="I327" s="153">
        <v>0.54964923821782297</v>
      </c>
    </row>
    <row r="328" spans="1:9" x14ac:dyDescent="0.35">
      <c r="A328" s="16" t="s">
        <v>194</v>
      </c>
      <c r="B328" s="17">
        <v>0.34611067111111299</v>
      </c>
      <c r="C328" s="17">
        <v>0.40847530849595087</v>
      </c>
      <c r="D328" s="17">
        <v>0.32205079842867818</v>
      </c>
      <c r="E328" s="17">
        <v>0.37061317664852622</v>
      </c>
      <c r="F328" s="17">
        <v>0.34611067111111299</v>
      </c>
      <c r="G328" s="17">
        <v>0.34374339847491192</v>
      </c>
      <c r="H328" s="17">
        <v>0.33303196858661632</v>
      </c>
      <c r="I328" s="17">
        <v>0.31916737554960201</v>
      </c>
    </row>
    <row r="329" spans="1:9" x14ac:dyDescent="0.35">
      <c r="A329" s="16" t="s">
        <v>195</v>
      </c>
      <c r="B329" s="17">
        <v>0.20007104798633291</v>
      </c>
      <c r="C329" s="17">
        <v>0.25356847826190643</v>
      </c>
      <c r="D329" s="150">
        <v>0.36242290003175032</v>
      </c>
      <c r="E329" s="151">
        <v>0.27273271248705289</v>
      </c>
      <c r="F329" s="17">
        <v>0.20007104798633299</v>
      </c>
      <c r="G329" s="17">
        <v>0.1624086292817277</v>
      </c>
      <c r="H329" s="152">
        <v>0.15898282687831419</v>
      </c>
      <c r="I329" s="17">
        <v>0.131183386232575</v>
      </c>
    </row>
    <row r="330" spans="1:9" x14ac:dyDescent="0.35">
      <c r="A330" s="14" t="s">
        <v>210</v>
      </c>
      <c r="B330" s="18">
        <v>0.22189728784951651</v>
      </c>
      <c r="C330" s="18">
        <v>0.1251860344331058</v>
      </c>
      <c r="D330" s="23">
        <v>0.14336202666701969</v>
      </c>
      <c r="E330" s="21">
        <v>0.16331828458986961</v>
      </c>
      <c r="F330" s="18">
        <v>0.22189728784951651</v>
      </c>
      <c r="G330" s="18">
        <v>0.23467448344124331</v>
      </c>
      <c r="H330" s="18">
        <v>0.248132497036851</v>
      </c>
      <c r="I330" s="18">
        <v>0.28588600272205211</v>
      </c>
    </row>
    <row r="331" spans="1:9" x14ac:dyDescent="0.35">
      <c r="A331" s="14" t="s">
        <v>197</v>
      </c>
      <c r="B331" s="18">
        <v>0.23192099305303759</v>
      </c>
      <c r="C331" s="18">
        <v>0.2127701788090369</v>
      </c>
      <c r="D331" s="18">
        <v>0.17216427487255159</v>
      </c>
      <c r="E331" s="18">
        <v>0.1933358262745514</v>
      </c>
      <c r="F331" s="18">
        <v>0.23192099305303759</v>
      </c>
      <c r="G331" s="18">
        <v>0.25917348880211721</v>
      </c>
      <c r="H331" s="18">
        <v>0.25985270749821848</v>
      </c>
      <c r="I331" s="18">
        <v>0.26376323549577091</v>
      </c>
    </row>
    <row r="332" spans="1:9" x14ac:dyDescent="0.35">
      <c r="A332" s="14" t="s">
        <v>198</v>
      </c>
      <c r="B332" s="18">
        <v>0.25473466091214741</v>
      </c>
      <c r="C332" s="18">
        <v>0.25487402073722959</v>
      </c>
      <c r="D332" s="18">
        <v>0.2462053723769797</v>
      </c>
      <c r="E332" s="18">
        <v>0.28607657739405978</v>
      </c>
      <c r="F332" s="18">
        <v>0.25473466091214741</v>
      </c>
      <c r="G332" s="18">
        <v>0.24822824290822529</v>
      </c>
      <c r="H332" s="18">
        <v>0.23269886859151731</v>
      </c>
      <c r="I332" s="18">
        <v>0.20910661599711741</v>
      </c>
    </row>
    <row r="333" spans="1:9" x14ac:dyDescent="0.35">
      <c r="A333" s="14" t="s">
        <v>199</v>
      </c>
      <c r="B333" s="18">
        <v>9.1376010198965602E-2</v>
      </c>
      <c r="C333" s="18">
        <v>0.1536012877587212</v>
      </c>
      <c r="D333" s="18">
        <v>7.5845426051698597E-2</v>
      </c>
      <c r="E333" s="18">
        <v>8.4536599254466341E-2</v>
      </c>
      <c r="F333" s="18">
        <v>9.1376010198965629E-2</v>
      </c>
      <c r="G333" s="18">
        <v>9.5515155566686646E-2</v>
      </c>
      <c r="H333" s="18">
        <v>0.100333099995099</v>
      </c>
      <c r="I333" s="18">
        <v>0.1100607595524847</v>
      </c>
    </row>
    <row r="334" spans="1:9" x14ac:dyDescent="0.35">
      <c r="A334" s="14" t="s">
        <v>200</v>
      </c>
      <c r="B334" s="18">
        <v>2.8900189238393811E-2</v>
      </c>
      <c r="C334" s="18">
        <v>4.7739539861926937E-2</v>
      </c>
      <c r="D334" s="19">
        <v>6.2375928167772182E-2</v>
      </c>
      <c r="E334" s="18">
        <v>4.2608692164443733E-2</v>
      </c>
      <c r="F334" s="18">
        <v>2.8900189238393818E-2</v>
      </c>
      <c r="G334" s="18">
        <v>2.258120706753371E-2</v>
      </c>
      <c r="H334" s="18">
        <v>4.7742767547120722E-2</v>
      </c>
      <c r="I334" s="18">
        <v>4.5373970145743618E-2</v>
      </c>
    </row>
    <row r="335" spans="1:9" x14ac:dyDescent="0.35">
      <c r="A335" s="14" t="s">
        <v>201</v>
      </c>
      <c r="B335" s="18">
        <v>8.4058440877674931E-2</v>
      </c>
      <c r="C335" s="18">
        <v>0.10368449086913969</v>
      </c>
      <c r="D335" s="20">
        <v>0.13130145017785649</v>
      </c>
      <c r="E335" s="18">
        <v>0.1016907368545746</v>
      </c>
      <c r="F335" s="18">
        <v>8.4058440877674973E-2</v>
      </c>
      <c r="G335" s="18">
        <v>7.1762001262947434E-2</v>
      </c>
      <c r="H335" s="18">
        <v>5.495229476240953E-2</v>
      </c>
      <c r="I335" s="18">
        <v>4.529597322695466E-2</v>
      </c>
    </row>
    <row r="336" spans="1:9" x14ac:dyDescent="0.35">
      <c r="A336" s="14" t="s">
        <v>202</v>
      </c>
      <c r="B336" s="18">
        <v>2.6790481534173301E-2</v>
      </c>
      <c r="C336" s="18">
        <v>5.2637638106221171E-2</v>
      </c>
      <c r="D336" s="20">
        <v>5.7822498599268489E-2</v>
      </c>
      <c r="E336" s="18">
        <v>3.9498266644922703E-2</v>
      </c>
      <c r="F336" s="18">
        <v>2.6790481534173311E-2</v>
      </c>
      <c r="G336" s="18">
        <v>2.0932783725803979E-2</v>
      </c>
      <c r="H336" s="18">
        <v>2.0195591438719091E-2</v>
      </c>
      <c r="I336" s="18">
        <v>1.305771761390395E-2</v>
      </c>
    </row>
    <row r="337" spans="1:9" x14ac:dyDescent="0.35">
      <c r="A337" s="14" t="s">
        <v>211</v>
      </c>
      <c r="B337" s="18">
        <v>1.653637133884504E-2</v>
      </c>
      <c r="C337" s="18">
        <v>0</v>
      </c>
      <c r="D337" s="18">
        <v>3.5690822031611398E-2</v>
      </c>
      <c r="E337" s="18">
        <v>2.4380226374356349E-2</v>
      </c>
      <c r="F337" s="18">
        <v>1.653637133884504E-2</v>
      </c>
      <c r="G337" s="18">
        <v>1.29207190398606E-2</v>
      </c>
      <c r="H337" s="18">
        <v>9.894138244822057E-3</v>
      </c>
      <c r="I337" s="18">
        <v>8.7812645874155611E-3</v>
      </c>
    </row>
    <row r="338" spans="1:9" x14ac:dyDescent="0.35">
      <c r="A338" s="14" t="s">
        <v>212</v>
      </c>
      <c r="B338" s="18">
        <v>2.521627603247182E-2</v>
      </c>
      <c r="C338" s="18">
        <v>4.9506809424618652E-2</v>
      </c>
      <c r="D338" s="18">
        <v>3.5153687207499063E-2</v>
      </c>
      <c r="E338" s="18">
        <v>3.7177353204796731E-2</v>
      </c>
      <c r="F338" s="18">
        <v>2.521627603247183E-2</v>
      </c>
      <c r="G338" s="18">
        <v>1.9702775849123812E-2</v>
      </c>
      <c r="H338" s="18">
        <v>1.508754949756074E-2</v>
      </c>
      <c r="I338" s="18">
        <v>8.813661317603045E-3</v>
      </c>
    </row>
    <row r="339" spans="1:9" x14ac:dyDescent="0.35">
      <c r="A339" s="14" t="s">
        <v>203</v>
      </c>
      <c r="B339" s="18">
        <v>0</v>
      </c>
      <c r="C339" s="18">
        <v>0</v>
      </c>
      <c r="D339" s="18">
        <v>0</v>
      </c>
      <c r="E339" s="18">
        <v>0</v>
      </c>
      <c r="F339" s="18">
        <v>0</v>
      </c>
      <c r="G339" s="18">
        <v>0</v>
      </c>
      <c r="H339" s="18">
        <v>0</v>
      </c>
      <c r="I339" s="18">
        <v>0</v>
      </c>
    </row>
    <row r="340" spans="1:9" x14ac:dyDescent="0.35">
      <c r="A340" s="14" t="s">
        <v>204</v>
      </c>
      <c r="B340" s="18">
        <v>1.8569288964774031E-2</v>
      </c>
      <c r="C340" s="18">
        <v>0</v>
      </c>
      <c r="D340" s="18">
        <v>4.007851384774265E-2</v>
      </c>
      <c r="E340" s="18">
        <v>2.737743724395875E-2</v>
      </c>
      <c r="F340" s="18">
        <v>1.8569288964774031E-2</v>
      </c>
      <c r="G340" s="18">
        <v>1.4509142336458119E-2</v>
      </c>
      <c r="H340" s="18">
        <v>1.11104853876821E-2</v>
      </c>
      <c r="I340" s="18">
        <v>9.8607993409541798E-3</v>
      </c>
    </row>
    <row r="341" spans="1:9" x14ac:dyDescent="0.35">
      <c r="A341" s="14" t="s">
        <v>213</v>
      </c>
      <c r="B341" s="1">
        <v>25.374723291622121</v>
      </c>
      <c r="C341" s="1">
        <v>8.4387734980236235</v>
      </c>
      <c r="D341" s="1">
        <v>-4.689659849217902</v>
      </c>
      <c r="E341" s="1">
        <v>8.3921398377368153</v>
      </c>
      <c r="F341" s="1">
        <v>25.3747232916221</v>
      </c>
      <c r="G341" s="1">
        <v>33.143934296163287</v>
      </c>
      <c r="H341" s="1">
        <v>34.900237765675527</v>
      </c>
      <c r="I341" s="1">
        <v>41.846585198524799</v>
      </c>
    </row>
    <row r="343" spans="1:9" x14ac:dyDescent="0.35">
      <c r="C343" s="187"/>
      <c r="D343" s="187"/>
      <c r="E343" s="187"/>
      <c r="F343" s="187"/>
      <c r="G343" s="170"/>
      <c r="H343" s="170"/>
      <c r="I343" s="170"/>
    </row>
    <row r="344" spans="1:9" ht="29" x14ac:dyDescent="0.35">
      <c r="A344" s="12" t="s">
        <v>567</v>
      </c>
      <c r="B344" s="13" t="s">
        <v>208</v>
      </c>
      <c r="C344" s="13" t="s">
        <v>458</v>
      </c>
      <c r="D344" s="13" t="s">
        <v>466</v>
      </c>
      <c r="E344" s="13" t="s">
        <v>467</v>
      </c>
      <c r="F344" s="13" t="s">
        <v>468</v>
      </c>
      <c r="G344" s="13" t="s">
        <v>636</v>
      </c>
      <c r="H344" s="13" t="s">
        <v>641</v>
      </c>
      <c r="I344" s="13" t="s">
        <v>647</v>
      </c>
    </row>
    <row r="345" spans="1:9" x14ac:dyDescent="0.35">
      <c r="A345" s="14" t="s">
        <v>209</v>
      </c>
      <c r="B345" s="15">
        <v>0</v>
      </c>
      <c r="C345" s="15">
        <v>0</v>
      </c>
      <c r="D345" s="15">
        <v>0</v>
      </c>
      <c r="E345" s="15">
        <v>0</v>
      </c>
      <c r="F345" s="15">
        <v>0</v>
      </c>
      <c r="G345" s="15">
        <v>0</v>
      </c>
      <c r="H345" s="15">
        <v>0</v>
      </c>
      <c r="I345" s="15">
        <v>0</v>
      </c>
    </row>
    <row r="346" spans="1:9" x14ac:dyDescent="0.35">
      <c r="A346" s="16" t="s">
        <v>336</v>
      </c>
      <c r="B346" s="17" t="s">
        <v>214</v>
      </c>
      <c r="C346" s="168" t="s">
        <v>214</v>
      </c>
      <c r="D346" s="168" t="s">
        <v>214</v>
      </c>
      <c r="E346" s="168" t="s">
        <v>214</v>
      </c>
      <c r="F346" s="168" t="s">
        <v>214</v>
      </c>
      <c r="G346" s="168" t="s">
        <v>214</v>
      </c>
      <c r="H346" s="168" t="s">
        <v>214</v>
      </c>
      <c r="I346" s="168" t="s">
        <v>214</v>
      </c>
    </row>
    <row r="347" spans="1:9" x14ac:dyDescent="0.35">
      <c r="A347" s="16" t="s">
        <v>194</v>
      </c>
      <c r="B347" s="17" t="s">
        <v>214</v>
      </c>
      <c r="C347" s="168" t="s">
        <v>214</v>
      </c>
      <c r="D347" s="168" t="s">
        <v>214</v>
      </c>
      <c r="E347" s="168" t="s">
        <v>214</v>
      </c>
      <c r="F347" s="168" t="s">
        <v>214</v>
      </c>
      <c r="G347" s="168" t="s">
        <v>214</v>
      </c>
      <c r="H347" s="168" t="s">
        <v>214</v>
      </c>
      <c r="I347" s="168" t="s">
        <v>214</v>
      </c>
    </row>
    <row r="348" spans="1:9" x14ac:dyDescent="0.35">
      <c r="A348" s="16" t="s">
        <v>195</v>
      </c>
      <c r="B348" s="17" t="s">
        <v>214</v>
      </c>
      <c r="C348" s="168" t="s">
        <v>214</v>
      </c>
      <c r="D348" s="168" t="s">
        <v>214</v>
      </c>
      <c r="E348" s="168" t="s">
        <v>214</v>
      </c>
      <c r="F348" s="168" t="s">
        <v>214</v>
      </c>
      <c r="G348" s="168" t="s">
        <v>214</v>
      </c>
      <c r="H348" s="168" t="s">
        <v>214</v>
      </c>
      <c r="I348" s="168" t="s">
        <v>214</v>
      </c>
    </row>
    <row r="349" spans="1:9" x14ac:dyDescent="0.35">
      <c r="A349" s="14" t="s">
        <v>210</v>
      </c>
      <c r="B349" s="18" t="s">
        <v>214</v>
      </c>
      <c r="C349" s="18" t="s">
        <v>214</v>
      </c>
      <c r="D349" s="18" t="s">
        <v>214</v>
      </c>
      <c r="E349" s="18" t="s">
        <v>214</v>
      </c>
      <c r="F349" s="18" t="s">
        <v>214</v>
      </c>
      <c r="G349" s="18" t="s">
        <v>214</v>
      </c>
      <c r="H349" s="18" t="s">
        <v>214</v>
      </c>
      <c r="I349" s="18" t="s">
        <v>214</v>
      </c>
    </row>
    <row r="350" spans="1:9" x14ac:dyDescent="0.35">
      <c r="A350" s="14" t="s">
        <v>197</v>
      </c>
      <c r="B350" s="18" t="s">
        <v>214</v>
      </c>
      <c r="C350" s="18" t="s">
        <v>214</v>
      </c>
      <c r="D350" s="18" t="s">
        <v>214</v>
      </c>
      <c r="E350" s="18" t="s">
        <v>214</v>
      </c>
      <c r="F350" s="18" t="s">
        <v>214</v>
      </c>
      <c r="G350" s="18" t="s">
        <v>214</v>
      </c>
      <c r="H350" s="18" t="s">
        <v>214</v>
      </c>
      <c r="I350" s="18" t="s">
        <v>214</v>
      </c>
    </row>
    <row r="351" spans="1:9" x14ac:dyDescent="0.35">
      <c r="A351" s="14" t="s">
        <v>198</v>
      </c>
      <c r="B351" s="18" t="s">
        <v>214</v>
      </c>
      <c r="C351" s="18" t="s">
        <v>214</v>
      </c>
      <c r="D351" s="18" t="s">
        <v>214</v>
      </c>
      <c r="E351" s="18" t="s">
        <v>214</v>
      </c>
      <c r="F351" s="18" t="s">
        <v>214</v>
      </c>
      <c r="G351" s="18" t="s">
        <v>214</v>
      </c>
      <c r="H351" s="18" t="s">
        <v>214</v>
      </c>
      <c r="I351" s="18" t="s">
        <v>214</v>
      </c>
    </row>
    <row r="352" spans="1:9" x14ac:dyDescent="0.35">
      <c r="A352" s="14" t="s">
        <v>199</v>
      </c>
      <c r="B352" s="18" t="s">
        <v>214</v>
      </c>
      <c r="C352" s="18" t="s">
        <v>214</v>
      </c>
      <c r="D352" s="18" t="s">
        <v>214</v>
      </c>
      <c r="E352" s="18" t="s">
        <v>214</v>
      </c>
      <c r="F352" s="18" t="s">
        <v>214</v>
      </c>
      <c r="G352" s="18" t="s">
        <v>214</v>
      </c>
      <c r="H352" s="18" t="s">
        <v>214</v>
      </c>
      <c r="I352" s="18" t="s">
        <v>214</v>
      </c>
    </row>
    <row r="353" spans="1:9" x14ac:dyDescent="0.35">
      <c r="A353" s="14" t="s">
        <v>200</v>
      </c>
      <c r="B353" s="18" t="s">
        <v>214</v>
      </c>
      <c r="C353" s="18" t="s">
        <v>214</v>
      </c>
      <c r="D353" s="18" t="s">
        <v>214</v>
      </c>
      <c r="E353" s="18" t="s">
        <v>214</v>
      </c>
      <c r="F353" s="18" t="s">
        <v>214</v>
      </c>
      <c r="G353" s="18" t="s">
        <v>214</v>
      </c>
      <c r="H353" s="18" t="s">
        <v>214</v>
      </c>
      <c r="I353" s="18" t="s">
        <v>214</v>
      </c>
    </row>
    <row r="354" spans="1:9" x14ac:dyDescent="0.35">
      <c r="A354" s="14" t="s">
        <v>201</v>
      </c>
      <c r="B354" s="18" t="s">
        <v>214</v>
      </c>
      <c r="C354" s="18" t="s">
        <v>214</v>
      </c>
      <c r="D354" s="18" t="s">
        <v>214</v>
      </c>
      <c r="E354" s="18" t="s">
        <v>214</v>
      </c>
      <c r="F354" s="18" t="s">
        <v>214</v>
      </c>
      <c r="G354" s="18" t="s">
        <v>214</v>
      </c>
      <c r="H354" s="18" t="s">
        <v>214</v>
      </c>
      <c r="I354" s="18" t="s">
        <v>214</v>
      </c>
    </row>
    <row r="355" spans="1:9" x14ac:dyDescent="0.35">
      <c r="A355" s="14" t="s">
        <v>202</v>
      </c>
      <c r="B355" s="18" t="s">
        <v>214</v>
      </c>
      <c r="C355" s="18" t="s">
        <v>214</v>
      </c>
      <c r="D355" s="18" t="s">
        <v>214</v>
      </c>
      <c r="E355" s="18" t="s">
        <v>214</v>
      </c>
      <c r="F355" s="18" t="s">
        <v>214</v>
      </c>
      <c r="G355" s="18" t="s">
        <v>214</v>
      </c>
      <c r="H355" s="18" t="s">
        <v>214</v>
      </c>
      <c r="I355" s="18" t="s">
        <v>214</v>
      </c>
    </row>
    <row r="356" spans="1:9" x14ac:dyDescent="0.35">
      <c r="A356" s="14" t="s">
        <v>211</v>
      </c>
      <c r="B356" s="18" t="s">
        <v>214</v>
      </c>
      <c r="C356" s="18" t="s">
        <v>214</v>
      </c>
      <c r="D356" s="18" t="s">
        <v>214</v>
      </c>
      <c r="E356" s="18" t="s">
        <v>214</v>
      </c>
      <c r="F356" s="18" t="s">
        <v>214</v>
      </c>
      <c r="G356" s="18" t="s">
        <v>214</v>
      </c>
      <c r="H356" s="18" t="s">
        <v>214</v>
      </c>
      <c r="I356" s="18" t="s">
        <v>214</v>
      </c>
    </row>
    <row r="357" spans="1:9" x14ac:dyDescent="0.35">
      <c r="A357" s="14" t="s">
        <v>212</v>
      </c>
      <c r="B357" s="18" t="s">
        <v>214</v>
      </c>
      <c r="C357" s="18" t="s">
        <v>214</v>
      </c>
      <c r="D357" s="18" t="s">
        <v>214</v>
      </c>
      <c r="E357" s="18" t="s">
        <v>214</v>
      </c>
      <c r="F357" s="18" t="s">
        <v>214</v>
      </c>
      <c r="G357" s="18" t="s">
        <v>214</v>
      </c>
      <c r="H357" s="18" t="s">
        <v>214</v>
      </c>
      <c r="I357" s="18" t="s">
        <v>214</v>
      </c>
    </row>
    <row r="358" spans="1:9" x14ac:dyDescent="0.35">
      <c r="A358" s="14" t="s">
        <v>203</v>
      </c>
      <c r="B358" s="18" t="s">
        <v>214</v>
      </c>
      <c r="C358" s="18" t="s">
        <v>214</v>
      </c>
      <c r="D358" s="18" t="s">
        <v>214</v>
      </c>
      <c r="E358" s="18" t="s">
        <v>214</v>
      </c>
      <c r="F358" s="18" t="s">
        <v>214</v>
      </c>
      <c r="G358" s="18" t="s">
        <v>214</v>
      </c>
      <c r="H358" s="18" t="s">
        <v>214</v>
      </c>
      <c r="I358" s="18" t="s">
        <v>214</v>
      </c>
    </row>
    <row r="359" spans="1:9" x14ac:dyDescent="0.35">
      <c r="A359" s="14" t="s">
        <v>204</v>
      </c>
      <c r="B359" s="18" t="s">
        <v>214</v>
      </c>
      <c r="C359" s="18" t="s">
        <v>214</v>
      </c>
      <c r="D359" s="18" t="s">
        <v>214</v>
      </c>
      <c r="E359" s="18" t="s">
        <v>214</v>
      </c>
      <c r="F359" s="18" t="s">
        <v>214</v>
      </c>
      <c r="G359" s="18" t="s">
        <v>214</v>
      </c>
      <c r="H359" s="18" t="s">
        <v>214</v>
      </c>
      <c r="I359" s="18" t="s">
        <v>214</v>
      </c>
    </row>
    <row r="361" spans="1:9" x14ac:dyDescent="0.35">
      <c r="C361" s="187"/>
      <c r="D361" s="187"/>
      <c r="E361" s="187"/>
      <c r="F361" s="187"/>
      <c r="G361" s="170"/>
      <c r="H361" s="170"/>
      <c r="I361" s="170"/>
    </row>
    <row r="362" spans="1:9" ht="29" x14ac:dyDescent="0.35">
      <c r="A362" s="12" t="s">
        <v>568</v>
      </c>
      <c r="B362" s="13" t="s">
        <v>208</v>
      </c>
      <c r="C362" s="13" t="s">
        <v>458</v>
      </c>
      <c r="D362" s="13" t="s">
        <v>466</v>
      </c>
      <c r="E362" s="13" t="s">
        <v>467</v>
      </c>
      <c r="F362" s="13" t="s">
        <v>468</v>
      </c>
      <c r="G362" s="13" t="s">
        <v>636</v>
      </c>
      <c r="H362" s="13" t="s">
        <v>641</v>
      </c>
      <c r="I362" s="13" t="s">
        <v>647</v>
      </c>
    </row>
    <row r="363" spans="1:9" x14ac:dyDescent="0.35">
      <c r="A363" s="14" t="s">
        <v>209</v>
      </c>
      <c r="B363" s="15">
        <v>0</v>
      </c>
      <c r="C363" s="15">
        <v>0</v>
      </c>
      <c r="D363" s="15">
        <v>0</v>
      </c>
      <c r="E363" s="15">
        <v>0</v>
      </c>
      <c r="F363" s="15">
        <v>0</v>
      </c>
      <c r="G363" s="15">
        <v>0</v>
      </c>
      <c r="H363" s="15">
        <v>0</v>
      </c>
      <c r="I363" s="15">
        <v>0</v>
      </c>
    </row>
    <row r="364" spans="1:9" x14ac:dyDescent="0.35">
      <c r="A364" s="16" t="s">
        <v>336</v>
      </c>
      <c r="B364" s="17" t="s">
        <v>214</v>
      </c>
      <c r="C364" s="168" t="s">
        <v>214</v>
      </c>
      <c r="D364" s="168" t="s">
        <v>214</v>
      </c>
      <c r="E364" s="168" t="s">
        <v>214</v>
      </c>
      <c r="F364" s="168" t="s">
        <v>214</v>
      </c>
      <c r="G364" s="168" t="s">
        <v>214</v>
      </c>
      <c r="H364" s="168" t="s">
        <v>214</v>
      </c>
      <c r="I364" s="168" t="s">
        <v>214</v>
      </c>
    </row>
    <row r="365" spans="1:9" x14ac:dyDescent="0.35">
      <c r="A365" s="16" t="s">
        <v>194</v>
      </c>
      <c r="B365" s="17" t="s">
        <v>214</v>
      </c>
      <c r="C365" s="168" t="s">
        <v>214</v>
      </c>
      <c r="D365" s="168" t="s">
        <v>214</v>
      </c>
      <c r="E365" s="168" t="s">
        <v>214</v>
      </c>
      <c r="F365" s="168" t="s">
        <v>214</v>
      </c>
      <c r="G365" s="168" t="s">
        <v>214</v>
      </c>
      <c r="H365" s="168" t="s">
        <v>214</v>
      </c>
      <c r="I365" s="168" t="s">
        <v>214</v>
      </c>
    </row>
    <row r="366" spans="1:9" x14ac:dyDescent="0.35">
      <c r="A366" s="16" t="s">
        <v>195</v>
      </c>
      <c r="B366" s="17" t="s">
        <v>214</v>
      </c>
      <c r="C366" s="168" t="s">
        <v>214</v>
      </c>
      <c r="D366" s="168" t="s">
        <v>214</v>
      </c>
      <c r="E366" s="168" t="s">
        <v>214</v>
      </c>
      <c r="F366" s="168" t="s">
        <v>214</v>
      </c>
      <c r="G366" s="168" t="s">
        <v>214</v>
      </c>
      <c r="H366" s="168" t="s">
        <v>214</v>
      </c>
      <c r="I366" s="168" t="s">
        <v>214</v>
      </c>
    </row>
    <row r="367" spans="1:9" x14ac:dyDescent="0.35">
      <c r="A367" s="14" t="s">
        <v>210</v>
      </c>
      <c r="B367" s="18" t="s">
        <v>214</v>
      </c>
      <c r="C367" s="18" t="s">
        <v>214</v>
      </c>
      <c r="D367" s="18" t="s">
        <v>214</v>
      </c>
      <c r="E367" s="18" t="s">
        <v>214</v>
      </c>
      <c r="F367" s="18" t="s">
        <v>214</v>
      </c>
      <c r="G367" s="18" t="s">
        <v>214</v>
      </c>
      <c r="H367" s="18" t="s">
        <v>214</v>
      </c>
      <c r="I367" s="18" t="s">
        <v>214</v>
      </c>
    </row>
    <row r="368" spans="1:9" x14ac:dyDescent="0.35">
      <c r="A368" s="14" t="s">
        <v>197</v>
      </c>
      <c r="B368" s="18" t="s">
        <v>214</v>
      </c>
      <c r="C368" s="18" t="s">
        <v>214</v>
      </c>
      <c r="D368" s="18" t="s">
        <v>214</v>
      </c>
      <c r="E368" s="18" t="s">
        <v>214</v>
      </c>
      <c r="F368" s="18" t="s">
        <v>214</v>
      </c>
      <c r="G368" s="18" t="s">
        <v>214</v>
      </c>
      <c r="H368" s="18" t="s">
        <v>214</v>
      </c>
      <c r="I368" s="18" t="s">
        <v>214</v>
      </c>
    </row>
    <row r="369" spans="1:9" x14ac:dyDescent="0.35">
      <c r="A369" s="14" t="s">
        <v>198</v>
      </c>
      <c r="B369" s="18" t="s">
        <v>214</v>
      </c>
      <c r="C369" s="18" t="s">
        <v>214</v>
      </c>
      <c r="D369" s="18" t="s">
        <v>214</v>
      </c>
      <c r="E369" s="18" t="s">
        <v>214</v>
      </c>
      <c r="F369" s="18" t="s">
        <v>214</v>
      </c>
      <c r="G369" s="18" t="s">
        <v>214</v>
      </c>
      <c r="H369" s="18" t="s">
        <v>214</v>
      </c>
      <c r="I369" s="18" t="s">
        <v>214</v>
      </c>
    </row>
    <row r="370" spans="1:9" x14ac:dyDescent="0.35">
      <c r="A370" s="14" t="s">
        <v>199</v>
      </c>
      <c r="B370" s="18" t="s">
        <v>214</v>
      </c>
      <c r="C370" s="18" t="s">
        <v>214</v>
      </c>
      <c r="D370" s="18" t="s">
        <v>214</v>
      </c>
      <c r="E370" s="18" t="s">
        <v>214</v>
      </c>
      <c r="F370" s="18" t="s">
        <v>214</v>
      </c>
      <c r="G370" s="18" t="s">
        <v>214</v>
      </c>
      <c r="H370" s="18" t="s">
        <v>214</v>
      </c>
      <c r="I370" s="18" t="s">
        <v>214</v>
      </c>
    </row>
    <row r="371" spans="1:9" x14ac:dyDescent="0.35">
      <c r="A371" s="14" t="s">
        <v>200</v>
      </c>
      <c r="B371" s="18" t="s">
        <v>214</v>
      </c>
      <c r="C371" s="18" t="s">
        <v>214</v>
      </c>
      <c r="D371" s="18" t="s">
        <v>214</v>
      </c>
      <c r="E371" s="18" t="s">
        <v>214</v>
      </c>
      <c r="F371" s="18" t="s">
        <v>214</v>
      </c>
      <c r="G371" s="18" t="s">
        <v>214</v>
      </c>
      <c r="H371" s="18" t="s">
        <v>214</v>
      </c>
      <c r="I371" s="18" t="s">
        <v>214</v>
      </c>
    </row>
    <row r="372" spans="1:9" x14ac:dyDescent="0.35">
      <c r="A372" s="14" t="s">
        <v>201</v>
      </c>
      <c r="B372" s="18" t="s">
        <v>214</v>
      </c>
      <c r="C372" s="18" t="s">
        <v>214</v>
      </c>
      <c r="D372" s="18" t="s">
        <v>214</v>
      </c>
      <c r="E372" s="18" t="s">
        <v>214</v>
      </c>
      <c r="F372" s="18" t="s">
        <v>214</v>
      </c>
      <c r="G372" s="18" t="s">
        <v>214</v>
      </c>
      <c r="H372" s="18" t="s">
        <v>214</v>
      </c>
      <c r="I372" s="18" t="s">
        <v>214</v>
      </c>
    </row>
    <row r="373" spans="1:9" x14ac:dyDescent="0.35">
      <c r="A373" s="14" t="s">
        <v>202</v>
      </c>
      <c r="B373" s="18" t="s">
        <v>214</v>
      </c>
      <c r="C373" s="18" t="s">
        <v>214</v>
      </c>
      <c r="D373" s="18" t="s">
        <v>214</v>
      </c>
      <c r="E373" s="18" t="s">
        <v>214</v>
      </c>
      <c r="F373" s="18" t="s">
        <v>214</v>
      </c>
      <c r="G373" s="18" t="s">
        <v>214</v>
      </c>
      <c r="H373" s="18" t="s">
        <v>214</v>
      </c>
      <c r="I373" s="18" t="s">
        <v>214</v>
      </c>
    </row>
    <row r="374" spans="1:9" x14ac:dyDescent="0.35">
      <c r="A374" s="14" t="s">
        <v>211</v>
      </c>
      <c r="B374" s="18" t="s">
        <v>214</v>
      </c>
      <c r="C374" s="18" t="s">
        <v>214</v>
      </c>
      <c r="D374" s="18" t="s">
        <v>214</v>
      </c>
      <c r="E374" s="18" t="s">
        <v>214</v>
      </c>
      <c r="F374" s="18" t="s">
        <v>214</v>
      </c>
      <c r="G374" s="18" t="s">
        <v>214</v>
      </c>
      <c r="H374" s="18" t="s">
        <v>214</v>
      </c>
      <c r="I374" s="18" t="s">
        <v>214</v>
      </c>
    </row>
    <row r="375" spans="1:9" x14ac:dyDescent="0.35">
      <c r="A375" s="14" t="s">
        <v>212</v>
      </c>
      <c r="B375" s="18" t="s">
        <v>214</v>
      </c>
      <c r="C375" s="18" t="s">
        <v>214</v>
      </c>
      <c r="D375" s="18" t="s">
        <v>214</v>
      </c>
      <c r="E375" s="18" t="s">
        <v>214</v>
      </c>
      <c r="F375" s="18" t="s">
        <v>214</v>
      </c>
      <c r="G375" s="18" t="s">
        <v>214</v>
      </c>
      <c r="H375" s="18" t="s">
        <v>214</v>
      </c>
      <c r="I375" s="18" t="s">
        <v>214</v>
      </c>
    </row>
    <row r="376" spans="1:9" x14ac:dyDescent="0.35">
      <c r="A376" s="14" t="s">
        <v>203</v>
      </c>
      <c r="B376" s="18" t="s">
        <v>214</v>
      </c>
      <c r="C376" s="18" t="s">
        <v>214</v>
      </c>
      <c r="D376" s="18" t="s">
        <v>214</v>
      </c>
      <c r="E376" s="18" t="s">
        <v>214</v>
      </c>
      <c r="F376" s="18" t="s">
        <v>214</v>
      </c>
      <c r="G376" s="18" t="s">
        <v>214</v>
      </c>
      <c r="H376" s="18" t="s">
        <v>214</v>
      </c>
      <c r="I376" s="18" t="s">
        <v>214</v>
      </c>
    </row>
    <row r="377" spans="1:9" x14ac:dyDescent="0.35">
      <c r="A377" s="14" t="s">
        <v>204</v>
      </c>
      <c r="B377" s="18" t="s">
        <v>214</v>
      </c>
      <c r="C377" s="18" t="s">
        <v>214</v>
      </c>
      <c r="D377" s="18" t="s">
        <v>214</v>
      </c>
      <c r="E377" s="18" t="s">
        <v>214</v>
      </c>
      <c r="F377" s="18" t="s">
        <v>214</v>
      </c>
      <c r="G377" s="18" t="s">
        <v>214</v>
      </c>
      <c r="H377" s="18" t="s">
        <v>214</v>
      </c>
      <c r="I377" s="18" t="s">
        <v>214</v>
      </c>
    </row>
    <row r="379" spans="1:9" x14ac:dyDescent="0.35">
      <c r="C379" s="187"/>
      <c r="D379" s="187"/>
      <c r="E379" s="187"/>
      <c r="F379" s="187"/>
      <c r="G379" s="170"/>
      <c r="H379" s="170"/>
      <c r="I379" s="170"/>
    </row>
    <row r="380" spans="1:9" ht="29" x14ac:dyDescent="0.35">
      <c r="A380" s="12" t="s">
        <v>518</v>
      </c>
      <c r="B380" s="13" t="s">
        <v>208</v>
      </c>
      <c r="C380" s="13" t="s">
        <v>458</v>
      </c>
      <c r="D380" s="13" t="s">
        <v>466</v>
      </c>
      <c r="E380" s="13" t="s">
        <v>467</v>
      </c>
      <c r="F380" s="13" t="s">
        <v>468</v>
      </c>
      <c r="G380" s="13" t="s">
        <v>636</v>
      </c>
      <c r="H380" s="13" t="s">
        <v>641</v>
      </c>
      <c r="I380" s="13" t="s">
        <v>647</v>
      </c>
    </row>
    <row r="381" spans="1:9" x14ac:dyDescent="0.35">
      <c r="A381" s="14" t="s">
        <v>209</v>
      </c>
      <c r="B381" s="15">
        <v>81</v>
      </c>
      <c r="C381" s="15">
        <v>0</v>
      </c>
      <c r="D381" s="15">
        <v>0</v>
      </c>
      <c r="E381" s="15">
        <v>41</v>
      </c>
      <c r="F381" s="15">
        <v>81</v>
      </c>
      <c r="G381" s="15">
        <v>130</v>
      </c>
      <c r="H381" s="15">
        <v>171</v>
      </c>
      <c r="I381" s="15">
        <v>176</v>
      </c>
    </row>
    <row r="382" spans="1:9" x14ac:dyDescent="0.35">
      <c r="A382" s="16" t="s">
        <v>336</v>
      </c>
      <c r="B382" s="17">
        <v>0.39800862442429169</v>
      </c>
      <c r="C382" s="168" t="s">
        <v>214</v>
      </c>
      <c r="D382" s="168" t="s">
        <v>214</v>
      </c>
      <c r="E382" s="155">
        <v>0.27356127826984022</v>
      </c>
      <c r="F382" s="17">
        <v>0.39800862442429158</v>
      </c>
      <c r="G382" s="17">
        <v>0.3716636366999958</v>
      </c>
      <c r="H382" s="17">
        <v>0.36132640211778261</v>
      </c>
      <c r="I382" s="17">
        <v>0.36889184263516639</v>
      </c>
    </row>
    <row r="383" spans="1:9" x14ac:dyDescent="0.35">
      <c r="A383" s="16" t="s">
        <v>194</v>
      </c>
      <c r="B383" s="17">
        <v>0.36249077697416288</v>
      </c>
      <c r="C383" s="168" t="s">
        <v>214</v>
      </c>
      <c r="D383" s="168" t="s">
        <v>214</v>
      </c>
      <c r="E383" s="149">
        <v>0.47067383600611867</v>
      </c>
      <c r="F383" s="17">
        <v>0.36249077697416282</v>
      </c>
      <c r="G383" s="17">
        <v>0.43376198432224528</v>
      </c>
      <c r="H383" s="17">
        <v>0.43103213021996561</v>
      </c>
      <c r="I383" s="17">
        <v>0.4289893386608527</v>
      </c>
    </row>
    <row r="384" spans="1:9" x14ac:dyDescent="0.35">
      <c r="A384" s="16" t="s">
        <v>195</v>
      </c>
      <c r="B384" s="17">
        <v>0.23950059860154549</v>
      </c>
      <c r="C384" s="168" t="s">
        <v>214</v>
      </c>
      <c r="D384" s="168" t="s">
        <v>214</v>
      </c>
      <c r="E384" s="17">
        <v>0.25576488572404121</v>
      </c>
      <c r="F384" s="17">
        <v>0.23950059860154549</v>
      </c>
      <c r="G384" s="17">
        <v>0.19457437897775931</v>
      </c>
      <c r="H384" s="17">
        <v>0.20764146766225211</v>
      </c>
      <c r="I384" s="17">
        <v>0.20211881870398091</v>
      </c>
    </row>
    <row r="385" spans="1:9" x14ac:dyDescent="0.35">
      <c r="A385" s="14" t="s">
        <v>210</v>
      </c>
      <c r="B385" s="18">
        <v>0.21728254882358969</v>
      </c>
      <c r="C385" s="18" t="s">
        <v>214</v>
      </c>
      <c r="D385" s="18" t="s">
        <v>214</v>
      </c>
      <c r="E385" s="18">
        <v>0.15989365705655451</v>
      </c>
      <c r="F385" s="18">
        <v>0.21728254882358961</v>
      </c>
      <c r="G385" s="18">
        <v>0.20209525835576081</v>
      </c>
      <c r="H385" s="18">
        <v>0.1878002944680465</v>
      </c>
      <c r="I385" s="18">
        <v>0.1946668076314074</v>
      </c>
    </row>
    <row r="386" spans="1:9" x14ac:dyDescent="0.35">
      <c r="A386" s="14" t="s">
        <v>197</v>
      </c>
      <c r="B386" s="18">
        <v>0.180726075600702</v>
      </c>
      <c r="C386" s="18" t="s">
        <v>214</v>
      </c>
      <c r="D386" s="18" t="s">
        <v>214</v>
      </c>
      <c r="E386" s="23">
        <v>0.11366762121328559</v>
      </c>
      <c r="F386" s="18">
        <v>0.180726075600702</v>
      </c>
      <c r="G386" s="18">
        <v>0.16956837834423499</v>
      </c>
      <c r="H386" s="18">
        <v>0.17352610764973611</v>
      </c>
      <c r="I386" s="18">
        <v>0.17422503500375891</v>
      </c>
    </row>
    <row r="387" spans="1:9" x14ac:dyDescent="0.35">
      <c r="A387" s="14" t="s">
        <v>198</v>
      </c>
      <c r="B387" s="18">
        <v>0.16429137558757551</v>
      </c>
      <c r="C387" s="18" t="s">
        <v>214</v>
      </c>
      <c r="D387" s="18" t="s">
        <v>214</v>
      </c>
      <c r="E387" s="18">
        <v>0.21928366864700691</v>
      </c>
      <c r="F387" s="18">
        <v>0.16429137558757551</v>
      </c>
      <c r="G387" s="18">
        <v>0.20978574492499</v>
      </c>
      <c r="H387" s="18">
        <v>0.2331767084327295</v>
      </c>
      <c r="I387" s="18">
        <v>0.23240590961457</v>
      </c>
    </row>
    <row r="388" spans="1:9" x14ac:dyDescent="0.35">
      <c r="A388" s="14" t="s">
        <v>199</v>
      </c>
      <c r="B388" s="18">
        <v>0.1981994013865874</v>
      </c>
      <c r="C388" s="18" t="s">
        <v>214</v>
      </c>
      <c r="D388" s="18" t="s">
        <v>214</v>
      </c>
      <c r="E388" s="18">
        <v>0.25139016735911179</v>
      </c>
      <c r="F388" s="18">
        <v>0.1981994013865874</v>
      </c>
      <c r="G388" s="18">
        <v>0.22397623939725531</v>
      </c>
      <c r="H388" s="18">
        <v>0.19785542178723611</v>
      </c>
      <c r="I388" s="18">
        <v>0.1965834290462827</v>
      </c>
    </row>
    <row r="389" spans="1:9" x14ac:dyDescent="0.35">
      <c r="A389" s="14" t="s">
        <v>200</v>
      </c>
      <c r="B389" s="18">
        <v>7.2192452860765477E-2</v>
      </c>
      <c r="C389" s="18" t="s">
        <v>214</v>
      </c>
      <c r="D389" s="18" t="s">
        <v>214</v>
      </c>
      <c r="E389" s="18">
        <v>7.3987962853060738E-2</v>
      </c>
      <c r="F389" s="18">
        <v>7.2192452860765477E-2</v>
      </c>
      <c r="G389" s="18">
        <v>6.5004636734306981E-2</v>
      </c>
      <c r="H389" s="18">
        <v>6.1620452932805922E-2</v>
      </c>
      <c r="I389" s="18">
        <v>5.9981531121912617E-2</v>
      </c>
    </row>
    <row r="390" spans="1:9" x14ac:dyDescent="0.35">
      <c r="A390" s="14" t="s">
        <v>201</v>
      </c>
      <c r="B390" s="18">
        <v>0.1080003190650721</v>
      </c>
      <c r="C390" s="18" t="s">
        <v>214</v>
      </c>
      <c r="D390" s="18" t="s">
        <v>214</v>
      </c>
      <c r="E390" s="18">
        <v>0.1316398320856994</v>
      </c>
      <c r="F390" s="18">
        <v>0.1080003190650721</v>
      </c>
      <c r="G390" s="18">
        <v>7.663510185909915E-2</v>
      </c>
      <c r="H390" s="18">
        <v>9.0659242689069011E-2</v>
      </c>
      <c r="I390" s="18">
        <v>8.8247974950349098E-2</v>
      </c>
    </row>
    <row r="391" spans="1:9" x14ac:dyDescent="0.35">
      <c r="A391" s="14" t="s">
        <v>202</v>
      </c>
      <c r="B391" s="18">
        <v>1.2178139029944499E-2</v>
      </c>
      <c r="C391" s="18" t="s">
        <v>214</v>
      </c>
      <c r="D391" s="18" t="s">
        <v>214</v>
      </c>
      <c r="E391" s="18">
        <v>2.3240850431694431E-2</v>
      </c>
      <c r="F391" s="18">
        <v>1.2178139029944499E-2</v>
      </c>
      <c r="G391" s="18">
        <v>2.2882661059838778E-2</v>
      </c>
      <c r="H391" s="18">
        <v>1.7484310466061921E-2</v>
      </c>
      <c r="I391" s="18">
        <v>1.7019279515989121E-2</v>
      </c>
    </row>
    <row r="392" spans="1:9" x14ac:dyDescent="0.35">
      <c r="A392" s="14" t="s">
        <v>211</v>
      </c>
      <c r="B392" s="18">
        <v>1.0931278975561679E-2</v>
      </c>
      <c r="C392" s="18" t="s">
        <v>214</v>
      </c>
      <c r="D392" s="18" t="s">
        <v>214</v>
      </c>
      <c r="E392" s="18">
        <v>0</v>
      </c>
      <c r="F392" s="18">
        <v>1.0931278975561679E-2</v>
      </c>
      <c r="G392" s="18">
        <v>6.9702683419674413E-3</v>
      </c>
      <c r="H392" s="18">
        <v>1.1801201802969719E-2</v>
      </c>
      <c r="I392" s="18">
        <v>1.1487324736036589E-2</v>
      </c>
    </row>
    <row r="393" spans="1:9" x14ac:dyDescent="0.35">
      <c r="A393" s="14" t="s">
        <v>212</v>
      </c>
      <c r="B393" s="18">
        <v>1.0931278975561679E-2</v>
      </c>
      <c r="C393" s="18" t="s">
        <v>214</v>
      </c>
      <c r="D393" s="18" t="s">
        <v>214</v>
      </c>
      <c r="E393" s="18">
        <v>0</v>
      </c>
      <c r="F393" s="18">
        <v>1.0931278975561679E-2</v>
      </c>
      <c r="G393" s="18">
        <v>6.9702683419674413E-3</v>
      </c>
      <c r="H393" s="18">
        <v>5.3258812602269973E-3</v>
      </c>
      <c r="I393" s="18">
        <v>5.1842285695346373E-3</v>
      </c>
    </row>
    <row r="394" spans="1:9" x14ac:dyDescent="0.35">
      <c r="A394" s="14" t="s">
        <v>203</v>
      </c>
      <c r="B394" s="18">
        <v>0</v>
      </c>
      <c r="C394" s="18" t="s">
        <v>214</v>
      </c>
      <c r="D394" s="18" t="s">
        <v>214</v>
      </c>
      <c r="E394" s="18">
        <v>0</v>
      </c>
      <c r="F394" s="18">
        <v>0</v>
      </c>
      <c r="G394" s="18">
        <v>0</v>
      </c>
      <c r="H394" s="18">
        <v>0</v>
      </c>
      <c r="I394" s="18">
        <v>0</v>
      </c>
    </row>
    <row r="395" spans="1:9" x14ac:dyDescent="0.35">
      <c r="A395" s="14" t="s">
        <v>204</v>
      </c>
      <c r="B395" s="18">
        <v>2.5267129694640039E-2</v>
      </c>
      <c r="C395" s="18" t="s">
        <v>214</v>
      </c>
      <c r="D395" s="18" t="s">
        <v>214</v>
      </c>
      <c r="E395" s="18">
        <v>2.689624035358653E-2</v>
      </c>
      <c r="F395" s="18">
        <v>2.5267129694640039E-2</v>
      </c>
      <c r="G395" s="18">
        <v>1.6111442640579531E-2</v>
      </c>
      <c r="H395" s="18">
        <v>2.0750378511118481E-2</v>
      </c>
      <c r="I395" s="18">
        <v>2.0198479810158779E-2</v>
      </c>
    </row>
    <row r="396" spans="1:9" x14ac:dyDescent="0.35">
      <c r="A396" s="14" t="s">
        <v>213</v>
      </c>
      <c r="B396" s="1">
        <v>15.850802582274619</v>
      </c>
      <c r="C396" s="1" t="s">
        <v>214</v>
      </c>
      <c r="D396" s="1" t="s">
        <v>214</v>
      </c>
      <c r="E396" s="1">
        <v>1.7796392545799</v>
      </c>
      <c r="F396" s="1">
        <v>15.850802582274611</v>
      </c>
      <c r="G396" s="1">
        <v>17.70892577222364</v>
      </c>
      <c r="H396" s="1">
        <v>15.36849344555305</v>
      </c>
      <c r="I396" s="1">
        <v>16.677302393118559</v>
      </c>
    </row>
    <row r="398" spans="1:9" x14ac:dyDescent="0.35">
      <c r="C398" s="187"/>
      <c r="D398" s="187"/>
      <c r="E398" s="187"/>
      <c r="F398" s="187"/>
      <c r="G398" s="170"/>
      <c r="H398" s="170"/>
      <c r="I398" s="170"/>
    </row>
    <row r="399" spans="1:9" ht="29" x14ac:dyDescent="0.35">
      <c r="A399" s="12" t="s">
        <v>521</v>
      </c>
      <c r="B399" s="13" t="s">
        <v>208</v>
      </c>
      <c r="C399" s="13" t="s">
        <v>458</v>
      </c>
      <c r="D399" s="13" t="s">
        <v>466</v>
      </c>
      <c r="E399" s="13" t="s">
        <v>467</v>
      </c>
      <c r="F399" s="13" t="s">
        <v>468</v>
      </c>
      <c r="G399" s="13" t="s">
        <v>636</v>
      </c>
      <c r="H399" s="13" t="s">
        <v>641</v>
      </c>
      <c r="I399" s="13" t="s">
        <v>647</v>
      </c>
    </row>
    <row r="400" spans="1:9" x14ac:dyDescent="0.35">
      <c r="A400" s="14" t="s">
        <v>209</v>
      </c>
      <c r="B400" s="15">
        <v>128</v>
      </c>
      <c r="C400" s="15">
        <v>0</v>
      </c>
      <c r="D400" s="15">
        <v>0</v>
      </c>
      <c r="E400" s="15">
        <v>58</v>
      </c>
      <c r="F400" s="15">
        <v>128</v>
      </c>
      <c r="G400" s="15">
        <v>189</v>
      </c>
      <c r="H400" s="15">
        <v>247</v>
      </c>
      <c r="I400" s="15">
        <v>250</v>
      </c>
    </row>
    <row r="401" spans="1:9" x14ac:dyDescent="0.35">
      <c r="A401" s="16" t="s">
        <v>336</v>
      </c>
      <c r="B401" s="17">
        <v>0.39409161472215259</v>
      </c>
      <c r="C401" s="168" t="s">
        <v>214</v>
      </c>
      <c r="D401" s="168" t="s">
        <v>214</v>
      </c>
      <c r="E401" s="17">
        <v>0.34679260054367628</v>
      </c>
      <c r="F401" s="17">
        <v>0.39409161472215259</v>
      </c>
      <c r="G401" s="17">
        <v>0.3750918528244932</v>
      </c>
      <c r="H401" s="17">
        <v>0.36282883506859881</v>
      </c>
      <c r="I401" s="17">
        <v>0.36568645291588159</v>
      </c>
    </row>
    <row r="402" spans="1:9" x14ac:dyDescent="0.35">
      <c r="A402" s="16" t="s">
        <v>194</v>
      </c>
      <c r="B402" s="17">
        <v>0.36914049546088762</v>
      </c>
      <c r="C402" s="168" t="s">
        <v>214</v>
      </c>
      <c r="D402" s="168" t="s">
        <v>214</v>
      </c>
      <c r="E402" s="17">
        <v>0.40735778477776319</v>
      </c>
      <c r="F402" s="17">
        <v>0.36914049546088751</v>
      </c>
      <c r="G402" s="17">
        <v>0.40872803456881251</v>
      </c>
      <c r="H402" s="17">
        <v>0.41844109529990398</v>
      </c>
      <c r="I402" s="17">
        <v>0.4185724074570219</v>
      </c>
    </row>
    <row r="403" spans="1:9" x14ac:dyDescent="0.35">
      <c r="A403" s="16" t="s">
        <v>195</v>
      </c>
      <c r="B403" s="17">
        <v>0.23676788981695979</v>
      </c>
      <c r="C403" s="168" t="s">
        <v>214</v>
      </c>
      <c r="D403" s="168" t="s">
        <v>214</v>
      </c>
      <c r="E403" s="17">
        <v>0.24584961467856059</v>
      </c>
      <c r="F403" s="17">
        <v>0.23676788981695979</v>
      </c>
      <c r="G403" s="17">
        <v>0.2161801126066944</v>
      </c>
      <c r="H403" s="17">
        <v>0.21873006963149719</v>
      </c>
      <c r="I403" s="17">
        <v>0.21574113962709651</v>
      </c>
    </row>
    <row r="404" spans="1:9" x14ac:dyDescent="0.35">
      <c r="A404" s="14" t="s">
        <v>210</v>
      </c>
      <c r="B404" s="18">
        <v>0.21995333116074231</v>
      </c>
      <c r="C404" s="18" t="s">
        <v>214</v>
      </c>
      <c r="D404" s="18" t="s">
        <v>214</v>
      </c>
      <c r="E404" s="18">
        <v>0.1976285905365536</v>
      </c>
      <c r="F404" s="18">
        <v>0.21995333116074231</v>
      </c>
      <c r="G404" s="18">
        <v>0.2060887656684105</v>
      </c>
      <c r="H404" s="18">
        <v>0.19447388819006481</v>
      </c>
      <c r="I404" s="18">
        <v>0.19576845929943271</v>
      </c>
    </row>
    <row r="405" spans="1:9" x14ac:dyDescent="0.35">
      <c r="A405" s="14" t="s">
        <v>197</v>
      </c>
      <c r="B405" s="18">
        <v>0.1741382835614104</v>
      </c>
      <c r="C405" s="18" t="s">
        <v>214</v>
      </c>
      <c r="D405" s="18" t="s">
        <v>214</v>
      </c>
      <c r="E405" s="18">
        <v>0.1491640100071227</v>
      </c>
      <c r="F405" s="18">
        <v>0.1741382835614104</v>
      </c>
      <c r="G405" s="18">
        <v>0.1690030871560827</v>
      </c>
      <c r="H405" s="18">
        <v>0.16835494687853411</v>
      </c>
      <c r="I405" s="18">
        <v>0.16991799361644891</v>
      </c>
    </row>
    <row r="406" spans="1:9" x14ac:dyDescent="0.35">
      <c r="A406" s="14" t="s">
        <v>198</v>
      </c>
      <c r="B406" s="18">
        <v>0.2447042546391163</v>
      </c>
      <c r="C406" s="18" t="s">
        <v>214</v>
      </c>
      <c r="D406" s="18" t="s">
        <v>214</v>
      </c>
      <c r="E406" s="18">
        <v>0.27536965568173349</v>
      </c>
      <c r="F406" s="18">
        <v>0.24470425463911619</v>
      </c>
      <c r="G406" s="18">
        <v>0.25758863493705658</v>
      </c>
      <c r="H406" s="18">
        <v>0.26567522722658249</v>
      </c>
      <c r="I406" s="18">
        <v>0.26789407351881928</v>
      </c>
    </row>
    <row r="407" spans="1:9" x14ac:dyDescent="0.35">
      <c r="A407" s="14" t="s">
        <v>199</v>
      </c>
      <c r="B407" s="18">
        <v>0.12443624082177129</v>
      </c>
      <c r="C407" s="18" t="s">
        <v>214</v>
      </c>
      <c r="D407" s="18" t="s">
        <v>214</v>
      </c>
      <c r="E407" s="18">
        <v>0.13198812909602969</v>
      </c>
      <c r="F407" s="18">
        <v>0.12443624082177129</v>
      </c>
      <c r="G407" s="18">
        <v>0.15113939963175591</v>
      </c>
      <c r="H407" s="18">
        <v>0.15276586807332149</v>
      </c>
      <c r="I407" s="18">
        <v>0.15067833393820271</v>
      </c>
    </row>
    <row r="408" spans="1:9" x14ac:dyDescent="0.35">
      <c r="A408" s="14" t="s">
        <v>200</v>
      </c>
      <c r="B408" s="18">
        <v>0.110155509914002</v>
      </c>
      <c r="C408" s="18" t="s">
        <v>214</v>
      </c>
      <c r="D408" s="18" t="s">
        <v>214</v>
      </c>
      <c r="E408" s="18">
        <v>7.1632030470232477E-2</v>
      </c>
      <c r="F408" s="18">
        <v>0.110155509914002</v>
      </c>
      <c r="G408" s="18">
        <v>0.1074010044104763</v>
      </c>
      <c r="H408" s="18">
        <v>0.1013612430831084</v>
      </c>
      <c r="I408" s="18">
        <v>9.9976149294929831E-2</v>
      </c>
    </row>
    <row r="409" spans="1:9" x14ac:dyDescent="0.35">
      <c r="A409" s="14" t="s">
        <v>201</v>
      </c>
      <c r="B409" s="18">
        <v>7.4795986382552374E-2</v>
      </c>
      <c r="C409" s="18" t="s">
        <v>214</v>
      </c>
      <c r="D409" s="18" t="s">
        <v>214</v>
      </c>
      <c r="E409" s="18">
        <v>9.504773507156089E-2</v>
      </c>
      <c r="F409" s="18">
        <v>7.4795986382552374E-2</v>
      </c>
      <c r="G409" s="18">
        <v>5.6473072596690217E-2</v>
      </c>
      <c r="H409" s="18">
        <v>6.6357109342872284E-2</v>
      </c>
      <c r="I409" s="18">
        <v>6.5450344418166884E-2</v>
      </c>
    </row>
    <row r="410" spans="1:9" x14ac:dyDescent="0.35">
      <c r="A410" s="14" t="s">
        <v>202</v>
      </c>
      <c r="B410" s="18">
        <v>1.9627993283867651E-2</v>
      </c>
      <c r="C410" s="18" t="s">
        <v>214</v>
      </c>
      <c r="D410" s="18" t="s">
        <v>214</v>
      </c>
      <c r="E410" s="20">
        <v>4.3841404636481472E-2</v>
      </c>
      <c r="F410" s="18">
        <v>1.9627993283867651E-2</v>
      </c>
      <c r="G410" s="18">
        <v>2.4669437723606691E-2</v>
      </c>
      <c r="H410" s="18">
        <v>2.539711554286838E-2</v>
      </c>
      <c r="I410" s="18">
        <v>2.5050065862871469E-2</v>
      </c>
    </row>
    <row r="411" spans="1:9" x14ac:dyDescent="0.35">
      <c r="A411" s="14" t="s">
        <v>211</v>
      </c>
      <c r="B411" s="18">
        <v>6.3257973872526902E-3</v>
      </c>
      <c r="C411" s="18" t="s">
        <v>214</v>
      </c>
      <c r="D411" s="18" t="s">
        <v>214</v>
      </c>
      <c r="E411" s="18">
        <v>1.41294038005853E-2</v>
      </c>
      <c r="F411" s="18">
        <v>6.3257973872526902E-3</v>
      </c>
      <c r="G411" s="18">
        <v>9.9418703166077836E-3</v>
      </c>
      <c r="H411" s="18">
        <v>1.218918368634167E-2</v>
      </c>
      <c r="I411" s="18">
        <v>1.202261940503075E-2</v>
      </c>
    </row>
    <row r="412" spans="1:9" x14ac:dyDescent="0.35">
      <c r="A412" s="14" t="s">
        <v>212</v>
      </c>
      <c r="B412" s="18">
        <v>0</v>
      </c>
      <c r="C412" s="18" t="s">
        <v>214</v>
      </c>
      <c r="D412" s="18" t="s">
        <v>214</v>
      </c>
      <c r="E412" s="18">
        <v>0</v>
      </c>
      <c r="F412" s="18">
        <v>0</v>
      </c>
      <c r="G412" s="18">
        <v>0</v>
      </c>
      <c r="H412" s="18">
        <v>0</v>
      </c>
      <c r="I412" s="18">
        <v>0</v>
      </c>
    </row>
    <row r="413" spans="1:9" x14ac:dyDescent="0.35">
      <c r="A413" s="14" t="s">
        <v>203</v>
      </c>
      <c r="B413" s="18">
        <v>0</v>
      </c>
      <c r="C413" s="18" t="s">
        <v>214</v>
      </c>
      <c r="D413" s="18" t="s">
        <v>214</v>
      </c>
      <c r="E413" s="18">
        <v>0</v>
      </c>
      <c r="F413" s="18">
        <v>0</v>
      </c>
      <c r="G413" s="18">
        <v>0</v>
      </c>
      <c r="H413" s="18">
        <v>0</v>
      </c>
      <c r="I413" s="18">
        <v>0</v>
      </c>
    </row>
    <row r="414" spans="1:9" x14ac:dyDescent="0.35">
      <c r="A414" s="14" t="s">
        <v>204</v>
      </c>
      <c r="B414" s="18">
        <v>2.586260284928505E-2</v>
      </c>
      <c r="C414" s="18" t="s">
        <v>214</v>
      </c>
      <c r="D414" s="18" t="s">
        <v>214</v>
      </c>
      <c r="E414" s="18">
        <v>2.1199040699700501E-2</v>
      </c>
      <c r="F414" s="18">
        <v>2.586260284928505E-2</v>
      </c>
      <c r="G414" s="25">
        <v>1.769472755931336E-2</v>
      </c>
      <c r="H414" s="18">
        <v>1.342541797630643E-2</v>
      </c>
      <c r="I414" s="18">
        <v>1.324196064609752E-2</v>
      </c>
    </row>
    <row r="415" spans="1:9" x14ac:dyDescent="0.35">
      <c r="A415" s="14" t="s">
        <v>213</v>
      </c>
      <c r="B415" s="1">
        <v>15.732372490519291</v>
      </c>
      <c r="C415" s="1" t="s">
        <v>214</v>
      </c>
      <c r="D415" s="1" t="s">
        <v>214</v>
      </c>
      <c r="E415" s="1">
        <v>10.09429858651156</v>
      </c>
      <c r="F415" s="1">
        <v>15.73237249051928</v>
      </c>
      <c r="G415" s="1">
        <v>15.89117402177988</v>
      </c>
      <c r="H415" s="1">
        <v>14.409876543710171</v>
      </c>
      <c r="I415" s="1">
        <v>14.99453132887851</v>
      </c>
    </row>
    <row r="417" spans="1:9" x14ac:dyDescent="0.35">
      <c r="C417" s="187"/>
      <c r="D417" s="187"/>
      <c r="E417" s="187"/>
      <c r="F417" s="187"/>
      <c r="G417" s="170"/>
      <c r="H417" s="170"/>
      <c r="I417" s="170"/>
    </row>
    <row r="418" spans="1:9" ht="29" x14ac:dyDescent="0.35">
      <c r="A418" s="12" t="s">
        <v>522</v>
      </c>
      <c r="B418" s="13" t="s">
        <v>208</v>
      </c>
      <c r="C418" s="13" t="s">
        <v>458</v>
      </c>
      <c r="D418" s="13" t="s">
        <v>466</v>
      </c>
      <c r="E418" s="13" t="s">
        <v>467</v>
      </c>
      <c r="F418" s="13" t="s">
        <v>468</v>
      </c>
      <c r="G418" s="13" t="s">
        <v>636</v>
      </c>
      <c r="H418" s="13" t="s">
        <v>641</v>
      </c>
      <c r="I418" s="13" t="s">
        <v>647</v>
      </c>
    </row>
    <row r="419" spans="1:9" x14ac:dyDescent="0.35">
      <c r="A419" s="14" t="s">
        <v>209</v>
      </c>
      <c r="B419" s="15">
        <v>180</v>
      </c>
      <c r="C419" s="15">
        <v>0</v>
      </c>
      <c r="D419" s="15">
        <v>0</v>
      </c>
      <c r="E419" s="15">
        <v>89</v>
      </c>
      <c r="F419" s="15">
        <v>180</v>
      </c>
      <c r="G419" s="15">
        <v>277</v>
      </c>
      <c r="H419" s="15">
        <v>390</v>
      </c>
      <c r="I419" s="15">
        <v>412</v>
      </c>
    </row>
    <row r="420" spans="1:9" x14ac:dyDescent="0.35">
      <c r="A420" s="16" t="s">
        <v>336</v>
      </c>
      <c r="B420" s="17">
        <v>0.40434239270913541</v>
      </c>
      <c r="C420" s="168" t="s">
        <v>214</v>
      </c>
      <c r="D420" s="168" t="s">
        <v>214</v>
      </c>
      <c r="E420" s="17">
        <v>0.36373684729483913</v>
      </c>
      <c r="F420" s="17">
        <v>0.40434239270913541</v>
      </c>
      <c r="G420" s="17">
        <v>0.39396255729772439</v>
      </c>
      <c r="H420" s="17">
        <v>0.40865611499491772</v>
      </c>
      <c r="I420" s="17">
        <v>0.41447196492943611</v>
      </c>
    </row>
    <row r="421" spans="1:9" x14ac:dyDescent="0.35">
      <c r="A421" s="16" t="s">
        <v>194</v>
      </c>
      <c r="B421" s="17">
        <v>0.40932625839639519</v>
      </c>
      <c r="C421" s="168" t="s">
        <v>214</v>
      </c>
      <c r="D421" s="168" t="s">
        <v>214</v>
      </c>
      <c r="E421" s="17">
        <v>0.44740700707828329</v>
      </c>
      <c r="F421" s="17">
        <v>0.4093262583963953</v>
      </c>
      <c r="G421" s="17">
        <v>0.41600629638457087</v>
      </c>
      <c r="H421" s="17">
        <v>0.41927141410113788</v>
      </c>
      <c r="I421" s="17">
        <v>0.42220048471944488</v>
      </c>
    </row>
    <row r="422" spans="1:9" x14ac:dyDescent="0.35">
      <c r="A422" s="16" t="s">
        <v>195</v>
      </c>
      <c r="B422" s="17">
        <v>0.18633134889446931</v>
      </c>
      <c r="C422" s="168" t="s">
        <v>214</v>
      </c>
      <c r="D422" s="168" t="s">
        <v>214</v>
      </c>
      <c r="E422" s="17">
        <v>0.1888561456268778</v>
      </c>
      <c r="F422" s="17">
        <v>0.1863313488944694</v>
      </c>
      <c r="G422" s="17">
        <v>0.19003114631770451</v>
      </c>
      <c r="H422" s="17">
        <v>0.17207247090394409</v>
      </c>
      <c r="I422" s="17">
        <v>0.16332755035111879</v>
      </c>
    </row>
    <row r="423" spans="1:9" x14ac:dyDescent="0.35">
      <c r="A423" s="14" t="s">
        <v>210</v>
      </c>
      <c r="B423" s="18">
        <v>0.21542482935651361</v>
      </c>
      <c r="C423" s="18" t="s">
        <v>214</v>
      </c>
      <c r="D423" s="18" t="s">
        <v>214</v>
      </c>
      <c r="E423" s="18">
        <v>0.18706953432328891</v>
      </c>
      <c r="F423" s="18">
        <v>0.21542482935651369</v>
      </c>
      <c r="G423" s="18">
        <v>0.2016898803734638</v>
      </c>
      <c r="H423" s="18">
        <v>0.19988121070256121</v>
      </c>
      <c r="I423" s="18">
        <v>0.19893713991251999</v>
      </c>
    </row>
    <row r="424" spans="1:9" x14ac:dyDescent="0.35">
      <c r="A424" s="14" t="s">
        <v>197</v>
      </c>
      <c r="B424" s="18">
        <v>0.18891756335262169</v>
      </c>
      <c r="C424" s="18" t="s">
        <v>214</v>
      </c>
      <c r="D424" s="18" t="s">
        <v>214</v>
      </c>
      <c r="E424" s="18">
        <v>0.17666731297155011</v>
      </c>
      <c r="F424" s="18">
        <v>0.18891756335262169</v>
      </c>
      <c r="G424" s="18">
        <v>0.19227267692426059</v>
      </c>
      <c r="H424" s="18">
        <v>0.20877490429235659</v>
      </c>
      <c r="I424" s="18">
        <v>0.21553482501691609</v>
      </c>
    </row>
    <row r="425" spans="1:9" x14ac:dyDescent="0.35">
      <c r="A425" s="14" t="s">
        <v>198</v>
      </c>
      <c r="B425" s="18">
        <v>0.24626305806727181</v>
      </c>
      <c r="C425" s="18" t="s">
        <v>214</v>
      </c>
      <c r="D425" s="18" t="s">
        <v>214</v>
      </c>
      <c r="E425" s="20">
        <v>0.30532612969543221</v>
      </c>
      <c r="F425" s="18">
        <v>0.24626305806727181</v>
      </c>
      <c r="G425" s="18">
        <v>0.23179732515977669</v>
      </c>
      <c r="H425" s="18">
        <v>0.23989215725981719</v>
      </c>
      <c r="I425" s="18">
        <v>0.24948038541260989</v>
      </c>
    </row>
    <row r="426" spans="1:9" x14ac:dyDescent="0.35">
      <c r="A426" s="14" t="s">
        <v>199</v>
      </c>
      <c r="B426" s="18">
        <v>0.16306320032912339</v>
      </c>
      <c r="C426" s="18" t="s">
        <v>214</v>
      </c>
      <c r="D426" s="18" t="s">
        <v>214</v>
      </c>
      <c r="E426" s="18">
        <v>0.14208087738285111</v>
      </c>
      <c r="F426" s="18">
        <v>0.1630632003291235</v>
      </c>
      <c r="G426" s="18">
        <v>0.18420897122479421</v>
      </c>
      <c r="H426" s="18">
        <v>0.17937925684132069</v>
      </c>
      <c r="I426" s="18">
        <v>0.17272009930683499</v>
      </c>
    </row>
    <row r="427" spans="1:9" x14ac:dyDescent="0.35">
      <c r="A427" s="14" t="s">
        <v>200</v>
      </c>
      <c r="B427" s="18">
        <v>5.5128593093049662E-2</v>
      </c>
      <c r="C427" s="18" t="s">
        <v>214</v>
      </c>
      <c r="D427" s="18" t="s">
        <v>214</v>
      </c>
      <c r="E427" s="18">
        <v>6.197654018807186E-2</v>
      </c>
      <c r="F427" s="18">
        <v>5.5128593093049669E-2</v>
      </c>
      <c r="G427" s="18">
        <v>7.035827473173395E-2</v>
      </c>
      <c r="H427" s="18">
        <v>7.2001499428012636E-2</v>
      </c>
      <c r="I427" s="18">
        <v>6.8342300551663904E-2</v>
      </c>
    </row>
    <row r="428" spans="1:9" x14ac:dyDescent="0.35">
      <c r="A428" s="14" t="s">
        <v>201</v>
      </c>
      <c r="B428" s="18">
        <v>7.0030338993491009E-2</v>
      </c>
      <c r="C428" s="18" t="s">
        <v>214</v>
      </c>
      <c r="D428" s="18" t="s">
        <v>214</v>
      </c>
      <c r="E428" s="18">
        <v>4.9701466577232643E-2</v>
      </c>
      <c r="F428" s="18">
        <v>7.0030338993491037E-2</v>
      </c>
      <c r="G428" s="18">
        <v>6.3094890270608148E-2</v>
      </c>
      <c r="H428" s="18">
        <v>5.2723563180073992E-2</v>
      </c>
      <c r="I428" s="18">
        <v>5.0044091159654247E-2</v>
      </c>
    </row>
    <row r="429" spans="1:9" x14ac:dyDescent="0.35">
      <c r="A429" s="14" t="s">
        <v>202</v>
      </c>
      <c r="B429" s="18">
        <v>1.9711609469306349E-2</v>
      </c>
      <c r="C429" s="18" t="s">
        <v>214</v>
      </c>
      <c r="D429" s="18" t="s">
        <v>214</v>
      </c>
      <c r="E429" s="18">
        <v>1.856308278223627E-2</v>
      </c>
      <c r="F429" s="25">
        <v>1.9711609469306359E-2</v>
      </c>
      <c r="G429" s="18">
        <v>1.9183916669259671E-2</v>
      </c>
      <c r="H429" s="18">
        <v>1.3373151957850349E-2</v>
      </c>
      <c r="I429" s="18">
        <v>1.2693513019687229E-2</v>
      </c>
    </row>
    <row r="430" spans="1:9" x14ac:dyDescent="0.35">
      <c r="A430" s="14" t="s">
        <v>211</v>
      </c>
      <c r="B430" s="18">
        <v>2.204068241732203E-2</v>
      </c>
      <c r="C430" s="18" t="s">
        <v>214</v>
      </c>
      <c r="D430" s="18" t="s">
        <v>214</v>
      </c>
      <c r="E430" s="18">
        <v>3.211734094948606E-2</v>
      </c>
      <c r="F430" s="25">
        <v>2.204068241732204E-2</v>
      </c>
      <c r="G430" s="18">
        <v>1.4799294477082789E-2</v>
      </c>
      <c r="H430" s="25">
        <v>1.5311398071993439E-2</v>
      </c>
      <c r="I430" s="18">
        <v>1.453325524072667E-2</v>
      </c>
    </row>
    <row r="431" spans="1:9" x14ac:dyDescent="0.35">
      <c r="A431" s="14" t="s">
        <v>212</v>
      </c>
      <c r="B431" s="18">
        <v>0</v>
      </c>
      <c r="C431" s="18" t="s">
        <v>214</v>
      </c>
      <c r="D431" s="18" t="s">
        <v>214</v>
      </c>
      <c r="E431" s="18">
        <v>0</v>
      </c>
      <c r="F431" s="18">
        <v>0</v>
      </c>
      <c r="G431" s="18">
        <v>6.7505431935407601E-3</v>
      </c>
      <c r="H431" s="18">
        <v>7.6178115922401106E-3</v>
      </c>
      <c r="I431" s="18">
        <v>7.2306656600025334E-3</v>
      </c>
    </row>
    <row r="432" spans="1:9" x14ac:dyDescent="0.35">
      <c r="A432" s="14" t="s">
        <v>203</v>
      </c>
      <c r="B432" s="18">
        <v>0</v>
      </c>
      <c r="C432" s="18" t="s">
        <v>214</v>
      </c>
      <c r="D432" s="18" t="s">
        <v>214</v>
      </c>
      <c r="E432" s="18">
        <v>0</v>
      </c>
      <c r="F432" s="18">
        <v>0</v>
      </c>
      <c r="G432" s="18">
        <v>0</v>
      </c>
      <c r="H432" s="18">
        <v>0</v>
      </c>
      <c r="I432" s="18">
        <v>0</v>
      </c>
    </row>
    <row r="433" spans="1:9" x14ac:dyDescent="0.35">
      <c r="A433" s="14" t="s">
        <v>204</v>
      </c>
      <c r="B433" s="18">
        <v>1.942012492130029E-2</v>
      </c>
      <c r="C433" s="18" t="s">
        <v>214</v>
      </c>
      <c r="D433" s="18" t="s">
        <v>214</v>
      </c>
      <c r="E433" s="18">
        <v>2.6497715129850941E-2</v>
      </c>
      <c r="F433" s="18">
        <v>1.94201249213003E-2</v>
      </c>
      <c r="G433" s="18">
        <v>1.58442269754792E-2</v>
      </c>
      <c r="H433" s="18">
        <v>1.1045046673773529E-2</v>
      </c>
      <c r="I433" s="18">
        <v>1.0483724719384239E-2</v>
      </c>
    </row>
    <row r="434" spans="1:9" x14ac:dyDescent="0.35">
      <c r="A434" s="14" t="s">
        <v>213</v>
      </c>
      <c r="B434" s="1">
        <v>21.801104381466601</v>
      </c>
      <c r="C434" s="1" t="s">
        <v>214</v>
      </c>
      <c r="D434" s="1" t="s">
        <v>214</v>
      </c>
      <c r="E434" s="1">
        <v>17.488070166796131</v>
      </c>
      <c r="F434" s="1">
        <v>21.801104381466601</v>
      </c>
      <c r="G434" s="1">
        <v>20.393141098002001</v>
      </c>
      <c r="H434" s="1">
        <v>23.658364409097381</v>
      </c>
      <c r="I434" s="1">
        <v>25.114441457831742</v>
      </c>
    </row>
    <row r="436" spans="1:9" x14ac:dyDescent="0.35">
      <c r="C436" s="187"/>
      <c r="D436" s="187"/>
      <c r="E436" s="187"/>
      <c r="F436" s="187"/>
      <c r="G436" s="170"/>
      <c r="H436" s="170"/>
      <c r="I436" s="170"/>
    </row>
    <row r="437" spans="1:9" ht="29" x14ac:dyDescent="0.35">
      <c r="A437" s="12" t="s">
        <v>523</v>
      </c>
      <c r="B437" s="13" t="s">
        <v>208</v>
      </c>
      <c r="C437" s="13" t="s">
        <v>458</v>
      </c>
      <c r="D437" s="13" t="s">
        <v>466</v>
      </c>
      <c r="E437" s="13" t="s">
        <v>467</v>
      </c>
      <c r="F437" s="13" t="s">
        <v>468</v>
      </c>
      <c r="G437" s="13" t="s">
        <v>636</v>
      </c>
      <c r="H437" s="13" t="s">
        <v>641</v>
      </c>
      <c r="I437" s="13" t="s">
        <v>647</v>
      </c>
    </row>
    <row r="438" spans="1:9" x14ac:dyDescent="0.35">
      <c r="A438" s="14" t="s">
        <v>209</v>
      </c>
      <c r="B438" s="15">
        <v>126</v>
      </c>
      <c r="C438" s="15">
        <v>0</v>
      </c>
      <c r="D438" s="15">
        <v>0</v>
      </c>
      <c r="E438" s="15">
        <v>67</v>
      </c>
      <c r="F438" s="15">
        <v>126</v>
      </c>
      <c r="G438" s="15">
        <v>192</v>
      </c>
      <c r="H438" s="15">
        <v>256</v>
      </c>
      <c r="I438" s="15">
        <v>264</v>
      </c>
    </row>
    <row r="439" spans="1:9" x14ac:dyDescent="0.35">
      <c r="A439" s="16" t="s">
        <v>336</v>
      </c>
      <c r="B439" s="17">
        <v>0.26548935257957701</v>
      </c>
      <c r="C439" s="168" t="s">
        <v>214</v>
      </c>
      <c r="D439" s="168" t="s">
        <v>214</v>
      </c>
      <c r="E439" s="17">
        <v>0.2429543473010089</v>
      </c>
      <c r="F439" s="17">
        <v>0.26548935257957701</v>
      </c>
      <c r="G439" s="17">
        <v>0.30269302150809391</v>
      </c>
      <c r="H439" s="17">
        <v>0.35205332390477362</v>
      </c>
      <c r="I439" s="17">
        <v>0.35881145900524958</v>
      </c>
    </row>
    <row r="440" spans="1:9" x14ac:dyDescent="0.35">
      <c r="A440" s="16" t="s">
        <v>194</v>
      </c>
      <c r="B440" s="17">
        <v>0.47737095334184432</v>
      </c>
      <c r="C440" s="168" t="s">
        <v>214</v>
      </c>
      <c r="D440" s="168" t="s">
        <v>214</v>
      </c>
      <c r="E440" s="17">
        <v>0.49328949397412719</v>
      </c>
      <c r="F440" s="17">
        <v>0.47737095334184432</v>
      </c>
      <c r="G440" s="17">
        <v>0.45970331112549778</v>
      </c>
      <c r="H440" s="17">
        <v>0.41587046826449042</v>
      </c>
      <c r="I440" s="17">
        <v>0.41027416685293933</v>
      </c>
    </row>
    <row r="441" spans="1:9" x14ac:dyDescent="0.35">
      <c r="A441" s="16" t="s">
        <v>195</v>
      </c>
      <c r="B441" s="17">
        <v>0.25713969407857867</v>
      </c>
      <c r="C441" s="168" t="s">
        <v>214</v>
      </c>
      <c r="D441" s="168" t="s">
        <v>214</v>
      </c>
      <c r="E441" s="17">
        <v>0.26375615872486369</v>
      </c>
      <c r="F441" s="17">
        <v>0.25713969407857878</v>
      </c>
      <c r="G441" s="17">
        <v>0.2376036673664082</v>
      </c>
      <c r="H441" s="17">
        <v>0.23207620783073579</v>
      </c>
      <c r="I441" s="17">
        <v>0.2309143741418109</v>
      </c>
    </row>
    <row r="442" spans="1:9" x14ac:dyDescent="0.35">
      <c r="A442" s="14" t="s">
        <v>210</v>
      </c>
      <c r="B442" s="18">
        <v>0.138916513168477</v>
      </c>
      <c r="C442" s="18" t="s">
        <v>214</v>
      </c>
      <c r="D442" s="18" t="s">
        <v>214</v>
      </c>
      <c r="E442" s="18">
        <v>0.11659245476339029</v>
      </c>
      <c r="F442" s="18">
        <v>0.13891651316847689</v>
      </c>
      <c r="G442" s="25">
        <v>0.14193092473729449</v>
      </c>
      <c r="H442" s="18">
        <v>0.17572427743885241</v>
      </c>
      <c r="I442" s="18">
        <v>0.17716038705876261</v>
      </c>
    </row>
    <row r="443" spans="1:9" x14ac:dyDescent="0.35">
      <c r="A443" s="14" t="s">
        <v>197</v>
      </c>
      <c r="B443" s="18">
        <v>0.12657283941110001</v>
      </c>
      <c r="C443" s="18" t="s">
        <v>214</v>
      </c>
      <c r="D443" s="18" t="s">
        <v>214</v>
      </c>
      <c r="E443" s="18">
        <v>0.12636189253761851</v>
      </c>
      <c r="F443" s="18">
        <v>0.12657283941110001</v>
      </c>
      <c r="G443" s="18">
        <v>0.16076209677079939</v>
      </c>
      <c r="H443" s="18">
        <v>0.17632904646592129</v>
      </c>
      <c r="I443" s="18">
        <v>0.18165107194648711</v>
      </c>
    </row>
    <row r="444" spans="1:9" x14ac:dyDescent="0.35">
      <c r="A444" s="14" t="s">
        <v>198</v>
      </c>
      <c r="B444" s="18">
        <v>0.34058416143699038</v>
      </c>
      <c r="C444" s="18" t="s">
        <v>214</v>
      </c>
      <c r="D444" s="18" t="s">
        <v>214</v>
      </c>
      <c r="E444" s="18">
        <v>0.36986094062420521</v>
      </c>
      <c r="F444" s="18">
        <v>0.34058416143699038</v>
      </c>
      <c r="G444" s="18">
        <v>0.32382573874100401</v>
      </c>
      <c r="H444" s="18">
        <v>0.28957297762474399</v>
      </c>
      <c r="I444" s="18">
        <v>0.28487566425261079</v>
      </c>
    </row>
    <row r="445" spans="1:9" x14ac:dyDescent="0.35">
      <c r="A445" s="14" t="s">
        <v>199</v>
      </c>
      <c r="B445" s="18">
        <v>0.1367867919048539</v>
      </c>
      <c r="C445" s="18" t="s">
        <v>214</v>
      </c>
      <c r="D445" s="18" t="s">
        <v>214</v>
      </c>
      <c r="E445" s="18">
        <v>0.1234285533499221</v>
      </c>
      <c r="F445" s="18">
        <v>0.13678679190485379</v>
      </c>
      <c r="G445" s="18">
        <v>0.13587757238449391</v>
      </c>
      <c r="H445" s="18">
        <v>0.12629749063974641</v>
      </c>
      <c r="I445" s="18">
        <v>0.12539850260032839</v>
      </c>
    </row>
    <row r="446" spans="1:9" x14ac:dyDescent="0.35">
      <c r="A446" s="14" t="s">
        <v>200</v>
      </c>
      <c r="B446" s="18">
        <v>0.1204902514136572</v>
      </c>
      <c r="C446" s="18" t="s">
        <v>214</v>
      </c>
      <c r="D446" s="18" t="s">
        <v>214</v>
      </c>
      <c r="E446" s="18">
        <v>0.13684688973614451</v>
      </c>
      <c r="F446" s="18">
        <v>0.1204902514136572</v>
      </c>
      <c r="G446" s="18">
        <v>9.8437930244950553E-2</v>
      </c>
      <c r="H446" s="18">
        <v>9.6212762814022815E-2</v>
      </c>
      <c r="I446" s="18">
        <v>9.3438295196543855E-2</v>
      </c>
    </row>
    <row r="447" spans="1:9" x14ac:dyDescent="0.35">
      <c r="A447" s="14" t="s">
        <v>201</v>
      </c>
      <c r="B447" s="18">
        <v>5.8607405408660128E-2</v>
      </c>
      <c r="C447" s="18" t="s">
        <v>214</v>
      </c>
      <c r="D447" s="18" t="s">
        <v>214</v>
      </c>
      <c r="E447" s="18">
        <v>5.3720360462593007E-2</v>
      </c>
      <c r="F447" s="18">
        <v>5.8607405408660128E-2</v>
      </c>
      <c r="G447" s="18">
        <v>6.322695762005473E-2</v>
      </c>
      <c r="H447" s="18">
        <v>5.4884566170647429E-2</v>
      </c>
      <c r="I447" s="18">
        <v>5.3301871244464012E-2</v>
      </c>
    </row>
    <row r="448" spans="1:9" x14ac:dyDescent="0.35">
      <c r="A448" s="14" t="s">
        <v>202</v>
      </c>
      <c r="B448" s="18">
        <v>5.2347877873384442E-2</v>
      </c>
      <c r="C448" s="18" t="s">
        <v>214</v>
      </c>
      <c r="D448" s="18" t="s">
        <v>214</v>
      </c>
      <c r="E448" s="18">
        <v>4.1545859860639717E-2</v>
      </c>
      <c r="F448" s="18">
        <v>5.2347877873384442E-2</v>
      </c>
      <c r="G448" s="18">
        <v>4.1576270180462983E-2</v>
      </c>
      <c r="H448" s="18">
        <v>3.5518688107683188E-2</v>
      </c>
      <c r="I448" s="18">
        <v>4.0024943116073033E-2</v>
      </c>
    </row>
    <row r="449" spans="1:9" x14ac:dyDescent="0.35">
      <c r="A449" s="14" t="s">
        <v>211</v>
      </c>
      <c r="B449" s="18">
        <v>0</v>
      </c>
      <c r="C449" s="18" t="s">
        <v>214</v>
      </c>
      <c r="D449" s="18" t="s">
        <v>214</v>
      </c>
      <c r="E449" s="18">
        <v>0</v>
      </c>
      <c r="F449" s="18">
        <v>0</v>
      </c>
      <c r="G449" s="18">
        <v>9.0192091829337205E-3</v>
      </c>
      <c r="H449" s="18">
        <v>1.581688492627693E-2</v>
      </c>
      <c r="I449" s="18">
        <v>1.536077667458717E-2</v>
      </c>
    </row>
    <row r="450" spans="1:9" x14ac:dyDescent="0.35">
      <c r="A450" s="14" t="s">
        <v>212</v>
      </c>
      <c r="B450" s="18">
        <v>7.3710596542200966E-3</v>
      </c>
      <c r="C450" s="18" t="s">
        <v>214</v>
      </c>
      <c r="D450" s="18" t="s">
        <v>214</v>
      </c>
      <c r="E450" s="18">
        <v>1.3838840212357361E-2</v>
      </c>
      <c r="F450" s="18">
        <v>7.3710596542200966E-3</v>
      </c>
      <c r="G450" s="18">
        <v>8.8251968432027858E-3</v>
      </c>
      <c r="H450" s="18">
        <v>1.121010206323232E-2</v>
      </c>
      <c r="I450" s="18">
        <v>1.0886838659777289E-2</v>
      </c>
    </row>
    <row r="451" spans="1:9" x14ac:dyDescent="0.35">
      <c r="A451" s="14" t="s">
        <v>203</v>
      </c>
      <c r="B451" s="18">
        <v>0</v>
      </c>
      <c r="C451" s="18" t="s">
        <v>214</v>
      </c>
      <c r="D451" s="18" t="s">
        <v>214</v>
      </c>
      <c r="E451" s="18">
        <v>0</v>
      </c>
      <c r="F451" s="18">
        <v>0</v>
      </c>
      <c r="G451" s="18">
        <v>4.3134288974760512E-3</v>
      </c>
      <c r="H451" s="18">
        <v>3.230725773968319E-3</v>
      </c>
      <c r="I451" s="18">
        <v>3.1375620004868731E-3</v>
      </c>
    </row>
    <row r="452" spans="1:9" x14ac:dyDescent="0.35">
      <c r="A452" s="14" t="s">
        <v>204</v>
      </c>
      <c r="B452" s="18">
        <v>1.832309972865688E-2</v>
      </c>
      <c r="C452" s="18" t="s">
        <v>214</v>
      </c>
      <c r="D452" s="18" t="s">
        <v>214</v>
      </c>
      <c r="E452" s="18">
        <v>1.7804208453129119E-2</v>
      </c>
      <c r="F452" s="18">
        <v>1.832309972865688E-2</v>
      </c>
      <c r="G452" s="18">
        <v>1.2204674397327409E-2</v>
      </c>
      <c r="H452" s="18">
        <v>1.5202477974904861E-2</v>
      </c>
      <c r="I452" s="18">
        <v>1.4764087249878689E-2</v>
      </c>
    </row>
    <row r="453" spans="1:9" x14ac:dyDescent="0.35">
      <c r="A453" s="14" t="s">
        <v>213</v>
      </c>
      <c r="B453" s="1">
        <v>0.83496585009982238</v>
      </c>
      <c r="C453" s="1" t="s">
        <v>214</v>
      </c>
      <c r="D453" s="1" t="s">
        <v>214</v>
      </c>
      <c r="E453" s="1">
        <v>-2.0801811423854848</v>
      </c>
      <c r="F453" s="1">
        <v>0.83496585009981672</v>
      </c>
      <c r="G453" s="1">
        <v>6.50893541416856</v>
      </c>
      <c r="H453" s="1">
        <v>11.99771160740378</v>
      </c>
      <c r="I453" s="1">
        <v>12.78970848634388</v>
      </c>
    </row>
    <row r="455" spans="1:9" x14ac:dyDescent="0.35">
      <c r="A455" s="1" t="s">
        <v>215</v>
      </c>
    </row>
    <row r="457" spans="1:9" x14ac:dyDescent="0.35">
      <c r="B457" s="3" t="s">
        <v>216</v>
      </c>
    </row>
    <row r="458" spans="1:9" x14ac:dyDescent="0.35">
      <c r="B458" s="1" t="s">
        <v>217</v>
      </c>
    </row>
  </sheetData>
  <mergeCells count="24">
    <mergeCell ref="C436:F436"/>
    <mergeCell ref="C229:F229"/>
    <mergeCell ref="C248:F248"/>
    <mergeCell ref="C267:F267"/>
    <mergeCell ref="C286:F286"/>
    <mergeCell ref="C305:F305"/>
    <mergeCell ref="C324:F324"/>
    <mergeCell ref="C343:F343"/>
    <mergeCell ref="C361:F361"/>
    <mergeCell ref="C379:F379"/>
    <mergeCell ref="C398:F398"/>
    <mergeCell ref="C417:F417"/>
    <mergeCell ref="C211:F211"/>
    <mergeCell ref="C4:F4"/>
    <mergeCell ref="C23:F23"/>
    <mergeCell ref="C42:F42"/>
    <mergeCell ref="C61:F61"/>
    <mergeCell ref="C80:F80"/>
    <mergeCell ref="C98:F98"/>
    <mergeCell ref="C117:F117"/>
    <mergeCell ref="C136:F136"/>
    <mergeCell ref="C155:F155"/>
    <mergeCell ref="C174:F174"/>
    <mergeCell ref="C192:F19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34BF-86FD-4C17-932B-F44896674B1B}">
  <sheetPr codeName="Sheet31">
    <tabColor theme="5" tint="0.59999389629810485"/>
  </sheetPr>
  <dimension ref="B1:C60"/>
  <sheetViews>
    <sheetView zoomScale="90" zoomScaleNormal="90" workbookViewId="0">
      <pane xSplit="2" ySplit="2" topLeftCell="C3" activePane="bottomRight" state="frozen"/>
      <selection activeCell="C6" sqref="C6"/>
      <selection pane="topRight" activeCell="C6" sqref="C6"/>
      <selection pane="bottomLeft" activeCell="C6" sqref="C6"/>
      <selection pane="bottomRight" activeCell="C6" sqref="C6"/>
    </sheetView>
  </sheetViews>
  <sheetFormatPr defaultColWidth="9.453125" defaultRowHeight="14.5" x14ac:dyDescent="0.35"/>
  <cols>
    <col min="1" max="1" width="1.54296875" style="31" customWidth="1"/>
    <col min="2" max="2" width="55.54296875" style="8" customWidth="1"/>
    <col min="3" max="3" width="16.453125" style="31" customWidth="1"/>
    <col min="4" max="16384" width="9.453125" style="31"/>
  </cols>
  <sheetData>
    <row r="1" spans="2:3" ht="6.75" customHeight="1" thickBot="1" x14ac:dyDescent="0.4">
      <c r="B1" s="30"/>
    </row>
    <row r="2" spans="2:3" ht="41.25" customHeight="1" thickBot="1" x14ac:dyDescent="0.4">
      <c r="B2" s="55" t="s">
        <v>556</v>
      </c>
      <c r="C2" s="54" t="s">
        <v>469</v>
      </c>
    </row>
    <row r="3" spans="2:3" s="2" customFormat="1" ht="15" thickBot="1" x14ac:dyDescent="0.4">
      <c r="B3" s="29"/>
      <c r="C3" s="53"/>
    </row>
    <row r="4" spans="2:3" x14ac:dyDescent="0.35">
      <c r="B4" s="96" t="s">
        <v>139</v>
      </c>
      <c r="C4" s="98"/>
    </row>
    <row r="5" spans="2:3" x14ac:dyDescent="0.35">
      <c r="B5" s="163" t="s">
        <v>31</v>
      </c>
      <c r="C5" s="164"/>
    </row>
    <row r="6" spans="2:3" s="48" customFormat="1" x14ac:dyDescent="0.35">
      <c r="B6" s="49" t="s">
        <v>140</v>
      </c>
      <c r="C6" s="51" t="e">
        <f>'Turkey (month)'!#REF!</f>
        <v>#REF!</v>
      </c>
    </row>
    <row r="7" spans="2:3" s="48" customFormat="1" x14ac:dyDescent="0.35">
      <c r="B7" s="49" t="s">
        <v>141</v>
      </c>
      <c r="C7" s="51" t="e">
        <f t="shared" ref="C7" si="0">C49</f>
        <v>#REF!</v>
      </c>
    </row>
    <row r="8" spans="2:3" x14ac:dyDescent="0.35">
      <c r="B8" s="28" t="s">
        <v>142</v>
      </c>
      <c r="C8" s="43" t="e">
        <f>'Turkey (month)'!#REF!</f>
        <v>#REF!</v>
      </c>
    </row>
    <row r="9" spans="2:3" x14ac:dyDescent="0.35">
      <c r="B9" s="28" t="s">
        <v>143</v>
      </c>
      <c r="C9" s="43" t="e">
        <f>'Turkey (month)'!#REF!</f>
        <v>#REF!</v>
      </c>
    </row>
    <row r="10" spans="2:3" x14ac:dyDescent="0.35">
      <c r="B10" s="28" t="s">
        <v>144</v>
      </c>
      <c r="C10" s="43" t="e">
        <f>'Turkey (month)'!#REF!</f>
        <v>#REF!</v>
      </c>
    </row>
    <row r="11" spans="2:3" x14ac:dyDescent="0.35">
      <c r="B11" s="29"/>
      <c r="C11" s="53"/>
    </row>
    <row r="12" spans="2:3" x14ac:dyDescent="0.35">
      <c r="B12" s="90" t="s">
        <v>145</v>
      </c>
      <c r="C12" s="92"/>
    </row>
    <row r="13" spans="2:3" x14ac:dyDescent="0.35">
      <c r="B13" s="86" t="s">
        <v>73</v>
      </c>
      <c r="C13" s="88"/>
    </row>
    <row r="14" spans="2:3" x14ac:dyDescent="0.35">
      <c r="B14" s="28" t="s">
        <v>414</v>
      </c>
      <c r="C14" s="51" t="e">
        <f>'Turkey (month)'!#REF!</f>
        <v>#REF!</v>
      </c>
    </row>
    <row r="15" spans="2:3" x14ac:dyDescent="0.35">
      <c r="B15" s="28" t="s">
        <v>415</v>
      </c>
      <c r="C15" s="51" t="e">
        <f t="shared" ref="C15" si="1">C50</f>
        <v>#REF!</v>
      </c>
    </row>
    <row r="16" spans="2:3" x14ac:dyDescent="0.35">
      <c r="B16" s="28" t="s">
        <v>416</v>
      </c>
      <c r="C16" s="43" t="e">
        <f>'Turkey (month)'!#REF!</f>
        <v>#REF!</v>
      </c>
    </row>
    <row r="17" spans="2:3" x14ac:dyDescent="0.35">
      <c r="B17" s="28" t="s">
        <v>417</v>
      </c>
      <c r="C17" s="43" t="e">
        <f>'Turkey (month)'!#REF!</f>
        <v>#REF!</v>
      </c>
    </row>
    <row r="18" spans="2:3" x14ac:dyDescent="0.35">
      <c r="B18" s="28" t="s">
        <v>418</v>
      </c>
      <c r="C18" s="43" t="e">
        <f>'Turkey (month)'!#REF!</f>
        <v>#REF!</v>
      </c>
    </row>
    <row r="19" spans="2:3" x14ac:dyDescent="0.35">
      <c r="B19" s="27"/>
      <c r="C19" s="103"/>
    </row>
    <row r="20" spans="2:3" x14ac:dyDescent="0.35">
      <c r="B20" s="86" t="s">
        <v>74</v>
      </c>
      <c r="C20" s="88"/>
    </row>
    <row r="21" spans="2:3" x14ac:dyDescent="0.35">
      <c r="B21" s="28" t="s">
        <v>419</v>
      </c>
      <c r="C21" s="51" t="e">
        <f>'Turkey (month)'!#REF!</f>
        <v>#REF!</v>
      </c>
    </row>
    <row r="22" spans="2:3" x14ac:dyDescent="0.35">
      <c r="B22" s="28" t="s">
        <v>420</v>
      </c>
      <c r="C22" s="51" t="e">
        <f t="shared" ref="C22" si="2">C51</f>
        <v>#REF!</v>
      </c>
    </row>
    <row r="23" spans="2:3" x14ac:dyDescent="0.35">
      <c r="B23" s="28" t="s">
        <v>421</v>
      </c>
      <c r="C23" s="43" t="e">
        <f>'Turkey (month)'!#REF!</f>
        <v>#REF!</v>
      </c>
    </row>
    <row r="24" spans="2:3" x14ac:dyDescent="0.35">
      <c r="B24" s="28" t="s">
        <v>422</v>
      </c>
      <c r="C24" s="43" t="e">
        <f>'Turkey (month)'!#REF!</f>
        <v>#REF!</v>
      </c>
    </row>
    <row r="25" spans="2:3" x14ac:dyDescent="0.35">
      <c r="B25" s="28" t="s">
        <v>423</v>
      </c>
      <c r="C25" s="43" t="e">
        <f>'Turkey (month)'!#REF!</f>
        <v>#REF!</v>
      </c>
    </row>
    <row r="26" spans="2:3" x14ac:dyDescent="0.35">
      <c r="B26" s="27"/>
      <c r="C26" s="103"/>
    </row>
    <row r="27" spans="2:3" x14ac:dyDescent="0.35">
      <c r="B27" s="86" t="s">
        <v>75</v>
      </c>
      <c r="C27" s="88"/>
    </row>
    <row r="28" spans="2:3" x14ac:dyDescent="0.35">
      <c r="B28" s="28" t="s">
        <v>424</v>
      </c>
      <c r="C28" s="51" t="e">
        <f>'Turkey (month)'!#REF!</f>
        <v>#REF!</v>
      </c>
    </row>
    <row r="29" spans="2:3" x14ac:dyDescent="0.35">
      <c r="B29" s="28" t="s">
        <v>425</v>
      </c>
      <c r="C29" s="51" t="e">
        <f>'Turkey (quarter)'!C52</f>
        <v>#REF!</v>
      </c>
    </row>
    <row r="30" spans="2:3" x14ac:dyDescent="0.35">
      <c r="B30" s="28" t="s">
        <v>426</v>
      </c>
      <c r="C30" s="43" t="e">
        <f>'Turkey (month)'!#REF!</f>
        <v>#REF!</v>
      </c>
    </row>
    <row r="31" spans="2:3" x14ac:dyDescent="0.35">
      <c r="B31" s="28" t="s">
        <v>427</v>
      </c>
      <c r="C31" s="43" t="e">
        <f>'Turkey (month)'!#REF!</f>
        <v>#REF!</v>
      </c>
    </row>
    <row r="32" spans="2:3" x14ac:dyDescent="0.35">
      <c r="B32" s="28" t="s">
        <v>428</v>
      </c>
      <c r="C32" s="43" t="e">
        <f>'Turkey (month)'!#REF!</f>
        <v>#REF!</v>
      </c>
    </row>
    <row r="33" spans="2:3" x14ac:dyDescent="0.35">
      <c r="B33" s="27"/>
      <c r="C33" s="103"/>
    </row>
    <row r="34" spans="2:3" x14ac:dyDescent="0.35">
      <c r="B34" s="86" t="s">
        <v>76</v>
      </c>
      <c r="C34" s="88"/>
    </row>
    <row r="35" spans="2:3" x14ac:dyDescent="0.35">
      <c r="B35" s="28" t="s">
        <v>429</v>
      </c>
      <c r="C35" s="51" t="e">
        <f>'Turkey (month)'!#REF!</f>
        <v>#REF!</v>
      </c>
    </row>
    <row r="36" spans="2:3" x14ac:dyDescent="0.35">
      <c r="B36" s="28" t="s">
        <v>430</v>
      </c>
      <c r="C36" s="51" t="e">
        <f t="shared" ref="C36" si="3">C53</f>
        <v>#REF!</v>
      </c>
    </row>
    <row r="37" spans="2:3" x14ac:dyDescent="0.35">
      <c r="B37" s="28" t="s">
        <v>431</v>
      </c>
      <c r="C37" s="43" t="e">
        <f>'Turkey (month)'!#REF!</f>
        <v>#REF!</v>
      </c>
    </row>
    <row r="38" spans="2:3" x14ac:dyDescent="0.35">
      <c r="B38" s="28" t="s">
        <v>432</v>
      </c>
      <c r="C38" s="43" t="e">
        <f>'Turkey (month)'!#REF!</f>
        <v>#REF!</v>
      </c>
    </row>
    <row r="39" spans="2:3" x14ac:dyDescent="0.35">
      <c r="B39" s="28" t="s">
        <v>433</v>
      </c>
      <c r="C39" s="43" t="e">
        <f>'Turkey (month)'!#REF!</f>
        <v>#REF!</v>
      </c>
    </row>
    <row r="40" spans="2:3" x14ac:dyDescent="0.35">
      <c r="B40" s="27"/>
      <c r="C40" s="103"/>
    </row>
    <row r="41" spans="2:3" x14ac:dyDescent="0.35">
      <c r="B41" s="93" t="s">
        <v>167</v>
      </c>
      <c r="C41" s="95"/>
    </row>
    <row r="42" spans="2:3" x14ac:dyDescent="0.35">
      <c r="B42" s="28" t="s">
        <v>25</v>
      </c>
      <c r="C42" s="51" t="e">
        <f t="shared" ref="C42" si="4">C6</f>
        <v>#REF!</v>
      </c>
    </row>
    <row r="43" spans="2:3" x14ac:dyDescent="0.35">
      <c r="B43" s="28" t="s">
        <v>73</v>
      </c>
      <c r="C43" s="51" t="e">
        <f t="shared" ref="C43" si="5">C14</f>
        <v>#REF!</v>
      </c>
    </row>
    <row r="44" spans="2:3" x14ac:dyDescent="0.35">
      <c r="B44" s="28" t="s">
        <v>74</v>
      </c>
      <c r="C44" s="51" t="e">
        <f t="shared" ref="C44" si="6">C21</f>
        <v>#REF!</v>
      </c>
    </row>
    <row r="45" spans="2:3" x14ac:dyDescent="0.35">
      <c r="B45" s="28" t="s">
        <v>75</v>
      </c>
      <c r="C45" s="51" t="e">
        <f t="shared" ref="C45" si="7">C28</f>
        <v>#REF!</v>
      </c>
    </row>
    <row r="46" spans="2:3" x14ac:dyDescent="0.35">
      <c r="B46" s="28" t="s">
        <v>76</v>
      </c>
      <c r="C46" s="51" t="e">
        <f t="shared" ref="C46" si="8">C35</f>
        <v>#REF!</v>
      </c>
    </row>
    <row r="47" spans="2:3" x14ac:dyDescent="0.35">
      <c r="B47" s="58"/>
      <c r="C47" s="103"/>
    </row>
    <row r="48" spans="2:3" x14ac:dyDescent="0.35">
      <c r="B48" s="93" t="s">
        <v>168</v>
      </c>
      <c r="C48" s="95"/>
    </row>
    <row r="49" spans="2:3" x14ac:dyDescent="0.35">
      <c r="B49" s="28" t="s">
        <v>25</v>
      </c>
      <c r="C49" s="51" t="e">
        <f t="shared" ref="C49" si="9">RANK(C42,C$42:C$46,0)</f>
        <v>#REF!</v>
      </c>
    </row>
    <row r="50" spans="2:3" x14ac:dyDescent="0.35">
      <c r="B50" s="28" t="s">
        <v>73</v>
      </c>
      <c r="C50" s="51" t="e">
        <f t="shared" ref="C50" si="10">RANK(C43,C$42:C$46,0)</f>
        <v>#REF!</v>
      </c>
    </row>
    <row r="51" spans="2:3" x14ac:dyDescent="0.35">
      <c r="B51" s="28" t="s">
        <v>74</v>
      </c>
      <c r="C51" s="51" t="e">
        <f t="shared" ref="C51" si="11">RANK(C44,C$42:C$46,0)</f>
        <v>#REF!</v>
      </c>
    </row>
    <row r="52" spans="2:3" x14ac:dyDescent="0.35">
      <c r="B52" s="28" t="s">
        <v>75</v>
      </c>
      <c r="C52" s="51" t="e">
        <f t="shared" ref="C52" si="12">RANK(C45,C$42:C$46,0)</f>
        <v>#REF!</v>
      </c>
    </row>
    <row r="53" spans="2:3" x14ac:dyDescent="0.35">
      <c r="B53" s="28" t="s">
        <v>76</v>
      </c>
      <c r="C53" s="51" t="e">
        <f t="shared" ref="C53" si="13">RANK(C46,C$42:C$46,0)</f>
        <v>#REF!</v>
      </c>
    </row>
    <row r="54" spans="2:3" x14ac:dyDescent="0.35">
      <c r="B54" s="58"/>
      <c r="C54" s="103"/>
    </row>
    <row r="55" spans="2:3" x14ac:dyDescent="0.35">
      <c r="B55" s="93" t="s">
        <v>169</v>
      </c>
      <c r="C55" s="95"/>
    </row>
    <row r="56" spans="2:3" x14ac:dyDescent="0.35">
      <c r="B56" s="28" t="s">
        <v>25</v>
      </c>
      <c r="C56" s="51" t="e">
        <f>'Turkey (month)'!#REF!</f>
        <v>#REF!</v>
      </c>
    </row>
    <row r="57" spans="2:3" x14ac:dyDescent="0.35">
      <c r="B57" s="28" t="s">
        <v>73</v>
      </c>
      <c r="C57" s="51" t="e">
        <f>'Turkey (month)'!#REF!</f>
        <v>#REF!</v>
      </c>
    </row>
    <row r="58" spans="2:3" x14ac:dyDescent="0.35">
      <c r="B58" s="28" t="s">
        <v>74</v>
      </c>
      <c r="C58" s="51" t="e">
        <f>'Turkey (month)'!#REF!</f>
        <v>#REF!</v>
      </c>
    </row>
    <row r="59" spans="2:3" x14ac:dyDescent="0.35">
      <c r="B59" s="28" t="s">
        <v>75</v>
      </c>
      <c r="C59" s="51" t="e">
        <f>'Turkey (month)'!#REF!</f>
        <v>#REF!</v>
      </c>
    </row>
    <row r="60" spans="2:3" x14ac:dyDescent="0.35">
      <c r="B60" s="28" t="s">
        <v>76</v>
      </c>
      <c r="C60" s="51" t="e">
        <f>'Turkey (month)'!#REF!</f>
        <v>#REF!</v>
      </c>
    </row>
  </sheetData>
  <phoneticPr fontId="5"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2F11-543E-4E7B-A48D-72D08CD0214A}">
  <sheetPr codeName="Sheet32">
    <tabColor theme="8" tint="0.59999389629810485"/>
  </sheetPr>
  <dimension ref="B1:E291"/>
  <sheetViews>
    <sheetView zoomScaleNormal="100" workbookViewId="0">
      <pane xSplit="2" ySplit="2" topLeftCell="C3" activePane="bottomRight" state="frozen"/>
      <selection activeCell="B1" sqref="B1"/>
      <selection pane="topRight" activeCell="B1" sqref="B1"/>
      <selection pane="bottomLeft" activeCell="B1" sqref="B1"/>
      <selection pane="bottomRight"/>
    </sheetView>
  </sheetViews>
  <sheetFormatPr defaultColWidth="9.453125" defaultRowHeight="14.5" x14ac:dyDescent="0.35"/>
  <cols>
    <col min="1" max="1" width="1.54296875" style="31" customWidth="1"/>
    <col min="2" max="2" width="76.81640625" style="8" customWidth="1"/>
    <col min="3" max="5" width="18.1796875" style="80" customWidth="1"/>
    <col min="6" max="16384" width="9.453125" style="31"/>
  </cols>
  <sheetData>
    <row r="1" spans="2:5" ht="6.75" customHeight="1" thickBot="1" x14ac:dyDescent="0.4">
      <c r="B1" s="30"/>
    </row>
    <row r="2" spans="2:5" ht="41.25" customHeight="1" x14ac:dyDescent="0.35">
      <c r="B2" s="79" t="s">
        <v>556</v>
      </c>
      <c r="C2" s="75" t="s">
        <v>635</v>
      </c>
      <c r="D2" s="75" t="s">
        <v>642</v>
      </c>
      <c r="E2" s="38" t="s">
        <v>648</v>
      </c>
    </row>
    <row r="3" spans="2:5" s="2" customFormat="1" x14ac:dyDescent="0.35">
      <c r="B3" s="29"/>
      <c r="C3" s="53"/>
      <c r="D3" s="53"/>
      <c r="E3" s="53"/>
    </row>
    <row r="4" spans="2:5" ht="15" thickBot="1" x14ac:dyDescent="0.4">
      <c r="B4" s="135" t="s">
        <v>193</v>
      </c>
      <c r="C4" s="136"/>
      <c r="D4" s="136"/>
      <c r="E4" s="136"/>
    </row>
    <row r="5" spans="2:5" x14ac:dyDescent="0.35">
      <c r="B5" s="101" t="s">
        <v>31</v>
      </c>
      <c r="C5" s="81" t="s">
        <v>22</v>
      </c>
      <c r="D5" s="81" t="s">
        <v>22</v>
      </c>
      <c r="E5" s="81" t="s">
        <v>22</v>
      </c>
    </row>
    <row r="6" spans="2:5" x14ac:dyDescent="0.35">
      <c r="B6" s="163"/>
      <c r="C6" s="40">
        <f>'Turkey Crunch Output'!G21</f>
        <v>66.340513647908764</v>
      </c>
      <c r="D6" s="40">
        <f>'Turkey Crunch Output'!H21</f>
        <v>64.652451184295032</v>
      </c>
      <c r="E6" s="40">
        <f>'Turkey Crunch Output'!I21</f>
        <v>63.565842724951878</v>
      </c>
    </row>
    <row r="7" spans="2:5" x14ac:dyDescent="0.35">
      <c r="B7" s="41" t="s">
        <v>336</v>
      </c>
      <c r="C7" s="42">
        <f>'Turkey Crunch Output'!G7</f>
        <v>0.74052452268444779</v>
      </c>
      <c r="D7" s="42">
        <f>'Turkey Crunch Output'!H7</f>
        <v>0.7232740182886549</v>
      </c>
      <c r="E7" s="42">
        <f>'Turkey Crunch Output'!I7</f>
        <v>0.72644116277122239</v>
      </c>
    </row>
    <row r="8" spans="2:5" x14ac:dyDescent="0.35">
      <c r="B8" s="41" t="s">
        <v>194</v>
      </c>
      <c r="C8" s="42">
        <f>'Turkey Crunch Output'!G8</f>
        <v>0.18235609111019241</v>
      </c>
      <c r="D8" s="42">
        <f>'Turkey Crunch Output'!H8</f>
        <v>0.19997647526564091</v>
      </c>
      <c r="E8" s="42">
        <f>'Turkey Crunch Output'!I8</f>
        <v>0.18277610170707401</v>
      </c>
    </row>
    <row r="9" spans="2:5" x14ac:dyDescent="0.35">
      <c r="B9" s="41" t="s">
        <v>195</v>
      </c>
      <c r="C9" s="42">
        <f>'Turkey Crunch Output'!G9</f>
        <v>7.7119386205360019E-2</v>
      </c>
      <c r="D9" s="42">
        <f>'Turkey Crunch Output'!H9</f>
        <v>7.6749506445704399E-2</v>
      </c>
      <c r="E9" s="42">
        <f>'Turkey Crunch Output'!I9</f>
        <v>9.078273552170367E-2</v>
      </c>
    </row>
    <row r="10" spans="2:5" x14ac:dyDescent="0.35">
      <c r="B10" s="28" t="s">
        <v>196</v>
      </c>
      <c r="C10" s="43">
        <f>'Turkey Crunch Output'!G10</f>
        <v>0.47895658538261421</v>
      </c>
      <c r="D10" s="43">
        <f>'Turkey Crunch Output'!H10</f>
        <v>0.48965942488304359</v>
      </c>
      <c r="E10" s="43">
        <f>'Turkey Crunch Output'!I10</f>
        <v>0.48413030346364738</v>
      </c>
    </row>
    <row r="11" spans="2:5" x14ac:dyDescent="0.35">
      <c r="B11" s="28" t="s">
        <v>197</v>
      </c>
      <c r="C11" s="43">
        <f>'Turkey Crunch Output'!G11</f>
        <v>0.26156793730183359</v>
      </c>
      <c r="D11" s="43">
        <f>'Turkey Crunch Output'!H11</f>
        <v>0.23361459340561119</v>
      </c>
      <c r="E11" s="43">
        <f>'Turkey Crunch Output'!I11</f>
        <v>0.2423108593075749</v>
      </c>
    </row>
    <row r="12" spans="2:5" x14ac:dyDescent="0.35">
      <c r="B12" s="28" t="s">
        <v>198</v>
      </c>
      <c r="C12" s="43">
        <f>'Turkey Crunch Output'!G12</f>
        <v>0.1389109350254995</v>
      </c>
      <c r="D12" s="43">
        <f>'Turkey Crunch Output'!H12</f>
        <v>0.16294098612375171</v>
      </c>
      <c r="E12" s="43">
        <f>'Turkey Crunch Output'!I12</f>
        <v>0.13959932943683989</v>
      </c>
    </row>
    <row r="13" spans="2:5" x14ac:dyDescent="0.35">
      <c r="B13" s="28" t="s">
        <v>199</v>
      </c>
      <c r="C13" s="43">
        <f>'Turkey Crunch Output'!G13</f>
        <v>4.3445156084692953E-2</v>
      </c>
      <c r="D13" s="43">
        <f>'Turkey Crunch Output'!H13</f>
        <v>3.7035489141889109E-2</v>
      </c>
      <c r="E13" s="43">
        <f>'Turkey Crunch Output'!I13</f>
        <v>4.3176772270234018E-2</v>
      </c>
    </row>
    <row r="14" spans="2:5" s="34" customFormat="1" x14ac:dyDescent="0.35">
      <c r="B14" s="28" t="s">
        <v>200</v>
      </c>
      <c r="C14" s="43">
        <f>'Turkey Crunch Output'!G14</f>
        <v>2.605840092356804E-2</v>
      </c>
      <c r="D14" s="43">
        <f>'Turkey Crunch Output'!H14</f>
        <v>2.7429577364260681E-2</v>
      </c>
      <c r="E14" s="43">
        <f>'Turkey Crunch Output'!I14</f>
        <v>3.2711714556236317E-2</v>
      </c>
    </row>
    <row r="15" spans="2:5" s="35" customFormat="1" x14ac:dyDescent="0.3">
      <c r="B15" s="44" t="s">
        <v>201</v>
      </c>
      <c r="C15" s="43">
        <f>'Turkey Crunch Output'!G15</f>
        <v>4.418931772324889E-2</v>
      </c>
      <c r="D15" s="43">
        <f>'Turkey Crunch Output'!H15</f>
        <v>3.7669861135646521E-2</v>
      </c>
      <c r="E15" s="43">
        <f>'Turkey Crunch Output'!I15</f>
        <v>4.6893930080804842E-2</v>
      </c>
    </row>
    <row r="16" spans="2:5" s="36" customFormat="1" x14ac:dyDescent="0.3">
      <c r="B16" s="44" t="s">
        <v>202</v>
      </c>
      <c r="C16" s="43">
        <f>'Turkey Crunch Output'!G16</f>
        <v>0</v>
      </c>
      <c r="D16" s="43">
        <f>'Turkey Crunch Output'!H16</f>
        <v>0</v>
      </c>
      <c r="E16" s="43">
        <f>'Turkey Crunch Output'!I16</f>
        <v>0</v>
      </c>
    </row>
    <row r="17" spans="2:5" s="36" customFormat="1" x14ac:dyDescent="0.3">
      <c r="B17" s="44">
        <v>3</v>
      </c>
      <c r="C17" s="43">
        <f>'Turkey Crunch Output'!G17</f>
        <v>0</v>
      </c>
      <c r="D17" s="43">
        <f>'Turkey Crunch Output'!H17</f>
        <v>0</v>
      </c>
      <c r="E17" s="43">
        <f>'Turkey Crunch Output'!I17</f>
        <v>0</v>
      </c>
    </row>
    <row r="18" spans="2:5" s="36" customFormat="1" x14ac:dyDescent="0.3">
      <c r="B18" s="44">
        <v>2</v>
      </c>
      <c r="C18" s="43">
        <f>'Turkey Crunch Output'!G18</f>
        <v>0</v>
      </c>
      <c r="D18" s="43">
        <f>'Turkey Crunch Output'!H18</f>
        <v>0</v>
      </c>
      <c r="E18" s="43">
        <f>'Turkey Crunch Output'!I18</f>
        <v>0</v>
      </c>
    </row>
    <row r="19" spans="2:5" s="36" customFormat="1" x14ac:dyDescent="0.3">
      <c r="B19" s="44" t="s">
        <v>203</v>
      </c>
      <c r="C19" s="43">
        <f>'Turkey Crunch Output'!G19</f>
        <v>0</v>
      </c>
      <c r="D19" s="43">
        <f>'Turkey Crunch Output'!H19</f>
        <v>0</v>
      </c>
      <c r="E19" s="43">
        <f>'Turkey Crunch Output'!I19</f>
        <v>0</v>
      </c>
    </row>
    <row r="20" spans="2:5" s="36" customFormat="1" x14ac:dyDescent="0.3">
      <c r="B20" s="44" t="s">
        <v>204</v>
      </c>
      <c r="C20" s="43">
        <f>'Turkey Crunch Output'!G20</f>
        <v>6.87166755854309E-3</v>
      </c>
      <c r="D20" s="43">
        <f>'Turkey Crunch Output'!H20</f>
        <v>1.1650067945797199E-2</v>
      </c>
      <c r="E20" s="43">
        <f>'Turkey Crunch Output'!I20</f>
        <v>1.11770908846625E-2</v>
      </c>
    </row>
    <row r="21" spans="2:5" s="36" customFormat="1" x14ac:dyDescent="0.3">
      <c r="B21" s="56" t="s">
        <v>24</v>
      </c>
      <c r="C21" s="60">
        <f>'Turkey Crunch Output'!G6</f>
        <v>162</v>
      </c>
      <c r="D21" s="60">
        <f>'Turkey Crunch Output'!H6</f>
        <v>190</v>
      </c>
      <c r="E21" s="60">
        <f>'Turkey Crunch Output'!I6</f>
        <v>195</v>
      </c>
    </row>
    <row r="22" spans="2:5" x14ac:dyDescent="0.35">
      <c r="B22" s="44"/>
      <c r="C22" s="109"/>
      <c r="D22" s="109"/>
      <c r="E22" s="109"/>
    </row>
    <row r="23" spans="2:5" x14ac:dyDescent="0.35">
      <c r="B23" s="99" t="s">
        <v>73</v>
      </c>
      <c r="C23" s="82" t="s">
        <v>22</v>
      </c>
      <c r="D23" s="82" t="s">
        <v>22</v>
      </c>
      <c r="E23" s="82" t="s">
        <v>22</v>
      </c>
    </row>
    <row r="24" spans="2:5" x14ac:dyDescent="0.35">
      <c r="B24" s="100"/>
      <c r="C24" s="40">
        <f>'Turkey Crunch Output'!G40</f>
        <v>59.61862114502793</v>
      </c>
      <c r="D24" s="40">
        <f>'Turkey Crunch Output'!H40</f>
        <v>60.144346034032637</v>
      </c>
      <c r="E24" s="40">
        <f>'Turkey Crunch Output'!I40</f>
        <v>61.30568978180208</v>
      </c>
    </row>
    <row r="25" spans="2:5" x14ac:dyDescent="0.35">
      <c r="B25" s="41" t="s">
        <v>336</v>
      </c>
      <c r="C25" s="42">
        <f>'Turkey Crunch Output'!G26</f>
        <v>0.68683675608056882</v>
      </c>
      <c r="D25" s="42">
        <f>'Turkey Crunch Output'!H26</f>
        <v>0.68494659662674251</v>
      </c>
      <c r="E25" s="42">
        <f>'Turkey Crunch Output'!I26</f>
        <v>0.68686640043177483</v>
      </c>
    </row>
    <row r="26" spans="2:5" x14ac:dyDescent="0.35">
      <c r="B26" s="41" t="s">
        <v>194</v>
      </c>
      <c r="C26" s="42">
        <f>'Turkey Crunch Output'!G27</f>
        <v>0.2225126992891418</v>
      </c>
      <c r="D26" s="42">
        <f>'Turkey Crunch Output'!H27</f>
        <v>0.2315502670868412</v>
      </c>
      <c r="E26" s="42">
        <f>'Turkey Crunch Output'!I27</f>
        <v>0.23932409695447121</v>
      </c>
    </row>
    <row r="27" spans="2:5" x14ac:dyDescent="0.35">
      <c r="B27" s="41" t="s">
        <v>195</v>
      </c>
      <c r="C27" s="42">
        <f>'Turkey Crunch Output'!G28</f>
        <v>9.0650544630289501E-2</v>
      </c>
      <c r="D27" s="42">
        <f>'Turkey Crunch Output'!H28</f>
        <v>8.3503136286416271E-2</v>
      </c>
      <c r="E27" s="42">
        <f>'Turkey Crunch Output'!I28</f>
        <v>7.3809502613754047E-2</v>
      </c>
    </row>
    <row r="28" spans="2:5" x14ac:dyDescent="0.35">
      <c r="B28" s="28" t="s">
        <v>196</v>
      </c>
      <c r="C28" s="43">
        <f>'Turkey Crunch Output'!G29</f>
        <v>0.47554433978754951</v>
      </c>
      <c r="D28" s="43">
        <f>'Turkey Crunch Output'!H29</f>
        <v>0.4831244793507663</v>
      </c>
      <c r="E28" s="43">
        <f>'Turkey Crunch Output'!I29</f>
        <v>0.50251498234515068</v>
      </c>
    </row>
    <row r="29" spans="2:5" x14ac:dyDescent="0.35">
      <c r="B29" s="28" t="s">
        <v>197</v>
      </c>
      <c r="C29" s="43">
        <f>'Turkey Crunch Output'!G30</f>
        <v>0.2112924162930194</v>
      </c>
      <c r="D29" s="43">
        <f>'Turkey Crunch Output'!H30</f>
        <v>0.20182211727597621</v>
      </c>
      <c r="E29" s="43">
        <f>'Turkey Crunch Output'!I30</f>
        <v>0.184351418086624</v>
      </c>
    </row>
    <row r="30" spans="2:5" x14ac:dyDescent="0.35">
      <c r="B30" s="28" t="s">
        <v>198</v>
      </c>
      <c r="C30" s="43">
        <f>'Turkey Crunch Output'!G31</f>
        <v>0.14059712919146919</v>
      </c>
      <c r="D30" s="43">
        <f>'Turkey Crunch Output'!H31</f>
        <v>0.1448854706202303</v>
      </c>
      <c r="E30" s="43">
        <f>'Turkey Crunch Output'!I31</f>
        <v>0.15072920713503049</v>
      </c>
    </row>
    <row r="31" spans="2:5" x14ac:dyDescent="0.35">
      <c r="B31" s="28" t="s">
        <v>199</v>
      </c>
      <c r="C31" s="43">
        <f>'Turkey Crunch Output'!G32</f>
        <v>8.1915570097672544E-2</v>
      </c>
      <c r="D31" s="43">
        <f>'Turkey Crunch Output'!H32</f>
        <v>8.6664796466610877E-2</v>
      </c>
      <c r="E31" s="43">
        <f>'Turkey Crunch Output'!I32</f>
        <v>8.859488981944065E-2</v>
      </c>
    </row>
    <row r="32" spans="2:5" x14ac:dyDescent="0.35">
      <c r="B32" s="28" t="s">
        <v>200</v>
      </c>
      <c r="C32" s="43">
        <f>'Turkey Crunch Output'!G33</f>
        <v>3.7286575520681882E-2</v>
      </c>
      <c r="D32" s="43">
        <f>'Turkey Crunch Output'!H33</f>
        <v>3.5524278740406839E-2</v>
      </c>
      <c r="E32" s="43">
        <f>'Turkey Crunch Output'!I33</f>
        <v>3.085667111389254E-2</v>
      </c>
    </row>
    <row r="33" spans="2:5" x14ac:dyDescent="0.35">
      <c r="B33" s="44" t="s">
        <v>201</v>
      </c>
      <c r="C33" s="43">
        <f>'Turkey Crunch Output'!G34</f>
        <v>3.5927457055252472E-2</v>
      </c>
      <c r="D33" s="43">
        <f>'Turkey Crunch Output'!H34</f>
        <v>3.3179912652894453E-2</v>
      </c>
      <c r="E33" s="43">
        <f>'Turkey Crunch Output'!I34</f>
        <v>2.107638105669727E-2</v>
      </c>
    </row>
    <row r="34" spans="2:5" x14ac:dyDescent="0.35">
      <c r="B34" s="44" t="s">
        <v>202</v>
      </c>
      <c r="C34" s="43">
        <f>'Turkey Crunch Output'!G35</f>
        <v>2.026670261149009E-3</v>
      </c>
      <c r="D34" s="43">
        <f>'Turkey Crunch Output'!H35</f>
        <v>1.7201021292425199E-3</v>
      </c>
      <c r="E34" s="43">
        <f>'Turkey Crunch Output'!I35</f>
        <v>1.6856014656968881E-3</v>
      </c>
    </row>
    <row r="35" spans="2:5" x14ac:dyDescent="0.35">
      <c r="B35" s="44">
        <v>3</v>
      </c>
      <c r="C35" s="43">
        <f>'Turkey Crunch Output'!G36</f>
        <v>0</v>
      </c>
      <c r="D35" s="43">
        <f>'Turkey Crunch Output'!H36</f>
        <v>0</v>
      </c>
      <c r="E35" s="43">
        <f>'Turkey Crunch Output'!I36</f>
        <v>1.3905274944181899E-3</v>
      </c>
    </row>
    <row r="36" spans="2:5" x14ac:dyDescent="0.35">
      <c r="B36" s="44">
        <v>2</v>
      </c>
      <c r="C36" s="43">
        <f>'Turkey Crunch Output'!G37</f>
        <v>4.9408598141651577E-3</v>
      </c>
      <c r="D36" s="43">
        <f>'Turkey Crunch Output'!H37</f>
        <v>4.1934712565506096E-3</v>
      </c>
      <c r="E36" s="43">
        <f>'Turkey Crunch Output'!I37</f>
        <v>7.4261444014686951E-3</v>
      </c>
    </row>
    <row r="37" spans="2:5" x14ac:dyDescent="0.35">
      <c r="B37" s="44" t="s">
        <v>203</v>
      </c>
      <c r="C37" s="43">
        <f>'Turkey Crunch Output'!G38</f>
        <v>0</v>
      </c>
      <c r="D37" s="43">
        <f>'Turkey Crunch Output'!H38</f>
        <v>0</v>
      </c>
      <c r="E37" s="43">
        <f>'Turkey Crunch Output'!I38</f>
        <v>0</v>
      </c>
    </row>
    <row r="38" spans="2:5" x14ac:dyDescent="0.35">
      <c r="B38" s="44" t="s">
        <v>204</v>
      </c>
      <c r="C38" s="43">
        <f>'Turkey Crunch Output'!G39</f>
        <v>1.046898197904097E-2</v>
      </c>
      <c r="D38" s="43">
        <f>'Turkey Crunch Output'!H39</f>
        <v>8.8853715073218559E-3</v>
      </c>
      <c r="E38" s="43">
        <f>'Turkey Crunch Output'!I39</f>
        <v>1.137417708158046E-2</v>
      </c>
    </row>
    <row r="39" spans="2:5" s="36" customFormat="1" x14ac:dyDescent="0.3">
      <c r="B39" s="56" t="s">
        <v>24</v>
      </c>
      <c r="C39" s="60">
        <f>'Turkey Crunch Output'!G25</f>
        <v>396</v>
      </c>
      <c r="D39" s="60">
        <f>'Turkey Crunch Output'!H25</f>
        <v>467</v>
      </c>
      <c r="E39" s="60">
        <f>'Turkey Crunch Output'!I25</f>
        <v>475</v>
      </c>
    </row>
    <row r="40" spans="2:5" x14ac:dyDescent="0.35">
      <c r="B40" s="45"/>
      <c r="C40" s="83"/>
      <c r="D40" s="83"/>
      <c r="E40" s="83"/>
    </row>
    <row r="41" spans="2:5" x14ac:dyDescent="0.35">
      <c r="B41" s="99" t="s">
        <v>74</v>
      </c>
      <c r="C41" s="82" t="s">
        <v>22</v>
      </c>
      <c r="D41" s="82" t="s">
        <v>22</v>
      </c>
      <c r="E41" s="82" t="s">
        <v>22</v>
      </c>
    </row>
    <row r="42" spans="2:5" x14ac:dyDescent="0.35">
      <c r="B42" s="100"/>
      <c r="C42" s="40">
        <f>'Turkey Crunch Output'!G59</f>
        <v>62.277002665586231</v>
      </c>
      <c r="D42" s="40">
        <f>'Turkey Crunch Output'!H59</f>
        <v>62.967182334049077</v>
      </c>
      <c r="E42" s="40">
        <f>'Turkey Crunch Output'!I59</f>
        <v>60.095583435352417</v>
      </c>
    </row>
    <row r="43" spans="2:5" x14ac:dyDescent="0.35">
      <c r="B43" s="41" t="s">
        <v>336</v>
      </c>
      <c r="C43" s="42">
        <f>'Turkey Crunch Output'!G45</f>
        <v>0.69769312097901126</v>
      </c>
      <c r="D43" s="42">
        <f>'Turkey Crunch Output'!H45</f>
        <v>0.7023486760741664</v>
      </c>
      <c r="E43" s="42">
        <f>'Turkey Crunch Output'!I45</f>
        <v>0.67737015659109023</v>
      </c>
    </row>
    <row r="44" spans="2:5" x14ac:dyDescent="0.35">
      <c r="B44" s="41" t="s">
        <v>194</v>
      </c>
      <c r="C44" s="42">
        <f>'Turkey Crunch Output'!G46</f>
        <v>0.2273837846978396</v>
      </c>
      <c r="D44" s="42">
        <f>'Turkey Crunch Output'!H46</f>
        <v>0.2249744711921578</v>
      </c>
      <c r="E44" s="42">
        <f>'Turkey Crunch Output'!I46</f>
        <v>0.2462155211713434</v>
      </c>
    </row>
    <row r="45" spans="2:5" x14ac:dyDescent="0.35">
      <c r="B45" s="41" t="s">
        <v>195</v>
      </c>
      <c r="C45" s="42">
        <f>'Turkey Crunch Output'!G47</f>
        <v>7.4923094323149059E-2</v>
      </c>
      <c r="D45" s="42">
        <f>'Turkey Crunch Output'!H47</f>
        <v>7.2676852733675745E-2</v>
      </c>
      <c r="E45" s="42">
        <f>'Turkey Crunch Output'!I47</f>
        <v>7.6414322237566071E-2</v>
      </c>
    </row>
    <row r="46" spans="2:5" x14ac:dyDescent="0.35">
      <c r="B46" s="28" t="s">
        <v>196</v>
      </c>
      <c r="C46" s="43">
        <f>'Turkey Crunch Output'!G48</f>
        <v>0.47506308152936449</v>
      </c>
      <c r="D46" s="43">
        <f>'Turkey Crunch Output'!H48</f>
        <v>0.4862876125001091</v>
      </c>
      <c r="E46" s="43">
        <f>'Turkey Crunch Output'!I48</f>
        <v>0.48809027410297628</v>
      </c>
    </row>
    <row r="47" spans="2:5" x14ac:dyDescent="0.35">
      <c r="B47" s="28" t="s">
        <v>197</v>
      </c>
      <c r="C47" s="43">
        <f>'Turkey Crunch Output'!G49</f>
        <v>0.22263003944964671</v>
      </c>
      <c r="D47" s="43">
        <f>'Turkey Crunch Output'!H49</f>
        <v>0.2160610635740573</v>
      </c>
      <c r="E47" s="43">
        <f>'Turkey Crunch Output'!I49</f>
        <v>0.18927988248811389</v>
      </c>
    </row>
    <row r="48" spans="2:5" x14ac:dyDescent="0.35">
      <c r="B48" s="28" t="s">
        <v>198</v>
      </c>
      <c r="C48" s="43">
        <f>'Turkey Crunch Output'!G50</f>
        <v>0.16399034174671639</v>
      </c>
      <c r="D48" s="43">
        <f>'Turkey Crunch Output'!H50</f>
        <v>0.1609984916729354</v>
      </c>
      <c r="E48" s="43">
        <f>'Turkey Crunch Output'!I50</f>
        <v>0.1798365660530471</v>
      </c>
    </row>
    <row r="49" spans="2:5" x14ac:dyDescent="0.35">
      <c r="B49" s="28" t="s">
        <v>199</v>
      </c>
      <c r="C49" s="43">
        <f>'Turkey Crunch Output'!G51</f>
        <v>6.3393442951123258E-2</v>
      </c>
      <c r="D49" s="43">
        <f>'Turkey Crunch Output'!H51</f>
        <v>6.3975979519222376E-2</v>
      </c>
      <c r="E49" s="43">
        <f>'Turkey Crunch Output'!I51</f>
        <v>6.6378955118296376E-2</v>
      </c>
    </row>
    <row r="50" spans="2:5" x14ac:dyDescent="0.35">
      <c r="B50" s="28" t="s">
        <v>200</v>
      </c>
      <c r="C50" s="43">
        <f>'Turkey Crunch Output'!G52</f>
        <v>3.1099831555692171E-2</v>
      </c>
      <c r="D50" s="43">
        <f>'Turkey Crunch Output'!H52</f>
        <v>2.7783879282926471E-2</v>
      </c>
      <c r="E50" s="43">
        <f>'Turkey Crunch Output'!I52</f>
        <v>2.7691004577217199E-2</v>
      </c>
    </row>
    <row r="51" spans="2:5" x14ac:dyDescent="0.35">
      <c r="B51" s="44" t="s">
        <v>201</v>
      </c>
      <c r="C51" s="43">
        <f>'Turkey Crunch Output'!G53</f>
        <v>3.1393758739519557E-2</v>
      </c>
      <c r="D51" s="43">
        <f>'Turkey Crunch Output'!H53</f>
        <v>3.4273230366967861E-2</v>
      </c>
      <c r="E51" s="43">
        <f>'Turkey Crunch Output'!I53</f>
        <v>3.5835467566287332E-2</v>
      </c>
    </row>
    <row r="52" spans="2:5" x14ac:dyDescent="0.35">
      <c r="B52" s="44" t="s">
        <v>202</v>
      </c>
      <c r="C52" s="43">
        <f>'Turkey Crunch Output'!G54</f>
        <v>5.6745271631864456E-3</v>
      </c>
      <c r="D52" s="43">
        <f>'Turkey Crunch Output'!H54</f>
        <v>4.848304522813646E-3</v>
      </c>
      <c r="E52" s="43">
        <f>'Turkey Crunch Output'!I54</f>
        <v>3.24136875051881E-3</v>
      </c>
    </row>
    <row r="53" spans="2:5" x14ac:dyDescent="0.35">
      <c r="B53" s="44">
        <v>3</v>
      </c>
      <c r="C53" s="43">
        <f>'Turkey Crunch Output'!G55</f>
        <v>9.2739061848140069E-4</v>
      </c>
      <c r="D53" s="43">
        <f>'Turkey Crunch Output'!H55</f>
        <v>7.9236066736413421E-4</v>
      </c>
      <c r="E53" s="43">
        <f>'Turkey Crunch Output'!I55</f>
        <v>8.0629300492684108E-4</v>
      </c>
    </row>
    <row r="54" spans="2:5" x14ac:dyDescent="0.35">
      <c r="B54" s="44">
        <v>2</v>
      </c>
      <c r="C54" s="43">
        <f>'Turkey Crunch Output'!G56</f>
        <v>1.914689807204741E-4</v>
      </c>
      <c r="D54" s="43">
        <f>'Turkey Crunch Output'!H56</f>
        <v>1.6359070958862421E-4</v>
      </c>
      <c r="E54" s="43">
        <f>'Turkey Crunch Output'!I56</f>
        <v>1.6646717870425241E-4</v>
      </c>
    </row>
    <row r="55" spans="2:5" x14ac:dyDescent="0.35">
      <c r="B55" s="44" t="s">
        <v>203</v>
      </c>
      <c r="C55" s="43">
        <f>'Turkey Crunch Output'!G57</f>
        <v>2.8819797681203232E-3</v>
      </c>
      <c r="D55" s="43">
        <f>'Turkey Crunch Output'!H57</f>
        <v>2.4623576806686769E-3</v>
      </c>
      <c r="E55" s="43">
        <f>'Turkey Crunch Output'!I57</f>
        <v>2.5056541235894542E-3</v>
      </c>
    </row>
    <row r="56" spans="2:5" x14ac:dyDescent="0.35">
      <c r="B56" s="44" t="s">
        <v>204</v>
      </c>
      <c r="C56" s="43">
        <f>'Turkey Crunch Output'!G58</f>
        <v>2.7541374974286901E-3</v>
      </c>
      <c r="D56" s="43">
        <f>'Turkey Crunch Output'!H58</f>
        <v>2.353129503346328E-3</v>
      </c>
      <c r="E56" s="43">
        <f>'Turkey Crunch Output'!I58</f>
        <v>6.1680670363221859E-3</v>
      </c>
    </row>
    <row r="57" spans="2:5" s="36" customFormat="1" x14ac:dyDescent="0.3">
      <c r="B57" s="56" t="s">
        <v>24</v>
      </c>
      <c r="C57" s="60">
        <f>'Turkey Crunch Output'!G44</f>
        <v>520</v>
      </c>
      <c r="D57" s="60">
        <f>'Turkey Crunch Output'!H44</f>
        <v>611</v>
      </c>
      <c r="E57" s="60">
        <f>'Turkey Crunch Output'!I44</f>
        <v>605</v>
      </c>
    </row>
    <row r="58" spans="2:5" x14ac:dyDescent="0.35">
      <c r="B58" s="27"/>
      <c r="C58" s="83"/>
      <c r="D58" s="83"/>
      <c r="E58" s="83"/>
    </row>
    <row r="59" spans="2:5" x14ac:dyDescent="0.35">
      <c r="B59" s="99" t="s">
        <v>75</v>
      </c>
      <c r="C59" s="82" t="s">
        <v>22</v>
      </c>
      <c r="D59" s="82" t="s">
        <v>22</v>
      </c>
      <c r="E59" s="82" t="s">
        <v>22</v>
      </c>
    </row>
    <row r="60" spans="2:5" x14ac:dyDescent="0.35">
      <c r="B60" s="100"/>
      <c r="C60" s="40">
        <f>'Turkey Crunch Output'!G78</f>
        <v>64.196516244095562</v>
      </c>
      <c r="D60" s="40">
        <f>'Turkey Crunch Output'!H78</f>
        <v>64.705291309274259</v>
      </c>
      <c r="E60" s="40">
        <f>'Turkey Crunch Output'!I78</f>
        <v>62.980556871694027</v>
      </c>
    </row>
    <row r="61" spans="2:5" x14ac:dyDescent="0.35">
      <c r="B61" s="41" t="s">
        <v>336</v>
      </c>
      <c r="C61" s="42">
        <f>'Turkey Crunch Output'!G64</f>
        <v>0.71201899860571638</v>
      </c>
      <c r="D61" s="42">
        <f>'Turkey Crunch Output'!H64</f>
        <v>0.71275898313202923</v>
      </c>
      <c r="E61" s="42">
        <f>'Turkey Crunch Output'!I64</f>
        <v>0.70124731796582973</v>
      </c>
    </row>
    <row r="62" spans="2:5" x14ac:dyDescent="0.35">
      <c r="B62" s="41" t="s">
        <v>194</v>
      </c>
      <c r="C62" s="42">
        <f>'Turkey Crunch Output'!G65</f>
        <v>0.21792716522952271</v>
      </c>
      <c r="D62" s="42">
        <f>'Turkey Crunch Output'!H65</f>
        <v>0.22153494682868419</v>
      </c>
      <c r="E62" s="42">
        <f>'Turkey Crunch Output'!I65</f>
        <v>0.22731093278528111</v>
      </c>
    </row>
    <row r="63" spans="2:5" x14ac:dyDescent="0.35">
      <c r="B63" s="41" t="s">
        <v>195</v>
      </c>
      <c r="C63" s="42">
        <f>'Turkey Crunch Output'!G66</f>
        <v>7.0053836164760838E-2</v>
      </c>
      <c r="D63" s="42">
        <f>'Turkey Crunch Output'!H66</f>
        <v>6.5706070039286663E-2</v>
      </c>
      <c r="E63" s="42">
        <f>'Turkey Crunch Output'!I66</f>
        <v>7.1441749248889269E-2</v>
      </c>
    </row>
    <row r="64" spans="2:5" x14ac:dyDescent="0.35">
      <c r="B64" s="28" t="s">
        <v>196</v>
      </c>
      <c r="C64" s="43">
        <f>'Turkey Crunch Output'!G67</f>
        <v>0.50222813931115973</v>
      </c>
      <c r="D64" s="43">
        <f>'Turkey Crunch Output'!H67</f>
        <v>0.50103216924304794</v>
      </c>
      <c r="E64" s="43">
        <f>'Turkey Crunch Output'!I67</f>
        <v>0.48318939694635299</v>
      </c>
    </row>
    <row r="65" spans="2:5" x14ac:dyDescent="0.35">
      <c r="B65" s="28" t="s">
        <v>197</v>
      </c>
      <c r="C65" s="43">
        <f>'Turkey Crunch Output'!G68</f>
        <v>0.20979085929455671</v>
      </c>
      <c r="D65" s="43">
        <f>'Turkey Crunch Output'!H68</f>
        <v>0.21172681388898129</v>
      </c>
      <c r="E65" s="43">
        <f>'Turkey Crunch Output'!I68</f>
        <v>0.21805792101947671</v>
      </c>
    </row>
    <row r="66" spans="2:5" x14ac:dyDescent="0.35">
      <c r="B66" s="28" t="s">
        <v>198</v>
      </c>
      <c r="C66" s="43">
        <f>'Turkey Crunch Output'!G69</f>
        <v>0.16041203209356331</v>
      </c>
      <c r="D66" s="43">
        <f>'Turkey Crunch Output'!H69</f>
        <v>0.15052537835736821</v>
      </c>
      <c r="E66" s="43">
        <f>'Turkey Crunch Output'!I69</f>
        <v>0.14207102949344819</v>
      </c>
    </row>
    <row r="67" spans="2:5" x14ac:dyDescent="0.35">
      <c r="B67" s="28" t="s">
        <v>199</v>
      </c>
      <c r="C67" s="43">
        <f>'Turkey Crunch Output'!G70</f>
        <v>5.751513313595933E-2</v>
      </c>
      <c r="D67" s="43">
        <f>'Turkey Crunch Output'!H70</f>
        <v>7.1009568471315995E-2</v>
      </c>
      <c r="E67" s="43">
        <f>'Turkey Crunch Output'!I70</f>
        <v>8.5239903291832897E-2</v>
      </c>
    </row>
    <row r="68" spans="2:5" x14ac:dyDescent="0.35">
      <c r="B68" s="28" t="s">
        <v>200</v>
      </c>
      <c r="C68" s="43">
        <f>'Turkey Crunch Output'!G71</f>
        <v>3.110195204111673E-2</v>
      </c>
      <c r="D68" s="43">
        <f>'Turkey Crunch Output'!H71</f>
        <v>2.664918328440502E-2</v>
      </c>
      <c r="E68" s="43">
        <f>'Turkey Crunch Output'!I71</f>
        <v>3.0845563217338182E-2</v>
      </c>
    </row>
    <row r="69" spans="2:5" x14ac:dyDescent="0.35">
      <c r="B69" s="44" t="s">
        <v>201</v>
      </c>
      <c r="C69" s="43">
        <f>'Turkey Crunch Output'!G72</f>
        <v>2.4025717967182E-2</v>
      </c>
      <c r="D69" s="43">
        <f>'Turkey Crunch Output'!H72</f>
        <v>2.4413572170480159E-2</v>
      </c>
      <c r="E69" s="43">
        <f>'Turkey Crunch Output'!I72</f>
        <v>3.1852372944085508E-2</v>
      </c>
    </row>
    <row r="70" spans="2:5" x14ac:dyDescent="0.35">
      <c r="B70" s="44" t="s">
        <v>202</v>
      </c>
      <c r="C70" s="43">
        <f>'Turkey Crunch Output'!G73</f>
        <v>0</v>
      </c>
      <c r="D70" s="43">
        <f>'Turkey Crunch Output'!H73</f>
        <v>1.854080741098333E-3</v>
      </c>
      <c r="E70" s="43">
        <f>'Turkey Crunch Output'!I73</f>
        <v>1.895572582742359E-3</v>
      </c>
    </row>
    <row r="71" spans="2:5" x14ac:dyDescent="0.35">
      <c r="B71" s="44">
        <v>3</v>
      </c>
      <c r="C71" s="43">
        <f>'Turkey Crunch Output'!G74</f>
        <v>4.556416635777113E-3</v>
      </c>
      <c r="D71" s="43">
        <f>'Turkey Crunch Output'!H74</f>
        <v>3.904088781514839E-3</v>
      </c>
      <c r="E71" s="43">
        <f>'Turkey Crunch Output'!I74</f>
        <v>2.7205793946528992E-3</v>
      </c>
    </row>
    <row r="72" spans="2:5" x14ac:dyDescent="0.35">
      <c r="B72" s="44">
        <v>2</v>
      </c>
      <c r="C72" s="43">
        <f>'Turkey Crunch Output'!G75</f>
        <v>1.9930102662662329E-3</v>
      </c>
      <c r="D72" s="43">
        <f>'Turkey Crunch Output'!H75</f>
        <v>1.707677248142354E-3</v>
      </c>
      <c r="E72" s="43">
        <f>'Turkey Crunch Output'!I75</f>
        <v>1.745892775863684E-3</v>
      </c>
    </row>
    <row r="73" spans="2:5" x14ac:dyDescent="0.35">
      <c r="B73" s="44" t="s">
        <v>203</v>
      </c>
      <c r="C73" s="43">
        <f>'Turkey Crunch Output'!G76</f>
        <v>1.506175135808538E-3</v>
      </c>
      <c r="D73" s="43">
        <f>'Turkey Crunch Output'!H76</f>
        <v>1.290540773759554E-3</v>
      </c>
      <c r="E73" s="43">
        <f>'Turkey Crunch Output'!I76</f>
        <v>1.3194213463436099E-3</v>
      </c>
    </row>
    <row r="74" spans="2:5" x14ac:dyDescent="0.35">
      <c r="B74" s="44" t="s">
        <v>204</v>
      </c>
      <c r="C74" s="43">
        <f>'Turkey Crunch Output'!G77</f>
        <v>6.8705641186102206E-3</v>
      </c>
      <c r="D74" s="43">
        <f>'Turkey Crunch Output'!H77</f>
        <v>5.8869270398864094E-3</v>
      </c>
      <c r="E74" s="43">
        <f>'Turkey Crunch Output'!I77</f>
        <v>1.0623469878630199E-3</v>
      </c>
    </row>
    <row r="75" spans="2:5" s="36" customFormat="1" x14ac:dyDescent="0.3">
      <c r="B75" s="56" t="s">
        <v>24</v>
      </c>
      <c r="C75" s="60">
        <f>'Turkey Crunch Output'!G63</f>
        <v>486</v>
      </c>
      <c r="D75" s="60">
        <f>'Turkey Crunch Output'!H63</f>
        <v>570</v>
      </c>
      <c r="E75" s="60">
        <f>'Turkey Crunch Output'!I63</f>
        <v>563</v>
      </c>
    </row>
    <row r="76" spans="2:5" x14ac:dyDescent="0.35">
      <c r="B76" s="27"/>
      <c r="C76" s="83"/>
      <c r="D76" s="83"/>
      <c r="E76" s="83"/>
    </row>
    <row r="77" spans="2:5" x14ac:dyDescent="0.35">
      <c r="B77" s="99" t="s">
        <v>76</v>
      </c>
      <c r="C77" s="82" t="s">
        <v>22</v>
      </c>
      <c r="D77" s="82" t="s">
        <v>22</v>
      </c>
      <c r="E77" s="82" t="s">
        <v>22</v>
      </c>
    </row>
    <row r="78" spans="2:5" x14ac:dyDescent="0.35">
      <c r="B78" s="100"/>
      <c r="C78" s="40">
        <f>'Turkey Crunch Output'!G97</f>
        <v>52.951134254284547</v>
      </c>
      <c r="D78" s="40">
        <f>'Turkey Crunch Output'!H97</f>
        <v>52.645804418021882</v>
      </c>
      <c r="E78" s="40">
        <f>'Turkey Crunch Output'!I97</f>
        <v>54.674568000823719</v>
      </c>
    </row>
    <row r="79" spans="2:5" x14ac:dyDescent="0.35">
      <c r="B79" s="41" t="s">
        <v>336</v>
      </c>
      <c r="C79" s="42">
        <f>'Turkey Crunch Output'!G83</f>
        <v>0.61822059648838612</v>
      </c>
      <c r="D79" s="42">
        <f>'Turkey Crunch Output'!H83</f>
        <v>0.61904955888724889</v>
      </c>
      <c r="E79" s="42">
        <f>'Turkey Crunch Output'!I83</f>
        <v>0.63912729406252755</v>
      </c>
    </row>
    <row r="80" spans="2:5" x14ac:dyDescent="0.35">
      <c r="B80" s="41" t="s">
        <v>194</v>
      </c>
      <c r="C80" s="42">
        <f>'Turkey Crunch Output'!G84</f>
        <v>0.29307014956607341</v>
      </c>
      <c r="D80" s="42">
        <f>'Turkey Crunch Output'!H84</f>
        <v>0.28835892640572103</v>
      </c>
      <c r="E80" s="42">
        <f>'Turkey Crunch Output'!I84</f>
        <v>0.26849109188318199</v>
      </c>
    </row>
    <row r="81" spans="2:5" x14ac:dyDescent="0.35">
      <c r="B81" s="41" t="s">
        <v>195</v>
      </c>
      <c r="C81" s="42">
        <f>'Turkey Crunch Output'!G85</f>
        <v>8.870925394554055E-2</v>
      </c>
      <c r="D81" s="42">
        <f>'Turkey Crunch Output'!H85</f>
        <v>9.2591514707030073E-2</v>
      </c>
      <c r="E81" s="42">
        <f>'Turkey Crunch Output'!I85</f>
        <v>9.2381614054290379E-2</v>
      </c>
    </row>
    <row r="82" spans="2:5" x14ac:dyDescent="0.35">
      <c r="B82" s="28" t="s">
        <v>196</v>
      </c>
      <c r="C82" s="43">
        <f>'Turkey Crunch Output'!G86</f>
        <v>0.39276314047904087</v>
      </c>
      <c r="D82" s="43">
        <f>'Turkey Crunch Output'!H86</f>
        <v>0.39263565250469767</v>
      </c>
      <c r="E82" s="43">
        <f>'Turkey Crunch Output'!I86</f>
        <v>0.41876387072662391</v>
      </c>
    </row>
    <row r="83" spans="2:5" x14ac:dyDescent="0.35">
      <c r="B83" s="28" t="s">
        <v>197</v>
      </c>
      <c r="C83" s="43">
        <f>'Turkey Crunch Output'!G87</f>
        <v>0.22545745600934519</v>
      </c>
      <c r="D83" s="43">
        <f>'Turkey Crunch Output'!H87</f>
        <v>0.2264139063825511</v>
      </c>
      <c r="E83" s="43">
        <f>'Turkey Crunch Output'!I87</f>
        <v>0.22036342333590361</v>
      </c>
    </row>
    <row r="84" spans="2:5" x14ac:dyDescent="0.35">
      <c r="B84" s="28" t="s">
        <v>198</v>
      </c>
      <c r="C84" s="43">
        <f>'Turkey Crunch Output'!G88</f>
        <v>0.19219257728405029</v>
      </c>
      <c r="D84" s="43">
        <f>'Turkey Crunch Output'!H88</f>
        <v>0.1934477717581137</v>
      </c>
      <c r="E84" s="43">
        <f>'Turkey Crunch Output'!I88</f>
        <v>0.19102911894183089</v>
      </c>
    </row>
    <row r="85" spans="2:5" x14ac:dyDescent="0.35">
      <c r="B85" s="28" t="s">
        <v>199</v>
      </c>
      <c r="C85" s="43">
        <f>'Turkey Crunch Output'!G89</f>
        <v>0.1008775722820232</v>
      </c>
      <c r="D85" s="43">
        <f>'Turkey Crunch Output'!H89</f>
        <v>9.4911154647607271E-2</v>
      </c>
      <c r="E85" s="43">
        <f>'Turkey Crunch Output'!I89</f>
        <v>7.7461972941351112E-2</v>
      </c>
    </row>
    <row r="86" spans="2:5" x14ac:dyDescent="0.35">
      <c r="B86" s="28" t="s">
        <v>200</v>
      </c>
      <c r="C86" s="43">
        <f>'Turkey Crunch Output'!G90</f>
        <v>2.0267215003746789E-2</v>
      </c>
      <c r="D86" s="43">
        <f>'Turkey Crunch Output'!H90</f>
        <v>2.2333709510109299E-2</v>
      </c>
      <c r="E86" s="43">
        <f>'Turkey Crunch Output'!I90</f>
        <v>2.5357182013986582E-2</v>
      </c>
    </row>
    <row r="87" spans="2:5" x14ac:dyDescent="0.35">
      <c r="B87" s="44" t="s">
        <v>201</v>
      </c>
      <c r="C87" s="43">
        <f>'Turkey Crunch Output'!G91</f>
        <v>4.4799788459466923E-2</v>
      </c>
      <c r="D87" s="43">
        <f>'Turkey Crunch Output'!H91</f>
        <v>4.6511136256477723E-2</v>
      </c>
      <c r="E87" s="43">
        <f>'Turkey Crunch Output'!I91</f>
        <v>4.2974783870179778E-2</v>
      </c>
    </row>
    <row r="88" spans="2:5" x14ac:dyDescent="0.35">
      <c r="B88" s="44" t="s">
        <v>202</v>
      </c>
      <c r="C88" s="43">
        <f>'Turkey Crunch Output'!G92</f>
        <v>1.2090654769294541E-2</v>
      </c>
      <c r="D88" s="43">
        <f>'Turkey Crunch Output'!H92</f>
        <v>1.223849514539624E-2</v>
      </c>
      <c r="E88" s="43">
        <f>'Turkey Crunch Output'!I92</f>
        <v>1.214137539407939E-2</v>
      </c>
    </row>
    <row r="89" spans="2:5" x14ac:dyDescent="0.35">
      <c r="B89" s="44">
        <v>3</v>
      </c>
      <c r="C89" s="43">
        <f>'Turkey Crunch Output'!G93</f>
        <v>7.4154985379463112E-3</v>
      </c>
      <c r="D89" s="43">
        <f>'Turkey Crunch Output'!H93</f>
        <v>6.5533266659403662E-3</v>
      </c>
      <c r="E89" s="43">
        <f>'Turkey Crunch Output'!I93</f>
        <v>6.7811629297893751E-3</v>
      </c>
    </row>
    <row r="90" spans="2:5" x14ac:dyDescent="0.35">
      <c r="B90" s="44">
        <v>2</v>
      </c>
      <c r="C90" s="43">
        <f>'Turkey Crunch Output'!G94</f>
        <v>0</v>
      </c>
      <c r="D90" s="43">
        <f>'Turkey Crunch Output'!H94</f>
        <v>1.2996382754184889E-3</v>
      </c>
      <c r="E90" s="43">
        <f>'Turkey Crunch Output'!I94</f>
        <v>1.344822155929965E-3</v>
      </c>
    </row>
    <row r="91" spans="2:5" x14ac:dyDescent="0.35">
      <c r="B91" s="44" t="s">
        <v>203</v>
      </c>
      <c r="C91" s="43">
        <f>'Turkey Crunch Output'!G95</f>
        <v>4.1360971750859891E-3</v>
      </c>
      <c r="D91" s="43">
        <f>'Turkey Crunch Output'!H95</f>
        <v>3.6552088536879811E-3</v>
      </c>
      <c r="E91" s="43">
        <f>'Turkey Crunch Output'!I95</f>
        <v>3.78228769032531E-3</v>
      </c>
    </row>
    <row r="92" spans="2:5" x14ac:dyDescent="0.35">
      <c r="B92" s="44" t="s">
        <v>204</v>
      </c>
      <c r="C92" s="43">
        <f>'Turkey Crunch Output'!G96</f>
        <v>0</v>
      </c>
      <c r="D92" s="43">
        <f>'Turkey Crunch Output'!H96</f>
        <v>0</v>
      </c>
      <c r="E92" s="43">
        <f>'Turkey Crunch Output'!I96</f>
        <v>0</v>
      </c>
    </row>
    <row r="93" spans="2:5" s="36" customFormat="1" x14ac:dyDescent="0.3">
      <c r="B93" s="56" t="s">
        <v>24</v>
      </c>
      <c r="C93" s="60">
        <f>'Turkey Crunch Output'!G82</f>
        <v>409</v>
      </c>
      <c r="D93" s="60">
        <f>'Turkey Crunch Output'!H82</f>
        <v>463</v>
      </c>
      <c r="E93" s="60">
        <f>'Turkey Crunch Output'!I82</f>
        <v>448</v>
      </c>
    </row>
    <row r="94" spans="2:5" x14ac:dyDescent="0.35">
      <c r="B94" s="27"/>
      <c r="C94" s="133"/>
      <c r="D94" s="133"/>
      <c r="E94" s="133"/>
    </row>
    <row r="95" spans="2:5" x14ac:dyDescent="0.35">
      <c r="B95" s="99" t="s">
        <v>138</v>
      </c>
      <c r="C95" s="82" t="s">
        <v>22</v>
      </c>
      <c r="D95" s="82" t="s">
        <v>22</v>
      </c>
      <c r="E95" s="82" t="s">
        <v>22</v>
      </c>
    </row>
    <row r="96" spans="2:5" x14ac:dyDescent="0.35">
      <c r="B96" s="100"/>
      <c r="C96" s="40">
        <f>'Turkey Crunch Output'!G116</f>
        <v>54.417386506030347</v>
      </c>
      <c r="D96" s="40">
        <f>'Turkey Crunch Output'!H116</f>
        <v>53.777986357794283</v>
      </c>
      <c r="E96" s="40">
        <f>'Turkey Crunch Output'!I116</f>
        <v>54.540502239048223</v>
      </c>
    </row>
    <row r="97" spans="2:5" x14ac:dyDescent="0.35">
      <c r="B97" s="41" t="s">
        <v>336</v>
      </c>
      <c r="C97" s="42">
        <f>'Turkey Crunch Output'!G102</f>
        <v>0.64441446638061073</v>
      </c>
      <c r="D97" s="42">
        <f>'Turkey Crunch Output'!H102</f>
        <v>0.64063729988130125</v>
      </c>
      <c r="E97" s="42">
        <f>'Turkey Crunch Output'!I102</f>
        <v>0.65148268183756919</v>
      </c>
    </row>
    <row r="98" spans="2:5" x14ac:dyDescent="0.35">
      <c r="B98" s="41" t="s">
        <v>194</v>
      </c>
      <c r="C98" s="42">
        <f>'Turkey Crunch Output'!G103</f>
        <v>0.25534493229908201</v>
      </c>
      <c r="D98" s="42">
        <f>'Turkey Crunch Output'!H103</f>
        <v>0.25650526381534022</v>
      </c>
      <c r="E98" s="42">
        <f>'Turkey Crunch Output'!I103</f>
        <v>0.2424396587153437</v>
      </c>
    </row>
    <row r="99" spans="2:5" x14ac:dyDescent="0.35">
      <c r="B99" s="41" t="s">
        <v>195</v>
      </c>
      <c r="C99" s="42">
        <f>'Turkey Crunch Output'!G104</f>
        <v>0.10024060132030729</v>
      </c>
      <c r="D99" s="42">
        <f>'Turkey Crunch Output'!H104</f>
        <v>0.1028574363033585</v>
      </c>
      <c r="E99" s="42">
        <f>'Turkey Crunch Output'!I104</f>
        <v>0.10607765944708709</v>
      </c>
    </row>
    <row r="100" spans="2:5" x14ac:dyDescent="0.35">
      <c r="B100" s="28" t="s">
        <v>196</v>
      </c>
      <c r="C100" s="43">
        <f>'Turkey Crunch Output'!G105</f>
        <v>0.44704643945252892</v>
      </c>
      <c r="D100" s="43">
        <f>'Turkey Crunch Output'!H105</f>
        <v>0.44005773133580051</v>
      </c>
      <c r="E100" s="43">
        <f>'Turkey Crunch Output'!I105</f>
        <v>0.45159140387470381</v>
      </c>
    </row>
    <row r="101" spans="2:5" x14ac:dyDescent="0.35">
      <c r="B101" s="44">
        <v>9</v>
      </c>
      <c r="C101" s="43">
        <f>'Turkey Crunch Output'!G106</f>
        <v>0.19736802692808189</v>
      </c>
      <c r="D101" s="43">
        <f>'Turkey Crunch Output'!H106</f>
        <v>0.20057956854550071</v>
      </c>
      <c r="E101" s="43">
        <f>'Turkey Crunch Output'!I106</f>
        <v>0.19989127796286549</v>
      </c>
    </row>
    <row r="102" spans="2:5" x14ac:dyDescent="0.35">
      <c r="B102" s="44">
        <v>8</v>
      </c>
      <c r="C102" s="43">
        <f>'Turkey Crunch Output'!G107</f>
        <v>0.19493948321364901</v>
      </c>
      <c r="D102" s="43">
        <f>'Turkey Crunch Output'!H107</f>
        <v>0.20122559688260219</v>
      </c>
      <c r="E102" s="43">
        <f>'Turkey Crunch Output'!I107</f>
        <v>0.19232865857853121</v>
      </c>
    </row>
    <row r="103" spans="2:5" x14ac:dyDescent="0.35">
      <c r="B103" s="44">
        <v>7</v>
      </c>
      <c r="C103" s="43">
        <f>'Turkey Crunch Output'!G108</f>
        <v>6.0405449085432952E-2</v>
      </c>
      <c r="D103" s="43">
        <f>'Turkey Crunch Output'!H108</f>
        <v>5.5279666932738079E-2</v>
      </c>
      <c r="E103" s="43">
        <f>'Turkey Crunch Output'!I108</f>
        <v>5.0111000136812467E-2</v>
      </c>
    </row>
    <row r="104" spans="2:5" x14ac:dyDescent="0.35">
      <c r="B104" s="44">
        <v>6</v>
      </c>
      <c r="C104" s="43">
        <f>'Turkey Crunch Output'!G109</f>
        <v>4.2033041001928291E-2</v>
      </c>
      <c r="D104" s="43">
        <f>'Turkey Crunch Output'!H109</f>
        <v>4.963717748670074E-2</v>
      </c>
      <c r="E104" s="43">
        <f>'Turkey Crunch Output'!I109</f>
        <v>5.7922702082923001E-2</v>
      </c>
    </row>
    <row r="105" spans="2:5" x14ac:dyDescent="0.35">
      <c r="B105" s="44">
        <v>5</v>
      </c>
      <c r="C105" s="43">
        <f>'Turkey Crunch Output'!G110</f>
        <v>4.02230829416199E-2</v>
      </c>
      <c r="D105" s="43">
        <f>'Turkey Crunch Output'!H110</f>
        <v>3.7836762813806817E-2</v>
      </c>
      <c r="E105" s="43">
        <f>'Turkey Crunch Output'!I110</f>
        <v>3.1592717554161501E-2</v>
      </c>
    </row>
    <row r="106" spans="2:5" x14ac:dyDescent="0.35">
      <c r="B106" s="44">
        <v>4</v>
      </c>
      <c r="C106" s="43">
        <f>'Turkey Crunch Output'!G111</f>
        <v>4.0969291726372127E-3</v>
      </c>
      <c r="D106" s="43">
        <f>'Turkey Crunch Output'!H111</f>
        <v>3.5044161824059309E-3</v>
      </c>
      <c r="E106" s="43">
        <f>'Turkey Crunch Output'!I111</f>
        <v>4.9498988853638676E-3</v>
      </c>
    </row>
    <row r="107" spans="2:5" x14ac:dyDescent="0.35">
      <c r="B107" s="44">
        <v>3</v>
      </c>
      <c r="C107" s="43">
        <f>'Turkey Crunch Output'!G112</f>
        <v>2.1948078388667569E-3</v>
      </c>
      <c r="D107" s="43">
        <f>'Turkey Crunch Output'!H112</f>
        <v>1.877386643432008E-3</v>
      </c>
      <c r="E107" s="43">
        <f>'Turkey Crunch Output'!I112</f>
        <v>4.0420795021203666E-3</v>
      </c>
    </row>
    <row r="108" spans="2:5" x14ac:dyDescent="0.35">
      <c r="B108" s="44">
        <v>2</v>
      </c>
      <c r="C108" s="43">
        <f>'Turkey Crunch Output'!G113</f>
        <v>0</v>
      </c>
      <c r="D108" s="43">
        <f>'Turkey Crunch Output'!H113</f>
        <v>0</v>
      </c>
      <c r="E108" s="43">
        <f>'Turkey Crunch Output'!I113</f>
        <v>0</v>
      </c>
    </row>
    <row r="109" spans="2:5" x14ac:dyDescent="0.35">
      <c r="B109" s="44">
        <v>1</v>
      </c>
      <c r="C109" s="43">
        <f>'Turkey Crunch Output'!G114</f>
        <v>8.2873798191870941E-3</v>
      </c>
      <c r="D109" s="43">
        <f>'Turkey Crunch Output'!H114</f>
        <v>7.0888284186296632E-3</v>
      </c>
      <c r="E109" s="43">
        <f>'Turkey Crunch Output'!I114</f>
        <v>4.4772722823712193E-3</v>
      </c>
    </row>
    <row r="110" spans="2:5" x14ac:dyDescent="0.35">
      <c r="B110" s="44" t="s">
        <v>204</v>
      </c>
      <c r="C110" s="43">
        <f>'Turkey Crunch Output'!G115</f>
        <v>3.405360546067983E-3</v>
      </c>
      <c r="D110" s="43">
        <f>'Turkey Crunch Output'!H115</f>
        <v>2.912864758383287E-3</v>
      </c>
      <c r="E110" s="43">
        <f>'Turkey Crunch Output'!I115</f>
        <v>3.0929891401471729E-3</v>
      </c>
    </row>
    <row r="111" spans="2:5" s="36" customFormat="1" x14ac:dyDescent="0.3">
      <c r="B111" s="56" t="s">
        <v>24</v>
      </c>
      <c r="C111" s="60">
        <f>'Turkey Crunch Output'!G101</f>
        <v>390</v>
      </c>
      <c r="D111" s="60">
        <f>'Turkey Crunch Output'!H101</f>
        <v>459</v>
      </c>
      <c r="E111" s="60">
        <f>'Turkey Crunch Output'!I101</f>
        <v>439</v>
      </c>
    </row>
    <row r="112" spans="2:5" x14ac:dyDescent="0.35">
      <c r="B112" s="27"/>
      <c r="C112" s="83"/>
      <c r="D112" s="83"/>
      <c r="E112" s="83"/>
    </row>
    <row r="113" spans="2:5" x14ac:dyDescent="0.35">
      <c r="B113" s="99" t="s">
        <v>136</v>
      </c>
      <c r="C113" s="82" t="s">
        <v>22</v>
      </c>
      <c r="D113" s="82" t="s">
        <v>22</v>
      </c>
      <c r="E113" s="82" t="s">
        <v>22</v>
      </c>
    </row>
    <row r="114" spans="2:5" x14ac:dyDescent="0.35">
      <c r="B114" s="100"/>
      <c r="C114" s="40" t="s">
        <v>43</v>
      </c>
      <c r="D114" s="40">
        <f>'Turkey Crunch Output'!H135</f>
        <v>58.653207713455238</v>
      </c>
      <c r="E114" s="40">
        <f>'Turkey Crunch Output'!I135</f>
        <v>55.762602893770108</v>
      </c>
    </row>
    <row r="115" spans="2:5" x14ac:dyDescent="0.35">
      <c r="B115" s="41" t="s">
        <v>336</v>
      </c>
      <c r="C115" s="42" t="s">
        <v>43</v>
      </c>
      <c r="D115" s="42">
        <f>'Turkey Crunch Output'!H121</f>
        <v>0.66350894301627072</v>
      </c>
      <c r="E115" s="42">
        <f>'Turkey Crunch Output'!I121</f>
        <v>0.63318737972979711</v>
      </c>
    </row>
    <row r="116" spans="2:5" x14ac:dyDescent="0.35">
      <c r="B116" s="41" t="s">
        <v>194</v>
      </c>
      <c r="C116" s="42" t="s">
        <v>43</v>
      </c>
      <c r="D116" s="42">
        <f>'Turkey Crunch Output'!H122</f>
        <v>0.25951419110201068</v>
      </c>
      <c r="E116" s="42">
        <f>'Turkey Crunch Output'!I122</f>
        <v>0.29125126947810659</v>
      </c>
    </row>
    <row r="117" spans="2:5" x14ac:dyDescent="0.35">
      <c r="B117" s="41" t="s">
        <v>195</v>
      </c>
      <c r="C117" s="42" t="s">
        <v>43</v>
      </c>
      <c r="D117" s="42">
        <f>'Turkey Crunch Output'!H123</f>
        <v>7.6976865881718426E-2</v>
      </c>
      <c r="E117" s="42">
        <f>'Turkey Crunch Output'!I123</f>
        <v>7.5561350792096235E-2</v>
      </c>
    </row>
    <row r="118" spans="2:5" x14ac:dyDescent="0.35">
      <c r="B118" s="28" t="s">
        <v>196</v>
      </c>
      <c r="C118" s="43" t="s">
        <v>43</v>
      </c>
      <c r="D118" s="43">
        <f>'Turkey Crunch Output'!H124</f>
        <v>0.4400889243967066</v>
      </c>
      <c r="E118" s="43">
        <f>'Turkey Crunch Output'!I124</f>
        <v>0.47163854093433688</v>
      </c>
    </row>
    <row r="119" spans="2:5" x14ac:dyDescent="0.35">
      <c r="B119" s="44">
        <v>9</v>
      </c>
      <c r="C119" s="43" t="s">
        <v>43</v>
      </c>
      <c r="D119" s="43">
        <f>'Turkey Crunch Output'!H125</f>
        <v>0.22342001861956409</v>
      </c>
      <c r="E119" s="43">
        <f>'Turkey Crunch Output'!I125</f>
        <v>0.1615488387954602</v>
      </c>
    </row>
    <row r="120" spans="2:5" x14ac:dyDescent="0.35">
      <c r="B120" s="44">
        <v>8</v>
      </c>
      <c r="C120" s="43" t="s">
        <v>43</v>
      </c>
      <c r="D120" s="43">
        <f>'Turkey Crunch Output'!H126</f>
        <v>0.1774832055907791</v>
      </c>
      <c r="E120" s="43">
        <f>'Turkey Crunch Output'!I126</f>
        <v>0.17297017863620531</v>
      </c>
    </row>
    <row r="121" spans="2:5" x14ac:dyDescent="0.35">
      <c r="B121" s="44">
        <v>7</v>
      </c>
      <c r="C121" s="43" t="s">
        <v>43</v>
      </c>
      <c r="D121" s="43">
        <f>'Turkey Crunch Output'!H127</f>
        <v>8.2030985511231613E-2</v>
      </c>
      <c r="E121" s="43">
        <f>'Turkey Crunch Output'!I127</f>
        <v>0.1182810908419013</v>
      </c>
    </row>
    <row r="122" spans="2:5" x14ac:dyDescent="0.35">
      <c r="B122" s="44">
        <v>6</v>
      </c>
      <c r="C122" s="43" t="s">
        <v>43</v>
      </c>
      <c r="D122" s="43">
        <f>'Turkey Crunch Output'!H128</f>
        <v>4.0127676937811517E-2</v>
      </c>
      <c r="E122" s="43">
        <f>'Turkey Crunch Output'!I128</f>
        <v>4.5388955083237523E-2</v>
      </c>
    </row>
    <row r="123" spans="2:5" x14ac:dyDescent="0.35">
      <c r="B123" s="44">
        <v>5</v>
      </c>
      <c r="C123" s="43" t="s">
        <v>43</v>
      </c>
      <c r="D123" s="43">
        <f>'Turkey Crunch Output'!H129</f>
        <v>3.1640246693804712E-2</v>
      </c>
      <c r="E123" s="43">
        <f>'Turkey Crunch Output'!I129</f>
        <v>2.4678848455197262E-2</v>
      </c>
    </row>
    <row r="124" spans="2:5" x14ac:dyDescent="0.35">
      <c r="B124" s="44">
        <v>4</v>
      </c>
      <c r="C124" s="43" t="s">
        <v>43</v>
      </c>
      <c r="D124" s="43">
        <f>'Turkey Crunch Output'!H130</f>
        <v>0</v>
      </c>
      <c r="E124" s="43">
        <f>'Turkey Crunch Output'!I130</f>
        <v>0</v>
      </c>
    </row>
    <row r="125" spans="2:5" x14ac:dyDescent="0.35">
      <c r="B125" s="44">
        <v>3</v>
      </c>
      <c r="C125" s="43" t="s">
        <v>43</v>
      </c>
      <c r="D125" s="43">
        <f>'Turkey Crunch Output'!H131</f>
        <v>0</v>
      </c>
      <c r="E125" s="43">
        <f>'Turkey Crunch Output'!I131</f>
        <v>0</v>
      </c>
    </row>
    <row r="126" spans="2:5" x14ac:dyDescent="0.35">
      <c r="B126" s="44">
        <v>2</v>
      </c>
      <c r="C126" s="43" t="s">
        <v>43</v>
      </c>
      <c r="D126" s="43">
        <f>'Turkey Crunch Output'!H132</f>
        <v>5.2089422501021944E-3</v>
      </c>
      <c r="E126" s="43">
        <f>'Turkey Crunch Output'!I132</f>
        <v>5.4935472536614613E-3</v>
      </c>
    </row>
    <row r="127" spans="2:5" x14ac:dyDescent="0.35">
      <c r="B127" s="44">
        <v>1</v>
      </c>
      <c r="C127" s="43" t="s">
        <v>43</v>
      </c>
      <c r="D127" s="43">
        <f>'Turkey Crunch Output'!H133</f>
        <v>0</v>
      </c>
      <c r="E127" s="43">
        <f>'Turkey Crunch Output'!I133</f>
        <v>0</v>
      </c>
    </row>
    <row r="128" spans="2:5" x14ac:dyDescent="0.35">
      <c r="B128" s="44" t="s">
        <v>204</v>
      </c>
      <c r="C128" s="43" t="s">
        <v>43</v>
      </c>
      <c r="D128" s="43">
        <f>'Turkey Crunch Output'!H134</f>
        <v>0</v>
      </c>
      <c r="E128" s="43">
        <f>'Turkey Crunch Output'!I134</f>
        <v>0</v>
      </c>
    </row>
    <row r="129" spans="2:5" s="36" customFormat="1" x14ac:dyDescent="0.3">
      <c r="B129" s="56" t="s">
        <v>24</v>
      </c>
      <c r="C129" s="60">
        <f>'Turkey Crunch Output'!G120</f>
        <v>93</v>
      </c>
      <c r="D129" s="60">
        <f>'Turkey Crunch Output'!H120</f>
        <v>114</v>
      </c>
      <c r="E129" s="60">
        <f>'Turkey Crunch Output'!I120</f>
        <v>113</v>
      </c>
    </row>
    <row r="130" spans="2:5" x14ac:dyDescent="0.35">
      <c r="B130" s="27"/>
      <c r="C130" s="83"/>
      <c r="D130" s="83"/>
      <c r="E130" s="83"/>
    </row>
    <row r="131" spans="2:5" x14ac:dyDescent="0.35">
      <c r="B131" s="99" t="s">
        <v>132</v>
      </c>
      <c r="C131" s="82" t="s">
        <v>22</v>
      </c>
      <c r="D131" s="82" t="s">
        <v>22</v>
      </c>
      <c r="E131" s="82" t="s">
        <v>22</v>
      </c>
    </row>
    <row r="132" spans="2:5" x14ac:dyDescent="0.35">
      <c r="B132" s="100"/>
      <c r="C132" s="40">
        <f>'Turkey Crunch Output'!G154</f>
        <v>46.284911744818707</v>
      </c>
      <c r="D132" s="40">
        <f>'Turkey Crunch Output'!H154</f>
        <v>45.814368184082973</v>
      </c>
      <c r="E132" s="40">
        <f>'Turkey Crunch Output'!I154</f>
        <v>47.517982151671049</v>
      </c>
    </row>
    <row r="133" spans="2:5" x14ac:dyDescent="0.35">
      <c r="B133" s="41" t="s">
        <v>336</v>
      </c>
      <c r="C133" s="42">
        <f>'Turkey Crunch Output'!G140</f>
        <v>0.61551101789161111</v>
      </c>
      <c r="D133" s="42">
        <f>'Turkey Crunch Output'!H140</f>
        <v>0.61093368939559523</v>
      </c>
      <c r="E133" s="42">
        <f>'Turkey Crunch Output'!I140</f>
        <v>0.61847362277332563</v>
      </c>
    </row>
    <row r="134" spans="2:5" x14ac:dyDescent="0.35">
      <c r="B134" s="41" t="s">
        <v>194</v>
      </c>
      <c r="C134" s="42">
        <f>'Turkey Crunch Output'!G141</f>
        <v>0.2318270816649646</v>
      </c>
      <c r="D134" s="42">
        <f>'Turkey Crunch Output'!H141</f>
        <v>0.23627630304963901</v>
      </c>
      <c r="E134" s="42">
        <f>'Turkey Crunch Output'!I141</f>
        <v>0.23823257597005901</v>
      </c>
    </row>
    <row r="135" spans="2:5" x14ac:dyDescent="0.35">
      <c r="B135" s="41" t="s">
        <v>195</v>
      </c>
      <c r="C135" s="42">
        <f>'Turkey Crunch Output'!G142</f>
        <v>0.15266190044342409</v>
      </c>
      <c r="D135" s="42">
        <f>'Turkey Crunch Output'!H142</f>
        <v>0.1527900075547656</v>
      </c>
      <c r="E135" s="42">
        <f>'Turkey Crunch Output'!I142</f>
        <v>0.1432938012566152</v>
      </c>
    </row>
    <row r="136" spans="2:5" x14ac:dyDescent="0.35">
      <c r="B136" s="28" t="s">
        <v>196</v>
      </c>
      <c r="C136" s="43">
        <f>'Turkey Crunch Output'!G143</f>
        <v>0.39901987763179869</v>
      </c>
      <c r="D136" s="43">
        <f>'Turkey Crunch Output'!H143</f>
        <v>0.38408189413369997</v>
      </c>
      <c r="E136" s="43">
        <f>'Turkey Crunch Output'!I143</f>
        <v>0.3887708914156896</v>
      </c>
    </row>
    <row r="137" spans="2:5" x14ac:dyDescent="0.35">
      <c r="B137" s="44">
        <v>9</v>
      </c>
      <c r="C137" s="43">
        <f>'Turkey Crunch Output'!G144</f>
        <v>0.21649114025981239</v>
      </c>
      <c r="D137" s="43">
        <f>'Turkey Crunch Output'!H144</f>
        <v>0.22685179526189519</v>
      </c>
      <c r="E137" s="43">
        <f>'Turkey Crunch Output'!I144</f>
        <v>0.22970273135763611</v>
      </c>
    </row>
    <row r="138" spans="2:5" x14ac:dyDescent="0.35">
      <c r="B138" s="44">
        <v>8</v>
      </c>
      <c r="C138" s="43">
        <f>'Turkey Crunch Output'!G145</f>
        <v>0.15465841018513529</v>
      </c>
      <c r="D138" s="43">
        <f>'Turkey Crunch Output'!H145</f>
        <v>0.16440669333683991</v>
      </c>
      <c r="E138" s="43">
        <f>'Turkey Crunch Output'!I145</f>
        <v>0.16103124858704931</v>
      </c>
    </row>
    <row r="139" spans="2:5" x14ac:dyDescent="0.35">
      <c r="B139" s="44">
        <v>7</v>
      </c>
      <c r="C139" s="43">
        <f>'Turkey Crunch Output'!G146</f>
        <v>7.7168671479829379E-2</v>
      </c>
      <c r="D139" s="43">
        <f>'Turkey Crunch Output'!H146</f>
        <v>7.1869609712799154E-2</v>
      </c>
      <c r="E139" s="43">
        <f>'Turkey Crunch Output'!I146</f>
        <v>7.7201327383009749E-2</v>
      </c>
    </row>
    <row r="140" spans="2:5" x14ac:dyDescent="0.35">
      <c r="B140" s="44">
        <v>6</v>
      </c>
      <c r="C140" s="43">
        <f>'Turkey Crunch Output'!G147</f>
        <v>0.10020994088062631</v>
      </c>
      <c r="D140" s="43">
        <f>'Turkey Crunch Output'!H147</f>
        <v>9.0343549299808479E-2</v>
      </c>
      <c r="E140" s="43">
        <f>'Turkey Crunch Output'!I147</f>
        <v>8.7111126980360679E-2</v>
      </c>
    </row>
    <row r="141" spans="2:5" x14ac:dyDescent="0.35">
      <c r="B141" s="44">
        <v>5</v>
      </c>
      <c r="C141" s="43">
        <f>'Turkey Crunch Output'!G148</f>
        <v>1.4187972538065171E-2</v>
      </c>
      <c r="D141" s="43">
        <f>'Turkey Crunch Output'!H148</f>
        <v>2.5319989465271191E-2</v>
      </c>
      <c r="E141" s="43">
        <f>'Turkey Crunch Output'!I148</f>
        <v>2.6242489830052021E-2</v>
      </c>
    </row>
    <row r="142" spans="2:5" x14ac:dyDescent="0.35">
      <c r="B142" s="44">
        <v>4</v>
      </c>
      <c r="C142" s="43">
        <f>'Turkey Crunch Output'!G149</f>
        <v>2.0750368096454311E-2</v>
      </c>
      <c r="D142" s="43">
        <f>'Turkey Crunch Output'!H149</f>
        <v>2.2092814400293238E-2</v>
      </c>
      <c r="E142" s="43">
        <f>'Turkey Crunch Output'!I149</f>
        <v>1.5798678181181931E-2</v>
      </c>
    </row>
    <row r="143" spans="2:5" x14ac:dyDescent="0.35">
      <c r="B143" s="44">
        <v>3</v>
      </c>
      <c r="C143" s="43">
        <f>'Turkey Crunch Output'!G150</f>
        <v>1.3253123824211951E-2</v>
      </c>
      <c r="D143" s="43">
        <f>'Turkey Crunch Output'!H150</f>
        <v>1.1376454173690121E-2</v>
      </c>
      <c r="E143" s="43">
        <f>'Turkey Crunch Output'!I150</f>
        <v>1.070133673449822E-2</v>
      </c>
    </row>
    <row r="144" spans="2:5" x14ac:dyDescent="0.35">
      <c r="B144" s="44">
        <v>2</v>
      </c>
      <c r="C144" s="43">
        <f>'Turkey Crunch Output'!G151</f>
        <v>0</v>
      </c>
      <c r="D144" s="43">
        <f>'Turkey Crunch Output'!H151</f>
        <v>0</v>
      </c>
      <c r="E144" s="43">
        <f>'Turkey Crunch Output'!I151</f>
        <v>0</v>
      </c>
    </row>
    <row r="145" spans="2:5" ht="14.5" customHeight="1" x14ac:dyDescent="0.35">
      <c r="B145" s="44">
        <v>1</v>
      </c>
      <c r="C145" s="43">
        <f>'Turkey Crunch Output'!G152</f>
        <v>0</v>
      </c>
      <c r="D145" s="43">
        <f>'Turkey Crunch Output'!H152</f>
        <v>0</v>
      </c>
      <c r="E145" s="43">
        <f>'Turkey Crunch Output'!I152</f>
        <v>0</v>
      </c>
    </row>
    <row r="146" spans="2:5" x14ac:dyDescent="0.35">
      <c r="B146" s="44" t="s">
        <v>204</v>
      </c>
      <c r="C146" s="43">
        <f>'Turkey Crunch Output'!G153</f>
        <v>4.2604951040663081E-3</v>
      </c>
      <c r="D146" s="43">
        <f>'Turkey Crunch Output'!H153</f>
        <v>3.65720021570262E-3</v>
      </c>
      <c r="E146" s="43">
        <f>'Turkey Crunch Output'!I153</f>
        <v>3.440169530522411E-3</v>
      </c>
    </row>
    <row r="147" spans="2:5" s="36" customFormat="1" x14ac:dyDescent="0.3">
      <c r="B147" s="56" t="s">
        <v>24</v>
      </c>
      <c r="C147" s="60">
        <f>'Turkey Crunch Output'!G139</f>
        <v>160</v>
      </c>
      <c r="D147" s="60">
        <f>'Turkey Crunch Output'!H139</f>
        <v>185</v>
      </c>
      <c r="E147" s="60">
        <f>'Turkey Crunch Output'!I139</f>
        <v>190</v>
      </c>
    </row>
    <row r="148" spans="2:5" x14ac:dyDescent="0.35">
      <c r="B148" s="27"/>
      <c r="C148" s="83"/>
      <c r="D148" s="83"/>
      <c r="E148" s="83"/>
    </row>
    <row r="149" spans="2:5" x14ac:dyDescent="0.35">
      <c r="B149" s="99" t="s">
        <v>82</v>
      </c>
      <c r="C149" s="82" t="s">
        <v>22</v>
      </c>
      <c r="D149" s="82" t="s">
        <v>22</v>
      </c>
      <c r="E149" s="82" t="s">
        <v>22</v>
      </c>
    </row>
    <row r="150" spans="2:5" x14ac:dyDescent="0.35">
      <c r="B150" s="100"/>
      <c r="C150" s="40" t="s">
        <v>43</v>
      </c>
      <c r="D150" s="40" t="s">
        <v>43</v>
      </c>
      <c r="E150" s="40" t="s">
        <v>43</v>
      </c>
    </row>
    <row r="151" spans="2:5" x14ac:dyDescent="0.35">
      <c r="B151" s="41" t="s">
        <v>336</v>
      </c>
      <c r="C151" s="42" t="s">
        <v>43</v>
      </c>
      <c r="D151" s="42" t="s">
        <v>43</v>
      </c>
      <c r="E151" s="42" t="s">
        <v>43</v>
      </c>
    </row>
    <row r="152" spans="2:5" x14ac:dyDescent="0.35">
      <c r="B152" s="41" t="s">
        <v>194</v>
      </c>
      <c r="C152" s="42" t="s">
        <v>43</v>
      </c>
      <c r="D152" s="42" t="s">
        <v>43</v>
      </c>
      <c r="E152" s="42" t="s">
        <v>43</v>
      </c>
    </row>
    <row r="153" spans="2:5" x14ac:dyDescent="0.35">
      <c r="B153" s="41" t="s">
        <v>195</v>
      </c>
      <c r="C153" s="42" t="s">
        <v>43</v>
      </c>
      <c r="D153" s="42" t="s">
        <v>43</v>
      </c>
      <c r="E153" s="42" t="s">
        <v>43</v>
      </c>
    </row>
    <row r="154" spans="2:5" x14ac:dyDescent="0.35">
      <c r="B154" s="28" t="s">
        <v>196</v>
      </c>
      <c r="C154" s="43" t="s">
        <v>43</v>
      </c>
      <c r="D154" s="43" t="s">
        <v>43</v>
      </c>
      <c r="E154" s="43" t="s">
        <v>43</v>
      </c>
    </row>
    <row r="155" spans="2:5" x14ac:dyDescent="0.35">
      <c r="B155" s="44">
        <v>9</v>
      </c>
      <c r="C155" s="43" t="s">
        <v>43</v>
      </c>
      <c r="D155" s="43" t="s">
        <v>43</v>
      </c>
      <c r="E155" s="43" t="s">
        <v>43</v>
      </c>
    </row>
    <row r="156" spans="2:5" x14ac:dyDescent="0.35">
      <c r="B156" s="44">
        <v>8</v>
      </c>
      <c r="C156" s="43" t="s">
        <v>43</v>
      </c>
      <c r="D156" s="43" t="s">
        <v>43</v>
      </c>
      <c r="E156" s="43" t="s">
        <v>43</v>
      </c>
    </row>
    <row r="157" spans="2:5" x14ac:dyDescent="0.35">
      <c r="B157" s="44">
        <v>7</v>
      </c>
      <c r="C157" s="43" t="s">
        <v>43</v>
      </c>
      <c r="D157" s="43" t="s">
        <v>43</v>
      </c>
      <c r="E157" s="43" t="s">
        <v>43</v>
      </c>
    </row>
    <row r="158" spans="2:5" x14ac:dyDescent="0.35">
      <c r="B158" s="44">
        <v>6</v>
      </c>
      <c r="C158" s="43" t="s">
        <v>43</v>
      </c>
      <c r="D158" s="43" t="s">
        <v>43</v>
      </c>
      <c r="E158" s="43" t="s">
        <v>43</v>
      </c>
    </row>
    <row r="159" spans="2:5" x14ac:dyDescent="0.35">
      <c r="B159" s="44">
        <v>5</v>
      </c>
      <c r="C159" s="43" t="s">
        <v>43</v>
      </c>
      <c r="D159" s="43" t="s">
        <v>43</v>
      </c>
      <c r="E159" s="43" t="s">
        <v>43</v>
      </c>
    </row>
    <row r="160" spans="2:5" x14ac:dyDescent="0.35">
      <c r="B160" s="44">
        <v>4</v>
      </c>
      <c r="C160" s="43" t="s">
        <v>43</v>
      </c>
      <c r="D160" s="43" t="s">
        <v>43</v>
      </c>
      <c r="E160" s="43" t="s">
        <v>43</v>
      </c>
    </row>
    <row r="161" spans="2:5" x14ac:dyDescent="0.35">
      <c r="B161" s="44">
        <v>3</v>
      </c>
      <c r="C161" s="43" t="s">
        <v>43</v>
      </c>
      <c r="D161" s="43" t="s">
        <v>43</v>
      </c>
      <c r="E161" s="43" t="s">
        <v>43</v>
      </c>
    </row>
    <row r="162" spans="2:5" x14ac:dyDescent="0.35">
      <c r="B162" s="44">
        <v>2</v>
      </c>
      <c r="C162" s="43" t="s">
        <v>43</v>
      </c>
      <c r="D162" s="43" t="s">
        <v>43</v>
      </c>
      <c r="E162" s="43" t="s">
        <v>43</v>
      </c>
    </row>
    <row r="163" spans="2:5" x14ac:dyDescent="0.35">
      <c r="B163" s="44">
        <v>1</v>
      </c>
      <c r="C163" s="43" t="s">
        <v>43</v>
      </c>
      <c r="D163" s="43" t="s">
        <v>43</v>
      </c>
      <c r="E163" s="43" t="s">
        <v>43</v>
      </c>
    </row>
    <row r="164" spans="2:5" x14ac:dyDescent="0.35">
      <c r="B164" s="44" t="s">
        <v>204</v>
      </c>
      <c r="C164" s="43" t="s">
        <v>43</v>
      </c>
      <c r="D164" s="43" t="s">
        <v>43</v>
      </c>
      <c r="E164" s="43" t="s">
        <v>43</v>
      </c>
    </row>
    <row r="165" spans="2:5" s="36" customFormat="1" x14ac:dyDescent="0.3">
      <c r="B165" s="56" t="s">
        <v>24</v>
      </c>
      <c r="C165" s="60">
        <f>'Turkey Crunch Output'!G158</f>
        <v>34</v>
      </c>
      <c r="D165" s="60">
        <f>'Turkey Crunch Output'!H158</f>
        <v>40</v>
      </c>
      <c r="E165" s="60">
        <f>'Turkey Crunch Output'!I158</f>
        <v>38</v>
      </c>
    </row>
    <row r="166" spans="2:5" x14ac:dyDescent="0.35">
      <c r="B166" s="27"/>
      <c r="C166" s="83"/>
      <c r="D166" s="83"/>
      <c r="E166" s="83"/>
    </row>
    <row r="167" spans="2:5" x14ac:dyDescent="0.35">
      <c r="B167" s="99" t="s">
        <v>135</v>
      </c>
      <c r="C167" s="82" t="s">
        <v>22</v>
      </c>
      <c r="D167" s="82" t="s">
        <v>22</v>
      </c>
      <c r="E167" s="82" t="s">
        <v>22</v>
      </c>
    </row>
    <row r="168" spans="2:5" x14ac:dyDescent="0.35">
      <c r="B168" s="100"/>
      <c r="C168" s="40" t="s">
        <v>43</v>
      </c>
      <c r="D168" s="40" t="s">
        <v>43</v>
      </c>
      <c r="E168" s="40" t="s">
        <v>43</v>
      </c>
    </row>
    <row r="169" spans="2:5" x14ac:dyDescent="0.35">
      <c r="B169" s="41" t="s">
        <v>336</v>
      </c>
      <c r="C169" s="42" t="s">
        <v>43</v>
      </c>
      <c r="D169" s="42" t="s">
        <v>43</v>
      </c>
      <c r="E169" s="42" t="s">
        <v>43</v>
      </c>
    </row>
    <row r="170" spans="2:5" x14ac:dyDescent="0.35">
      <c r="B170" s="41" t="s">
        <v>194</v>
      </c>
      <c r="C170" s="42" t="s">
        <v>43</v>
      </c>
      <c r="D170" s="42" t="s">
        <v>43</v>
      </c>
      <c r="E170" s="42" t="s">
        <v>43</v>
      </c>
    </row>
    <row r="171" spans="2:5" x14ac:dyDescent="0.35">
      <c r="B171" s="41" t="s">
        <v>195</v>
      </c>
      <c r="C171" s="42" t="s">
        <v>43</v>
      </c>
      <c r="D171" s="42" t="s">
        <v>43</v>
      </c>
      <c r="E171" s="42" t="s">
        <v>43</v>
      </c>
    </row>
    <row r="172" spans="2:5" x14ac:dyDescent="0.35">
      <c r="B172" s="28" t="s">
        <v>196</v>
      </c>
      <c r="C172" s="43" t="s">
        <v>43</v>
      </c>
      <c r="D172" s="43" t="s">
        <v>43</v>
      </c>
      <c r="E172" s="43" t="s">
        <v>43</v>
      </c>
    </row>
    <row r="173" spans="2:5" x14ac:dyDescent="0.35">
      <c r="B173" s="44">
        <v>9</v>
      </c>
      <c r="C173" s="43" t="s">
        <v>43</v>
      </c>
      <c r="D173" s="43" t="s">
        <v>43</v>
      </c>
      <c r="E173" s="43" t="s">
        <v>43</v>
      </c>
    </row>
    <row r="174" spans="2:5" x14ac:dyDescent="0.35">
      <c r="B174" s="44">
        <v>8</v>
      </c>
      <c r="C174" s="43" t="s">
        <v>43</v>
      </c>
      <c r="D174" s="43" t="s">
        <v>43</v>
      </c>
      <c r="E174" s="43" t="s">
        <v>43</v>
      </c>
    </row>
    <row r="175" spans="2:5" x14ac:dyDescent="0.35">
      <c r="B175" s="44">
        <v>7</v>
      </c>
      <c r="C175" s="43" t="s">
        <v>43</v>
      </c>
      <c r="D175" s="43" t="s">
        <v>43</v>
      </c>
      <c r="E175" s="43" t="s">
        <v>43</v>
      </c>
    </row>
    <row r="176" spans="2:5" x14ac:dyDescent="0.35">
      <c r="B176" s="44">
        <v>6</v>
      </c>
      <c r="C176" s="43" t="s">
        <v>43</v>
      </c>
      <c r="D176" s="43" t="s">
        <v>43</v>
      </c>
      <c r="E176" s="43" t="s">
        <v>43</v>
      </c>
    </row>
    <row r="177" spans="2:5" x14ac:dyDescent="0.35">
      <c r="B177" s="44">
        <v>5</v>
      </c>
      <c r="C177" s="43" t="s">
        <v>43</v>
      </c>
      <c r="D177" s="43" t="s">
        <v>43</v>
      </c>
      <c r="E177" s="43" t="s">
        <v>43</v>
      </c>
    </row>
    <row r="178" spans="2:5" x14ac:dyDescent="0.35">
      <c r="B178" s="44">
        <v>4</v>
      </c>
      <c r="C178" s="43" t="s">
        <v>43</v>
      </c>
      <c r="D178" s="43" t="s">
        <v>43</v>
      </c>
      <c r="E178" s="43" t="s">
        <v>43</v>
      </c>
    </row>
    <row r="179" spans="2:5" x14ac:dyDescent="0.35">
      <c r="B179" s="44">
        <v>3</v>
      </c>
      <c r="C179" s="43" t="s">
        <v>43</v>
      </c>
      <c r="D179" s="43" t="s">
        <v>43</v>
      </c>
      <c r="E179" s="43" t="s">
        <v>43</v>
      </c>
    </row>
    <row r="180" spans="2:5" x14ac:dyDescent="0.35">
      <c r="B180" s="44">
        <v>2</v>
      </c>
      <c r="C180" s="43" t="s">
        <v>43</v>
      </c>
      <c r="D180" s="43" t="s">
        <v>43</v>
      </c>
      <c r="E180" s="43" t="s">
        <v>43</v>
      </c>
    </row>
    <row r="181" spans="2:5" x14ac:dyDescent="0.35">
      <c r="B181" s="44">
        <v>1</v>
      </c>
      <c r="C181" s="43" t="s">
        <v>43</v>
      </c>
      <c r="D181" s="43" t="s">
        <v>43</v>
      </c>
      <c r="E181" s="43" t="s">
        <v>43</v>
      </c>
    </row>
    <row r="182" spans="2:5" x14ac:dyDescent="0.35">
      <c r="B182" s="44" t="s">
        <v>204</v>
      </c>
      <c r="C182" s="43" t="s">
        <v>43</v>
      </c>
      <c r="D182" s="43" t="s">
        <v>43</v>
      </c>
      <c r="E182" s="43" t="s">
        <v>43</v>
      </c>
    </row>
    <row r="183" spans="2:5" s="36" customFormat="1" x14ac:dyDescent="0.3">
      <c r="B183" s="56" t="s">
        <v>24</v>
      </c>
      <c r="C183" s="60">
        <f>'Turkey Crunch Output'!G177</f>
        <v>29</v>
      </c>
      <c r="D183" s="60">
        <f>'Turkey Crunch Output'!H177</f>
        <v>31</v>
      </c>
      <c r="E183" s="60">
        <f>'Turkey Crunch Output'!I177</f>
        <v>30</v>
      </c>
    </row>
    <row r="184" spans="2:5" x14ac:dyDescent="0.35">
      <c r="B184" s="27"/>
      <c r="C184" s="83"/>
      <c r="D184" s="83"/>
      <c r="E184" s="83"/>
    </row>
    <row r="185" spans="2:5" x14ac:dyDescent="0.35">
      <c r="B185" s="99" t="s">
        <v>137</v>
      </c>
      <c r="C185" s="82" t="s">
        <v>22</v>
      </c>
      <c r="D185" s="82" t="s">
        <v>22</v>
      </c>
      <c r="E185" s="82" t="s">
        <v>22</v>
      </c>
    </row>
    <row r="186" spans="2:5" x14ac:dyDescent="0.35">
      <c r="B186" s="100"/>
      <c r="C186" s="40">
        <f>'Turkey Crunch Output'!G211</f>
        <v>47.667638874099033</v>
      </c>
      <c r="D186" s="40">
        <f>'Turkey Crunch Output'!H211</f>
        <v>49.859785442184638</v>
      </c>
      <c r="E186" s="40">
        <f>'Turkey Crunch Output'!I211</f>
        <v>50.478455724384347</v>
      </c>
    </row>
    <row r="187" spans="2:5" x14ac:dyDescent="0.35">
      <c r="B187" s="41" t="s">
        <v>336</v>
      </c>
      <c r="C187" s="42">
        <f>'Turkey Crunch Output'!G197</f>
        <v>0.57773544152458811</v>
      </c>
      <c r="D187" s="42">
        <f>'Turkey Crunch Output'!H197</f>
        <v>0.59530517716885467</v>
      </c>
      <c r="E187" s="42">
        <f>'Turkey Crunch Output'!I197</f>
        <v>0.61156526915311893</v>
      </c>
    </row>
    <row r="188" spans="2:5" x14ac:dyDescent="0.35">
      <c r="B188" s="41" t="s">
        <v>194</v>
      </c>
      <c r="C188" s="42">
        <f>'Turkey Crunch Output'!G198</f>
        <v>0.32120550569181427</v>
      </c>
      <c r="D188" s="42">
        <f>'Turkey Crunch Output'!H198</f>
        <v>0.30798750008413689</v>
      </c>
      <c r="E188" s="42">
        <f>'Turkey Crunch Output'!I198</f>
        <v>0.28165401893760589</v>
      </c>
    </row>
    <row r="189" spans="2:5" x14ac:dyDescent="0.35">
      <c r="B189" s="41" t="s">
        <v>195</v>
      </c>
      <c r="C189" s="42">
        <f>'Turkey Crunch Output'!G199</f>
        <v>0.1010590527835977</v>
      </c>
      <c r="D189" s="42">
        <f>'Turkey Crunch Output'!H199</f>
        <v>9.6707322747008329E-2</v>
      </c>
      <c r="E189" s="42">
        <f>'Turkey Crunch Output'!I199</f>
        <v>0.10678071190927541</v>
      </c>
    </row>
    <row r="190" spans="2:5" x14ac:dyDescent="0.35">
      <c r="B190" s="28" t="s">
        <v>196</v>
      </c>
      <c r="C190" s="42">
        <f>'Turkey Crunch Output'!G200</f>
        <v>0.40295653604401011</v>
      </c>
      <c r="D190" s="42">
        <f>'Turkey Crunch Output'!H200</f>
        <v>0.40111508683925851</v>
      </c>
      <c r="E190" s="42">
        <f>'Turkey Crunch Output'!I200</f>
        <v>0.40742792414822948</v>
      </c>
    </row>
    <row r="191" spans="2:5" x14ac:dyDescent="0.35">
      <c r="B191" s="44">
        <v>9</v>
      </c>
      <c r="C191" s="42">
        <f>'Turkey Crunch Output'!G201</f>
        <v>0.17477890548057801</v>
      </c>
      <c r="D191" s="42">
        <f>'Turkey Crunch Output'!H201</f>
        <v>0.19419009032959619</v>
      </c>
      <c r="E191" s="42">
        <f>'Turkey Crunch Output'!I201</f>
        <v>0.2041373450048895</v>
      </c>
    </row>
    <row r="192" spans="2:5" x14ac:dyDescent="0.35">
      <c r="B192" s="44">
        <v>8</v>
      </c>
      <c r="C192" s="42">
        <f>'Turkey Crunch Output'!G202</f>
        <v>0.19004305219267609</v>
      </c>
      <c r="D192" s="42">
        <f>'Turkey Crunch Output'!H202</f>
        <v>0.1755992318531315</v>
      </c>
      <c r="E192" s="42">
        <f>'Turkey Crunch Output'!I202</f>
        <v>0.16887936863680411</v>
      </c>
    </row>
    <row r="193" spans="2:5" x14ac:dyDescent="0.35">
      <c r="B193" s="44">
        <v>7</v>
      </c>
      <c r="C193" s="42">
        <f>'Turkey Crunch Output'!G203</f>
        <v>0.13116245349913819</v>
      </c>
      <c r="D193" s="42">
        <f>'Turkey Crunch Output'!H203</f>
        <v>0.1323882682310055</v>
      </c>
      <c r="E193" s="42">
        <f>'Turkey Crunch Output'!I203</f>
        <v>0.1127746503008018</v>
      </c>
    </row>
    <row r="194" spans="2:5" x14ac:dyDescent="0.35">
      <c r="B194" s="44">
        <v>6</v>
      </c>
      <c r="C194" s="42">
        <f>'Turkey Crunch Output'!G204</f>
        <v>3.0310420595032639E-2</v>
      </c>
      <c r="D194" s="42">
        <f>'Turkey Crunch Output'!H204</f>
        <v>3.0904145780367341E-2</v>
      </c>
      <c r="E194" s="42">
        <f>'Turkey Crunch Output'!I204</f>
        <v>3.3688086413815703E-2</v>
      </c>
    </row>
    <row r="195" spans="2:5" x14ac:dyDescent="0.35">
      <c r="B195" s="44">
        <v>5</v>
      </c>
      <c r="C195" s="42">
        <f>'Turkey Crunch Output'!G205</f>
        <v>4.8562062051452748E-2</v>
      </c>
      <c r="D195" s="42">
        <f>'Turkey Crunch Output'!H205</f>
        <v>4.2190326307584847E-2</v>
      </c>
      <c r="E195" s="42">
        <f>'Turkey Crunch Output'!I205</f>
        <v>4.6469554627964961E-2</v>
      </c>
    </row>
    <row r="196" spans="2:5" x14ac:dyDescent="0.35">
      <c r="B196" s="44">
        <v>4</v>
      </c>
      <c r="C196" s="42">
        <f>'Turkey Crunch Output'!G206</f>
        <v>9.3393003978954996E-3</v>
      </c>
      <c r="D196" s="42">
        <f>'Turkey Crunch Output'!H206</f>
        <v>8.1139085662030805E-3</v>
      </c>
      <c r="E196" s="42">
        <f>'Turkey Crunch Output'!I206</f>
        <v>1.104924764796689E-2</v>
      </c>
    </row>
    <row r="197" spans="2:5" x14ac:dyDescent="0.35">
      <c r="B197" s="44">
        <v>3</v>
      </c>
      <c r="C197" s="42">
        <f>'Turkey Crunch Output'!G207</f>
        <v>0</v>
      </c>
      <c r="D197" s="42">
        <f>'Turkey Crunch Output'!H207</f>
        <v>0</v>
      </c>
      <c r="E197" s="42">
        <f>'Turkey Crunch Output'!I207</f>
        <v>0</v>
      </c>
    </row>
    <row r="198" spans="2:5" x14ac:dyDescent="0.35">
      <c r="B198" s="44">
        <v>2</v>
      </c>
      <c r="C198" s="42">
        <f>'Turkey Crunch Output'!G208</f>
        <v>7.5805298976475907E-3</v>
      </c>
      <c r="D198" s="42">
        <f>'Turkey Crunch Output'!H208</f>
        <v>1.092324116282397E-2</v>
      </c>
      <c r="E198" s="42">
        <f>'Turkey Crunch Output'!I208</f>
        <v>7.8561339668153391E-3</v>
      </c>
    </row>
    <row r="199" spans="2:5" x14ac:dyDescent="0.35">
      <c r="B199" s="44">
        <v>1</v>
      </c>
      <c r="C199" s="42">
        <f>'Turkey Crunch Output'!G209</f>
        <v>0</v>
      </c>
      <c r="D199" s="42">
        <f>'Turkey Crunch Output'!H209</f>
        <v>0</v>
      </c>
      <c r="E199" s="42">
        <f>'Turkey Crunch Output'!I209</f>
        <v>0</v>
      </c>
    </row>
    <row r="200" spans="2:5" x14ac:dyDescent="0.35">
      <c r="B200" s="44" t="s">
        <v>204</v>
      </c>
      <c r="C200" s="42">
        <f>'Turkey Crunch Output'!G210</f>
        <v>5.2667398415692209E-3</v>
      </c>
      <c r="D200" s="42">
        <f>'Turkey Crunch Output'!H210</f>
        <v>4.5757009300290983E-3</v>
      </c>
      <c r="E200" s="42">
        <f>'Turkey Crunch Output'!I210</f>
        <v>7.7176892527124636E-3</v>
      </c>
    </row>
    <row r="201" spans="2:5" s="36" customFormat="1" x14ac:dyDescent="0.3">
      <c r="B201" s="56" t="s">
        <v>24</v>
      </c>
      <c r="C201" s="60">
        <f>'Turkey Crunch Output'!G196</f>
        <v>222</v>
      </c>
      <c r="D201" s="60">
        <f>'Turkey Crunch Output'!H196</f>
        <v>258</v>
      </c>
      <c r="E201" s="60">
        <f>'Turkey Crunch Output'!I196</f>
        <v>267</v>
      </c>
    </row>
    <row r="202" spans="2:5" x14ac:dyDescent="0.35">
      <c r="B202" s="27"/>
      <c r="C202" s="83"/>
      <c r="D202" s="83"/>
      <c r="E202" s="83"/>
    </row>
    <row r="203" spans="2:5" x14ac:dyDescent="0.35">
      <c r="B203" s="99" t="s">
        <v>130</v>
      </c>
      <c r="C203" s="82" t="s">
        <v>22</v>
      </c>
      <c r="D203" s="82" t="s">
        <v>22</v>
      </c>
      <c r="E203" s="82" t="s">
        <v>22</v>
      </c>
    </row>
    <row r="204" spans="2:5" x14ac:dyDescent="0.35">
      <c r="B204" s="100"/>
      <c r="C204" s="40">
        <f>'Turkey Crunch Output'!G248</f>
        <v>44.338216180445663</v>
      </c>
      <c r="D204" s="40">
        <f>'Turkey Crunch Output'!H248</f>
        <v>43.975893225771422</v>
      </c>
      <c r="E204" s="40">
        <f>'Turkey Crunch Output'!I248</f>
        <v>40.095928884132611</v>
      </c>
    </row>
    <row r="205" spans="2:5" x14ac:dyDescent="0.35">
      <c r="B205" s="41" t="s">
        <v>336</v>
      </c>
      <c r="C205" s="42">
        <f>'Turkey Crunch Output'!G234</f>
        <v>0.56031846610337599</v>
      </c>
      <c r="D205" s="42">
        <f>'Turkey Crunch Output'!H234</f>
        <v>0.56161407144276931</v>
      </c>
      <c r="E205" s="42">
        <f>'Turkey Crunch Output'!I234</f>
        <v>0.55917398316289957</v>
      </c>
    </row>
    <row r="206" spans="2:5" x14ac:dyDescent="0.35">
      <c r="B206" s="41" t="s">
        <v>194</v>
      </c>
      <c r="C206" s="42">
        <f>'Turkey Crunch Output'!G235</f>
        <v>0.3227452295977048</v>
      </c>
      <c r="D206" s="42">
        <f>'Turkey Crunch Output'!H235</f>
        <v>0.31653078937217549</v>
      </c>
      <c r="E206" s="42">
        <f>'Turkey Crunch Output'!I235</f>
        <v>0.28261132251552712</v>
      </c>
    </row>
    <row r="207" spans="2:5" x14ac:dyDescent="0.35">
      <c r="B207" s="41" t="s">
        <v>195</v>
      </c>
      <c r="C207" s="42">
        <f>'Turkey Crunch Output'!G236</f>
        <v>0.1169363042989193</v>
      </c>
      <c r="D207" s="42">
        <f>'Turkey Crunch Output'!H236</f>
        <v>0.12185513918505519</v>
      </c>
      <c r="E207" s="42">
        <f>'Turkey Crunch Output'!I236</f>
        <v>0.15821469432157351</v>
      </c>
    </row>
    <row r="208" spans="2:5" x14ac:dyDescent="0.35">
      <c r="B208" s="28" t="s">
        <v>196</v>
      </c>
      <c r="C208" s="42">
        <f>'Turkey Crunch Output'!G237</f>
        <v>0.35998606309658709</v>
      </c>
      <c r="D208" s="42">
        <f>'Turkey Crunch Output'!H237</f>
        <v>0.37267198309154559</v>
      </c>
      <c r="E208" s="42">
        <f>'Turkey Crunch Output'!I237</f>
        <v>0.36813504096278898</v>
      </c>
    </row>
    <row r="209" spans="2:5" x14ac:dyDescent="0.35">
      <c r="B209" s="44">
        <v>9</v>
      </c>
      <c r="C209" s="42">
        <f>'Turkey Crunch Output'!G238</f>
        <v>0.20033240300678881</v>
      </c>
      <c r="D209" s="42">
        <f>'Turkey Crunch Output'!H238</f>
        <v>0.1889420883512237</v>
      </c>
      <c r="E209" s="42">
        <f>'Turkey Crunch Output'!I238</f>
        <v>0.1910389422001107</v>
      </c>
    </row>
    <row r="210" spans="2:5" x14ac:dyDescent="0.35">
      <c r="B210" s="44">
        <v>8</v>
      </c>
      <c r="C210" s="42">
        <f>'Turkey Crunch Output'!G239</f>
        <v>0.23238784788085881</v>
      </c>
      <c r="D210" s="42">
        <f>'Turkey Crunch Output'!H239</f>
        <v>0.22205553793402269</v>
      </c>
      <c r="E210" s="42">
        <f>'Turkey Crunch Output'!I239</f>
        <v>0.2039630129112617</v>
      </c>
    </row>
    <row r="211" spans="2:5" x14ac:dyDescent="0.35">
      <c r="B211" s="44">
        <v>7</v>
      </c>
      <c r="C211" s="42">
        <f>'Turkey Crunch Output'!G240</f>
        <v>9.0357381716846014E-2</v>
      </c>
      <c r="D211" s="42">
        <f>'Turkey Crunch Output'!H240</f>
        <v>9.447525143815276E-2</v>
      </c>
      <c r="E211" s="42">
        <f>'Turkey Crunch Output'!I240</f>
        <v>7.8648309604265415E-2</v>
      </c>
    </row>
    <row r="212" spans="2:5" x14ac:dyDescent="0.35">
      <c r="B212" s="44">
        <v>6</v>
      </c>
      <c r="C212" s="42">
        <f>'Turkey Crunch Output'!G241</f>
        <v>5.9455664906405463E-2</v>
      </c>
      <c r="D212" s="42">
        <f>'Turkey Crunch Output'!H241</f>
        <v>5.8670128734741332E-2</v>
      </c>
      <c r="E212" s="42">
        <f>'Turkey Crunch Output'!I241</f>
        <v>6.7412380366329447E-2</v>
      </c>
    </row>
    <row r="213" spans="2:5" x14ac:dyDescent="0.35">
      <c r="B213" s="44">
        <v>5</v>
      </c>
      <c r="C213" s="42">
        <f>'Turkey Crunch Output'!G242</f>
        <v>3.9592116805890913E-2</v>
      </c>
      <c r="D213" s="42">
        <f>'Turkey Crunch Output'!H242</f>
        <v>4.302264111187451E-2</v>
      </c>
      <c r="E213" s="42">
        <f>'Turkey Crunch Output'!I242</f>
        <v>5.2614029922526999E-2</v>
      </c>
    </row>
    <row r="214" spans="2:5" x14ac:dyDescent="0.35">
      <c r="B214" s="44">
        <v>4</v>
      </c>
      <c r="C214" s="42">
        <f>'Turkey Crunch Output'!G243</f>
        <v>1.0483061720196959E-2</v>
      </c>
      <c r="D214" s="42">
        <f>'Turkey Crunch Output'!H243</f>
        <v>1.3531655956688499E-2</v>
      </c>
      <c r="E214" s="42">
        <f>'Turkey Crunch Output'!I243</f>
        <v>2.315855059785386E-2</v>
      </c>
    </row>
    <row r="215" spans="2:5" x14ac:dyDescent="0.35">
      <c r="B215" s="44">
        <v>3</v>
      </c>
      <c r="C215" s="42">
        <f>'Turkey Crunch Output'!G244</f>
        <v>0</v>
      </c>
      <c r="D215" s="42">
        <f>'Turkey Crunch Output'!H244</f>
        <v>0</v>
      </c>
      <c r="E215" s="42">
        <f>'Turkey Crunch Output'!I244</f>
        <v>0</v>
      </c>
    </row>
    <row r="216" spans="2:5" x14ac:dyDescent="0.35">
      <c r="B216" s="44">
        <v>2</v>
      </c>
      <c r="C216" s="42">
        <f>'Turkey Crunch Output'!G245</f>
        <v>0</v>
      </c>
      <c r="D216" s="42">
        <f>'Turkey Crunch Output'!H245</f>
        <v>0</v>
      </c>
      <c r="E216" s="42">
        <f>'Turkey Crunch Output'!I245</f>
        <v>0</v>
      </c>
    </row>
    <row r="217" spans="2:5" x14ac:dyDescent="0.35">
      <c r="B217" s="44">
        <v>1</v>
      </c>
      <c r="C217" s="42">
        <f>'Turkey Crunch Output'!G246</f>
        <v>7.4054608664260307E-3</v>
      </c>
      <c r="D217" s="42">
        <f>'Turkey Crunch Output'!H246</f>
        <v>6.6307133817508834E-3</v>
      </c>
      <c r="E217" s="42">
        <f>'Turkey Crunch Output'!I246</f>
        <v>7.4202659299357591E-3</v>
      </c>
    </row>
    <row r="218" spans="2:5" x14ac:dyDescent="0.35">
      <c r="B218" s="44" t="s">
        <v>204</v>
      </c>
      <c r="C218" s="42">
        <f>'Turkey Crunch Output'!G247</f>
        <v>0</v>
      </c>
      <c r="D218" s="42">
        <f>'Turkey Crunch Output'!H247</f>
        <v>0</v>
      </c>
      <c r="E218" s="42">
        <f>'Turkey Crunch Output'!I247</f>
        <v>7.6094675049274132E-3</v>
      </c>
    </row>
    <row r="219" spans="2:5" s="36" customFormat="1" x14ac:dyDescent="0.3">
      <c r="B219" s="56" t="s">
        <v>24</v>
      </c>
      <c r="C219" s="60">
        <f>'Turkey Crunch Output'!G233</f>
        <v>160</v>
      </c>
      <c r="D219" s="60">
        <f>'Turkey Crunch Output'!H233</f>
        <v>181</v>
      </c>
      <c r="E219" s="60">
        <f>'Turkey Crunch Output'!I233</f>
        <v>167</v>
      </c>
    </row>
    <row r="220" spans="2:5" x14ac:dyDescent="0.35">
      <c r="B220" s="27"/>
      <c r="C220" s="83"/>
      <c r="D220" s="83"/>
      <c r="E220" s="83"/>
    </row>
    <row r="221" spans="2:5" x14ac:dyDescent="0.35">
      <c r="B221" s="99" t="s">
        <v>134</v>
      </c>
      <c r="C221" s="82" t="s">
        <v>22</v>
      </c>
      <c r="D221" s="82" t="s">
        <v>22</v>
      </c>
      <c r="E221" s="82" t="s">
        <v>22</v>
      </c>
    </row>
    <row r="222" spans="2:5" x14ac:dyDescent="0.35">
      <c r="B222" s="100"/>
      <c r="C222" s="40">
        <f>'Turkey Crunch Output'!G267</f>
        <v>56.993294139264783</v>
      </c>
      <c r="D222" s="40">
        <f>'Turkey Crunch Output'!H267</f>
        <v>62.455182109935542</v>
      </c>
      <c r="E222" s="40">
        <f>'Turkey Crunch Output'!I267</f>
        <v>64.580638565580358</v>
      </c>
    </row>
    <row r="223" spans="2:5" x14ac:dyDescent="0.35">
      <c r="B223" s="41" t="s">
        <v>336</v>
      </c>
      <c r="C223" s="42">
        <f>'Turkey Crunch Output'!G253</f>
        <v>0.65837248377928814</v>
      </c>
      <c r="D223" s="42">
        <f>'Turkey Crunch Output'!H253</f>
        <v>0.69269314205380428</v>
      </c>
      <c r="E223" s="42">
        <f>'Turkey Crunch Output'!I253</f>
        <v>0.71793985694734685</v>
      </c>
    </row>
    <row r="224" spans="2:5" x14ac:dyDescent="0.35">
      <c r="B224" s="41" t="s">
        <v>194</v>
      </c>
      <c r="C224" s="42">
        <f>'Turkey Crunch Output'!G254</f>
        <v>0.25318797383407182</v>
      </c>
      <c r="D224" s="42">
        <f>'Turkey Crunch Output'!H254</f>
        <v>0.23916553699174681</v>
      </c>
      <c r="E224" s="42">
        <f>'Turkey Crunch Output'!I254</f>
        <v>0.2099266717611098</v>
      </c>
    </row>
    <row r="225" spans="2:5" x14ac:dyDescent="0.35">
      <c r="B225" s="41" t="s">
        <v>195</v>
      </c>
      <c r="C225" s="42">
        <f>'Turkey Crunch Output'!G255</f>
        <v>8.8439542386640188E-2</v>
      </c>
      <c r="D225" s="42">
        <f>'Turkey Crunch Output'!H255</f>
        <v>6.8141320954448914E-2</v>
      </c>
      <c r="E225" s="42">
        <f>'Turkey Crunch Output'!I255</f>
        <v>7.2133471291543363E-2</v>
      </c>
    </row>
    <row r="226" spans="2:5" x14ac:dyDescent="0.35">
      <c r="B226" s="28" t="s">
        <v>196</v>
      </c>
      <c r="C226" s="42">
        <f>'Turkey Crunch Output'!G256</f>
        <v>0.49270458166163728</v>
      </c>
      <c r="D226" s="42">
        <f>'Turkey Crunch Output'!H256</f>
        <v>0.49092284918136242</v>
      </c>
      <c r="E226" s="42">
        <f>'Turkey Crunch Output'!I256</f>
        <v>0.51728699645400944</v>
      </c>
    </row>
    <row r="227" spans="2:5" x14ac:dyDescent="0.35">
      <c r="B227" s="44">
        <v>9</v>
      </c>
      <c r="C227" s="42">
        <f>'Turkey Crunch Output'!G257</f>
        <v>0.16566790211765089</v>
      </c>
      <c r="D227" s="42">
        <f>'Turkey Crunch Output'!H257</f>
        <v>0.2017702928724418</v>
      </c>
      <c r="E227" s="42">
        <f>'Turkey Crunch Output'!I257</f>
        <v>0.20065286049333739</v>
      </c>
    </row>
    <row r="228" spans="2:5" x14ac:dyDescent="0.35">
      <c r="B228" s="44">
        <v>8</v>
      </c>
      <c r="C228" s="42">
        <f>'Turkey Crunch Output'!G258</f>
        <v>0.19563231311448279</v>
      </c>
      <c r="D228" s="42">
        <f>'Turkey Crunch Output'!H258</f>
        <v>0.18390234794585131</v>
      </c>
      <c r="E228" s="42">
        <f>'Turkey Crunch Output'!I258</f>
        <v>0.14939620771351811</v>
      </c>
    </row>
    <row r="229" spans="2:5" x14ac:dyDescent="0.35">
      <c r="B229" s="44">
        <v>7</v>
      </c>
      <c r="C229" s="42">
        <f>'Turkey Crunch Output'!G259</f>
        <v>5.755566071958898E-2</v>
      </c>
      <c r="D229" s="42">
        <f>'Turkey Crunch Output'!H259</f>
        <v>5.5263189045895583E-2</v>
      </c>
      <c r="E229" s="42">
        <f>'Turkey Crunch Output'!I259</f>
        <v>6.0530464047591707E-2</v>
      </c>
    </row>
    <row r="230" spans="2:5" x14ac:dyDescent="0.35">
      <c r="B230" s="44">
        <v>6</v>
      </c>
      <c r="C230" s="42">
        <f>'Turkey Crunch Output'!G260</f>
        <v>4.0750770451204323E-2</v>
      </c>
      <c r="D230" s="42">
        <f>'Turkey Crunch Output'!H260</f>
        <v>3.1397848219486671E-2</v>
      </c>
      <c r="E230" s="42">
        <f>'Turkey Crunch Output'!I260</f>
        <v>3.436112485870417E-2</v>
      </c>
    </row>
    <row r="231" spans="2:5" x14ac:dyDescent="0.35">
      <c r="B231" s="44">
        <v>5</v>
      </c>
      <c r="C231" s="42">
        <f>'Turkey Crunch Output'!G261</f>
        <v>3.5622346322551159E-2</v>
      </c>
      <c r="D231" s="42">
        <f>'Turkey Crunch Output'!H261</f>
        <v>2.7446475506437851E-2</v>
      </c>
      <c r="E231" s="42">
        <f>'Turkey Crunch Output'!I261</f>
        <v>1.9651356202117099E-2</v>
      </c>
    </row>
    <row r="232" spans="2:5" x14ac:dyDescent="0.35">
      <c r="B232" s="44">
        <v>4</v>
      </c>
      <c r="C232" s="42">
        <f>'Turkey Crunch Output'!G262</f>
        <v>5.0133443531466997E-3</v>
      </c>
      <c r="D232" s="42">
        <f>'Turkey Crunch Output'!H262</f>
        <v>3.862705498061786E-3</v>
      </c>
      <c r="E232" s="42">
        <f>'Turkey Crunch Output'!I262</f>
        <v>6.6955152821148002E-3</v>
      </c>
    </row>
    <row r="233" spans="2:5" x14ac:dyDescent="0.35">
      <c r="B233" s="44">
        <v>3</v>
      </c>
      <c r="C233" s="42">
        <f>'Turkey Crunch Output'!G263</f>
        <v>7.0530812597380099E-3</v>
      </c>
      <c r="D233" s="42">
        <f>'Turkey Crunch Output'!H263</f>
        <v>5.434291730462614E-3</v>
      </c>
      <c r="E233" s="42">
        <f>'Turkey Crunch Output'!I263</f>
        <v>5.4696729676497694E-3</v>
      </c>
    </row>
    <row r="234" spans="2:5" x14ac:dyDescent="0.35">
      <c r="B234" s="44">
        <v>2</v>
      </c>
      <c r="C234" s="42">
        <f>'Turkey Crunch Output'!G264</f>
        <v>0</v>
      </c>
      <c r="D234" s="42">
        <f>'Turkey Crunch Output'!H264</f>
        <v>0</v>
      </c>
      <c r="E234" s="42">
        <f>'Turkey Crunch Output'!I264</f>
        <v>0</v>
      </c>
    </row>
    <row r="235" spans="2:5" x14ac:dyDescent="0.35">
      <c r="B235" s="44">
        <v>1</v>
      </c>
      <c r="C235" s="42">
        <f>'Turkey Crunch Output'!G265</f>
        <v>0</v>
      </c>
      <c r="D235" s="42">
        <f>'Turkey Crunch Output'!H265</f>
        <v>0</v>
      </c>
      <c r="E235" s="42">
        <f>'Turkey Crunch Output'!I265</f>
        <v>0</v>
      </c>
    </row>
    <row r="236" spans="2:5" x14ac:dyDescent="0.35">
      <c r="B236" s="44" t="s">
        <v>204</v>
      </c>
      <c r="C236" s="42">
        <f>'Turkey Crunch Output'!G266</f>
        <v>0</v>
      </c>
      <c r="D236" s="42">
        <f>'Turkey Crunch Output'!H266</f>
        <v>0</v>
      </c>
      <c r="E236" s="42">
        <f>'Turkey Crunch Output'!I266</f>
        <v>5.955801980957528E-3</v>
      </c>
    </row>
    <row r="237" spans="2:5" s="36" customFormat="1" x14ac:dyDescent="0.3">
      <c r="B237" s="56" t="s">
        <v>24</v>
      </c>
      <c r="C237" s="60">
        <f>'Turkey Crunch Output'!G252</f>
        <v>167</v>
      </c>
      <c r="D237" s="60">
        <f>'Turkey Crunch Output'!H252</f>
        <v>214</v>
      </c>
      <c r="E237" s="60">
        <f>'Turkey Crunch Output'!I252</f>
        <v>212</v>
      </c>
    </row>
    <row r="238" spans="2:5" x14ac:dyDescent="0.35">
      <c r="B238" s="27"/>
      <c r="C238" s="83"/>
      <c r="D238" s="83"/>
      <c r="E238" s="83"/>
    </row>
    <row r="239" spans="2:5" x14ac:dyDescent="0.35">
      <c r="B239" s="99" t="s">
        <v>129</v>
      </c>
      <c r="C239" s="82" t="s">
        <v>22</v>
      </c>
      <c r="D239" s="82" t="s">
        <v>22</v>
      </c>
      <c r="E239" s="82" t="s">
        <v>22</v>
      </c>
    </row>
    <row r="240" spans="2:5" x14ac:dyDescent="0.35">
      <c r="B240" s="100"/>
      <c r="C240" s="40" t="s">
        <v>43</v>
      </c>
      <c r="D240" s="40" t="s">
        <v>43</v>
      </c>
      <c r="E240" s="40" t="s">
        <v>43</v>
      </c>
    </row>
    <row r="241" spans="2:5" x14ac:dyDescent="0.35">
      <c r="B241" s="41" t="s">
        <v>336</v>
      </c>
      <c r="C241" s="42" t="s">
        <v>43</v>
      </c>
      <c r="D241" s="42" t="s">
        <v>43</v>
      </c>
      <c r="E241" s="42" t="s">
        <v>43</v>
      </c>
    </row>
    <row r="242" spans="2:5" x14ac:dyDescent="0.35">
      <c r="B242" s="41" t="s">
        <v>194</v>
      </c>
      <c r="C242" s="42" t="s">
        <v>43</v>
      </c>
      <c r="D242" s="42" t="s">
        <v>43</v>
      </c>
      <c r="E242" s="42" t="s">
        <v>43</v>
      </c>
    </row>
    <row r="243" spans="2:5" x14ac:dyDescent="0.35">
      <c r="B243" s="41" t="s">
        <v>195</v>
      </c>
      <c r="C243" s="42" t="s">
        <v>43</v>
      </c>
      <c r="D243" s="42" t="s">
        <v>43</v>
      </c>
      <c r="E243" s="42" t="s">
        <v>43</v>
      </c>
    </row>
    <row r="244" spans="2:5" x14ac:dyDescent="0.35">
      <c r="B244" s="28" t="s">
        <v>196</v>
      </c>
      <c r="C244" s="43" t="s">
        <v>43</v>
      </c>
      <c r="D244" s="43" t="s">
        <v>43</v>
      </c>
      <c r="E244" s="43" t="s">
        <v>43</v>
      </c>
    </row>
    <row r="245" spans="2:5" x14ac:dyDescent="0.35">
      <c r="B245" s="44">
        <v>9</v>
      </c>
      <c r="C245" s="43" t="s">
        <v>43</v>
      </c>
      <c r="D245" s="43" t="s">
        <v>43</v>
      </c>
      <c r="E245" s="43" t="s">
        <v>43</v>
      </c>
    </row>
    <row r="246" spans="2:5" x14ac:dyDescent="0.35">
      <c r="B246" s="44">
        <v>8</v>
      </c>
      <c r="C246" s="43" t="s">
        <v>43</v>
      </c>
      <c r="D246" s="43" t="s">
        <v>43</v>
      </c>
      <c r="E246" s="43" t="s">
        <v>43</v>
      </c>
    </row>
    <row r="247" spans="2:5" x14ac:dyDescent="0.35">
      <c r="B247" s="44">
        <v>7</v>
      </c>
      <c r="C247" s="43" t="s">
        <v>43</v>
      </c>
      <c r="D247" s="43" t="s">
        <v>43</v>
      </c>
      <c r="E247" s="43" t="s">
        <v>43</v>
      </c>
    </row>
    <row r="248" spans="2:5" x14ac:dyDescent="0.35">
      <c r="B248" s="44">
        <v>6</v>
      </c>
      <c r="C248" s="43" t="s">
        <v>43</v>
      </c>
      <c r="D248" s="43" t="s">
        <v>43</v>
      </c>
      <c r="E248" s="43" t="s">
        <v>43</v>
      </c>
    </row>
    <row r="249" spans="2:5" x14ac:dyDescent="0.35">
      <c r="B249" s="44">
        <v>5</v>
      </c>
      <c r="C249" s="43" t="s">
        <v>43</v>
      </c>
      <c r="D249" s="43" t="s">
        <v>43</v>
      </c>
      <c r="E249" s="43" t="s">
        <v>43</v>
      </c>
    </row>
    <row r="250" spans="2:5" x14ac:dyDescent="0.35">
      <c r="B250" s="44">
        <v>4</v>
      </c>
      <c r="C250" s="43" t="s">
        <v>43</v>
      </c>
      <c r="D250" s="43" t="s">
        <v>43</v>
      </c>
      <c r="E250" s="43" t="s">
        <v>43</v>
      </c>
    </row>
    <row r="251" spans="2:5" x14ac:dyDescent="0.35">
      <c r="B251" s="44">
        <v>3</v>
      </c>
      <c r="C251" s="43" t="s">
        <v>43</v>
      </c>
      <c r="D251" s="43" t="s">
        <v>43</v>
      </c>
      <c r="E251" s="43" t="s">
        <v>43</v>
      </c>
    </row>
    <row r="252" spans="2:5" x14ac:dyDescent="0.35">
      <c r="B252" s="44">
        <v>2</v>
      </c>
      <c r="C252" s="43" t="s">
        <v>43</v>
      </c>
      <c r="D252" s="43" t="s">
        <v>43</v>
      </c>
      <c r="E252" s="43" t="s">
        <v>43</v>
      </c>
    </row>
    <row r="253" spans="2:5" x14ac:dyDescent="0.35">
      <c r="B253" s="44">
        <v>1</v>
      </c>
      <c r="C253" s="43" t="s">
        <v>43</v>
      </c>
      <c r="D253" s="43" t="s">
        <v>43</v>
      </c>
      <c r="E253" s="43" t="s">
        <v>43</v>
      </c>
    </row>
    <row r="254" spans="2:5" x14ac:dyDescent="0.35">
      <c r="B254" s="44" t="s">
        <v>204</v>
      </c>
      <c r="C254" s="43" t="s">
        <v>43</v>
      </c>
      <c r="D254" s="43" t="s">
        <v>43</v>
      </c>
      <c r="E254" s="43" t="s">
        <v>43</v>
      </c>
    </row>
    <row r="255" spans="2:5" s="36" customFormat="1" x14ac:dyDescent="0.3">
      <c r="B255" s="56" t="s">
        <v>24</v>
      </c>
      <c r="C255" s="60">
        <f>'Turkey Crunch Output'!G271</f>
        <v>32</v>
      </c>
      <c r="D255" s="60">
        <f>'Turkey Crunch Output'!H271</f>
        <v>35</v>
      </c>
      <c r="E255" s="60">
        <f>'Turkey Crunch Output'!I271</f>
        <v>36</v>
      </c>
    </row>
    <row r="256" spans="2:5" x14ac:dyDescent="0.35">
      <c r="B256" s="27"/>
      <c r="C256" s="83"/>
      <c r="D256" s="83"/>
      <c r="E256" s="83"/>
    </row>
    <row r="257" spans="2:5" x14ac:dyDescent="0.35">
      <c r="B257" s="99" t="s">
        <v>133</v>
      </c>
      <c r="C257" s="82" t="s">
        <v>22</v>
      </c>
      <c r="D257" s="82" t="s">
        <v>22</v>
      </c>
      <c r="E257" s="82" t="s">
        <v>22</v>
      </c>
    </row>
    <row r="258" spans="2:5" x14ac:dyDescent="0.35">
      <c r="B258" s="100"/>
      <c r="C258" s="40" t="s">
        <v>43</v>
      </c>
      <c r="D258" s="40" t="s">
        <v>43</v>
      </c>
      <c r="E258" s="40" t="s">
        <v>43</v>
      </c>
    </row>
    <row r="259" spans="2:5" x14ac:dyDescent="0.35">
      <c r="B259" s="41" t="s">
        <v>336</v>
      </c>
      <c r="C259" s="42" t="s">
        <v>43</v>
      </c>
      <c r="D259" s="42" t="s">
        <v>43</v>
      </c>
      <c r="E259" s="42" t="s">
        <v>43</v>
      </c>
    </row>
    <row r="260" spans="2:5" x14ac:dyDescent="0.35">
      <c r="B260" s="41" t="s">
        <v>194</v>
      </c>
      <c r="C260" s="42" t="s">
        <v>43</v>
      </c>
      <c r="D260" s="42" t="s">
        <v>43</v>
      </c>
      <c r="E260" s="42" t="s">
        <v>43</v>
      </c>
    </row>
    <row r="261" spans="2:5" x14ac:dyDescent="0.35">
      <c r="B261" s="41" t="s">
        <v>195</v>
      </c>
      <c r="C261" s="42" t="s">
        <v>43</v>
      </c>
      <c r="D261" s="42" t="s">
        <v>43</v>
      </c>
      <c r="E261" s="42" t="s">
        <v>43</v>
      </c>
    </row>
    <row r="262" spans="2:5" x14ac:dyDescent="0.35">
      <c r="B262" s="28" t="s">
        <v>196</v>
      </c>
      <c r="C262" s="43" t="s">
        <v>43</v>
      </c>
      <c r="D262" s="43" t="s">
        <v>43</v>
      </c>
      <c r="E262" s="43" t="s">
        <v>43</v>
      </c>
    </row>
    <row r="263" spans="2:5" x14ac:dyDescent="0.35">
      <c r="B263" s="44">
        <v>9</v>
      </c>
      <c r="C263" s="43" t="s">
        <v>43</v>
      </c>
      <c r="D263" s="43" t="s">
        <v>43</v>
      </c>
      <c r="E263" s="43" t="s">
        <v>43</v>
      </c>
    </row>
    <row r="264" spans="2:5" x14ac:dyDescent="0.35">
      <c r="B264" s="44">
        <v>8</v>
      </c>
      <c r="C264" s="43" t="s">
        <v>43</v>
      </c>
      <c r="D264" s="43" t="s">
        <v>43</v>
      </c>
      <c r="E264" s="43" t="s">
        <v>43</v>
      </c>
    </row>
    <row r="265" spans="2:5" x14ac:dyDescent="0.35">
      <c r="B265" s="44">
        <v>7</v>
      </c>
      <c r="C265" s="43" t="s">
        <v>43</v>
      </c>
      <c r="D265" s="43" t="s">
        <v>43</v>
      </c>
      <c r="E265" s="43" t="s">
        <v>43</v>
      </c>
    </row>
    <row r="266" spans="2:5" x14ac:dyDescent="0.35">
      <c r="B266" s="44">
        <v>6</v>
      </c>
      <c r="C266" s="43" t="s">
        <v>43</v>
      </c>
      <c r="D266" s="43" t="s">
        <v>43</v>
      </c>
      <c r="E266" s="43" t="s">
        <v>43</v>
      </c>
    </row>
    <row r="267" spans="2:5" x14ac:dyDescent="0.35">
      <c r="B267" s="44">
        <v>5</v>
      </c>
      <c r="C267" s="43" t="s">
        <v>43</v>
      </c>
      <c r="D267" s="43" t="s">
        <v>43</v>
      </c>
      <c r="E267" s="43" t="s">
        <v>43</v>
      </c>
    </row>
    <row r="268" spans="2:5" x14ac:dyDescent="0.35">
      <c r="B268" s="44">
        <v>4</v>
      </c>
      <c r="C268" s="43" t="s">
        <v>43</v>
      </c>
      <c r="D268" s="43" t="s">
        <v>43</v>
      </c>
      <c r="E268" s="43" t="s">
        <v>43</v>
      </c>
    </row>
    <row r="269" spans="2:5" x14ac:dyDescent="0.35">
      <c r="B269" s="44">
        <v>3</v>
      </c>
      <c r="C269" s="43" t="s">
        <v>43</v>
      </c>
      <c r="D269" s="43" t="s">
        <v>43</v>
      </c>
      <c r="E269" s="43" t="s">
        <v>43</v>
      </c>
    </row>
    <row r="270" spans="2:5" x14ac:dyDescent="0.35">
      <c r="B270" s="44">
        <v>2</v>
      </c>
      <c r="C270" s="43" t="s">
        <v>43</v>
      </c>
      <c r="D270" s="43" t="s">
        <v>43</v>
      </c>
      <c r="E270" s="43" t="s">
        <v>43</v>
      </c>
    </row>
    <row r="271" spans="2:5" x14ac:dyDescent="0.35">
      <c r="B271" s="44">
        <v>1</v>
      </c>
      <c r="C271" s="43" t="s">
        <v>43</v>
      </c>
      <c r="D271" s="43" t="s">
        <v>43</v>
      </c>
      <c r="E271" s="43" t="s">
        <v>43</v>
      </c>
    </row>
    <row r="272" spans="2:5" x14ac:dyDescent="0.35">
      <c r="B272" s="44" t="s">
        <v>204</v>
      </c>
      <c r="C272" s="43" t="s">
        <v>43</v>
      </c>
      <c r="D272" s="43" t="s">
        <v>43</v>
      </c>
      <c r="E272" s="43" t="s">
        <v>43</v>
      </c>
    </row>
    <row r="273" spans="2:5" s="36" customFormat="1" x14ac:dyDescent="0.3">
      <c r="B273" s="56" t="s">
        <v>24</v>
      </c>
      <c r="C273" s="60">
        <f>'Turkey Crunch Output'!G290</f>
        <v>26</v>
      </c>
      <c r="D273" s="60">
        <f>'Turkey Crunch Output'!H290</f>
        <v>28</v>
      </c>
      <c r="E273" s="60">
        <f>'Turkey Crunch Output'!I290</f>
        <v>28</v>
      </c>
    </row>
    <row r="274" spans="2:5" x14ac:dyDescent="0.35">
      <c r="B274" s="27"/>
      <c r="C274" s="83"/>
      <c r="D274" s="83"/>
      <c r="E274" s="83"/>
    </row>
    <row r="275" spans="2:5" x14ac:dyDescent="0.35">
      <c r="B275" s="99" t="s">
        <v>131</v>
      </c>
      <c r="C275" s="82" t="s">
        <v>22</v>
      </c>
      <c r="D275" s="82" t="s">
        <v>22</v>
      </c>
      <c r="E275" s="82" t="s">
        <v>22</v>
      </c>
    </row>
    <row r="276" spans="2:5" x14ac:dyDescent="0.35">
      <c r="B276" s="100"/>
      <c r="C276" s="40" t="s">
        <v>43</v>
      </c>
      <c r="D276" s="40" t="s">
        <v>43</v>
      </c>
      <c r="E276" s="40" t="s">
        <v>43</v>
      </c>
    </row>
    <row r="277" spans="2:5" x14ac:dyDescent="0.35">
      <c r="B277" s="41" t="s">
        <v>336</v>
      </c>
      <c r="C277" s="42" t="s">
        <v>43</v>
      </c>
      <c r="D277" s="42" t="s">
        <v>43</v>
      </c>
      <c r="E277" s="42" t="s">
        <v>43</v>
      </c>
    </row>
    <row r="278" spans="2:5" x14ac:dyDescent="0.35">
      <c r="B278" s="41" t="s">
        <v>194</v>
      </c>
      <c r="C278" s="42" t="s">
        <v>43</v>
      </c>
      <c r="D278" s="42" t="s">
        <v>43</v>
      </c>
      <c r="E278" s="42" t="s">
        <v>43</v>
      </c>
    </row>
    <row r="279" spans="2:5" x14ac:dyDescent="0.35">
      <c r="B279" s="41" t="s">
        <v>195</v>
      </c>
      <c r="C279" s="42" t="s">
        <v>43</v>
      </c>
      <c r="D279" s="42" t="s">
        <v>43</v>
      </c>
      <c r="E279" s="42" t="s">
        <v>43</v>
      </c>
    </row>
    <row r="280" spans="2:5" x14ac:dyDescent="0.35">
      <c r="B280" s="28" t="s">
        <v>196</v>
      </c>
      <c r="C280" s="43" t="s">
        <v>43</v>
      </c>
      <c r="D280" s="43" t="s">
        <v>43</v>
      </c>
      <c r="E280" s="43" t="s">
        <v>43</v>
      </c>
    </row>
    <row r="281" spans="2:5" x14ac:dyDescent="0.35">
      <c r="B281" s="44">
        <v>9</v>
      </c>
      <c r="C281" s="43" t="s">
        <v>43</v>
      </c>
      <c r="D281" s="43" t="s">
        <v>43</v>
      </c>
      <c r="E281" s="43" t="s">
        <v>43</v>
      </c>
    </row>
    <row r="282" spans="2:5" x14ac:dyDescent="0.35">
      <c r="B282" s="44">
        <v>8</v>
      </c>
      <c r="C282" s="43" t="s">
        <v>43</v>
      </c>
      <c r="D282" s="43" t="s">
        <v>43</v>
      </c>
      <c r="E282" s="43" t="s">
        <v>43</v>
      </c>
    </row>
    <row r="283" spans="2:5" x14ac:dyDescent="0.35">
      <c r="B283" s="44">
        <v>7</v>
      </c>
      <c r="C283" s="43" t="s">
        <v>43</v>
      </c>
      <c r="D283" s="43" t="s">
        <v>43</v>
      </c>
      <c r="E283" s="43" t="s">
        <v>43</v>
      </c>
    </row>
    <row r="284" spans="2:5" x14ac:dyDescent="0.35">
      <c r="B284" s="44">
        <v>6</v>
      </c>
      <c r="C284" s="43" t="s">
        <v>43</v>
      </c>
      <c r="D284" s="43" t="s">
        <v>43</v>
      </c>
      <c r="E284" s="43" t="s">
        <v>43</v>
      </c>
    </row>
    <row r="285" spans="2:5" x14ac:dyDescent="0.35">
      <c r="B285" s="44">
        <v>5</v>
      </c>
      <c r="C285" s="43" t="s">
        <v>43</v>
      </c>
      <c r="D285" s="43" t="s">
        <v>43</v>
      </c>
      <c r="E285" s="43" t="s">
        <v>43</v>
      </c>
    </row>
    <row r="286" spans="2:5" x14ac:dyDescent="0.35">
      <c r="B286" s="44">
        <v>4</v>
      </c>
      <c r="C286" s="43" t="s">
        <v>43</v>
      </c>
      <c r="D286" s="43" t="s">
        <v>43</v>
      </c>
      <c r="E286" s="43" t="s">
        <v>43</v>
      </c>
    </row>
    <row r="287" spans="2:5" x14ac:dyDescent="0.35">
      <c r="B287" s="44">
        <v>3</v>
      </c>
      <c r="C287" s="43" t="s">
        <v>43</v>
      </c>
      <c r="D287" s="43" t="s">
        <v>43</v>
      </c>
      <c r="E287" s="43" t="s">
        <v>43</v>
      </c>
    </row>
    <row r="288" spans="2:5" x14ac:dyDescent="0.35">
      <c r="B288" s="44">
        <v>2</v>
      </c>
      <c r="C288" s="43" t="s">
        <v>43</v>
      </c>
      <c r="D288" s="43" t="s">
        <v>43</v>
      </c>
      <c r="E288" s="43" t="s">
        <v>43</v>
      </c>
    </row>
    <row r="289" spans="2:5" x14ac:dyDescent="0.35">
      <c r="B289" s="44">
        <v>1</v>
      </c>
      <c r="C289" s="43" t="s">
        <v>43</v>
      </c>
      <c r="D289" s="43" t="s">
        <v>43</v>
      </c>
      <c r="E289" s="43" t="s">
        <v>43</v>
      </c>
    </row>
    <row r="290" spans="2:5" x14ac:dyDescent="0.35">
      <c r="B290" s="44" t="s">
        <v>204</v>
      </c>
      <c r="C290" s="43" t="s">
        <v>43</v>
      </c>
      <c r="D290" s="43" t="s">
        <v>43</v>
      </c>
      <c r="E290" s="43" t="s">
        <v>43</v>
      </c>
    </row>
    <row r="291" spans="2:5" s="36" customFormat="1" ht="15" thickBot="1" x14ac:dyDescent="0.35">
      <c r="B291" s="57" t="s">
        <v>24</v>
      </c>
      <c r="C291" s="60">
        <f>'Turkey Crunch Output'!G309</f>
        <v>40</v>
      </c>
      <c r="D291" s="60">
        <f>'Turkey Crunch Output'!H309</f>
        <v>45</v>
      </c>
      <c r="E291" s="60">
        <f>'Turkey Crunch Output'!I309</f>
        <v>51</v>
      </c>
    </row>
  </sheetData>
  <conditionalFormatting sqref="C21:E21 C39:E39 C57:E57 C75:E75 C93:E93 C111:E111 C129:E129 C147:E147 C165:E165 C183:E183 C201:E201 C219:E219 C237:E237 C255:E255 C273:E273 C291:E291">
    <cfRule type="expression" dxfId="0" priority="14">
      <formula>C21&lt;100</formula>
    </cfRule>
  </conditionalFormatting>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F3AEC-A1AB-471D-96BF-AE4295519880}">
  <dimension ref="A1:I385"/>
  <sheetViews>
    <sheetView topLeftCell="A320" workbookViewId="0">
      <selection activeCell="M3" sqref="M3"/>
    </sheetView>
  </sheetViews>
  <sheetFormatPr defaultRowHeight="14.5" x14ac:dyDescent="0.35"/>
  <cols>
    <col min="1" max="1" width="25.7265625" customWidth="1"/>
    <col min="2" max="9" width="12.7265625" customWidth="1"/>
  </cols>
  <sheetData>
    <row r="1" spans="1:9" ht="26" x14ac:dyDescent="0.6">
      <c r="A1" s="9" t="s">
        <v>435</v>
      </c>
    </row>
    <row r="2" spans="1:9" x14ac:dyDescent="0.35">
      <c r="A2" s="10" t="s">
        <v>471</v>
      </c>
    </row>
    <row r="3" spans="1:9" ht="116" x14ac:dyDescent="0.35">
      <c r="A3" s="11" t="s">
        <v>472</v>
      </c>
    </row>
    <row r="4" spans="1:9" x14ac:dyDescent="0.35">
      <c r="C4" s="187"/>
      <c r="D4" s="187"/>
      <c r="E4" s="187"/>
      <c r="F4" s="187"/>
      <c r="G4" s="170"/>
      <c r="H4" s="170"/>
      <c r="I4" s="170"/>
    </row>
    <row r="5" spans="1:9" ht="29" x14ac:dyDescent="0.35">
      <c r="A5" s="12" t="s">
        <v>473</v>
      </c>
      <c r="B5" s="13" t="s">
        <v>208</v>
      </c>
      <c r="C5" s="13" t="s">
        <v>458</v>
      </c>
      <c r="D5" s="13" t="s">
        <v>466</v>
      </c>
      <c r="E5" s="13" t="s">
        <v>467</v>
      </c>
      <c r="F5" s="13" t="s">
        <v>468</v>
      </c>
      <c r="G5" s="13" t="s">
        <v>636</v>
      </c>
      <c r="H5" s="13" t="s">
        <v>641</v>
      </c>
      <c r="I5" s="13" t="s">
        <v>647</v>
      </c>
    </row>
    <row r="6" spans="1:9" x14ac:dyDescent="0.35">
      <c r="A6" s="14" t="s">
        <v>209</v>
      </c>
      <c r="B6" s="15">
        <v>128</v>
      </c>
      <c r="C6" s="15">
        <v>25</v>
      </c>
      <c r="D6" s="15">
        <v>57</v>
      </c>
      <c r="E6" s="15">
        <v>82</v>
      </c>
      <c r="F6" s="15">
        <v>128</v>
      </c>
      <c r="G6" s="15">
        <v>162</v>
      </c>
      <c r="H6" s="15">
        <v>190</v>
      </c>
      <c r="I6" s="15">
        <v>195</v>
      </c>
    </row>
    <row r="7" spans="1:9" x14ac:dyDescent="0.35">
      <c r="A7" s="16" t="s">
        <v>336</v>
      </c>
      <c r="B7" s="17">
        <v>0.72987525344583071</v>
      </c>
      <c r="C7" s="17">
        <v>0.7098801688210804</v>
      </c>
      <c r="D7" s="17">
        <v>0.70922269018221429</v>
      </c>
      <c r="E7" s="17">
        <v>0.70095410625956467</v>
      </c>
      <c r="F7" s="17">
        <v>0.72987525344583082</v>
      </c>
      <c r="G7" s="17">
        <v>0.74052452268444779</v>
      </c>
      <c r="H7" s="17">
        <v>0.7232740182886549</v>
      </c>
      <c r="I7" s="17">
        <v>0.72644116277122239</v>
      </c>
    </row>
    <row r="8" spans="1:9" x14ac:dyDescent="0.35">
      <c r="A8" s="16" t="s">
        <v>194</v>
      </c>
      <c r="B8" s="17">
        <v>0.1709158553156391</v>
      </c>
      <c r="C8" s="17">
        <v>0.26331383111448042</v>
      </c>
      <c r="D8" s="17">
        <v>0.18497527662574931</v>
      </c>
      <c r="E8" s="17">
        <v>0.17866732179921299</v>
      </c>
      <c r="F8" s="17">
        <v>0.17091585531563919</v>
      </c>
      <c r="G8" s="17">
        <v>0.18235609111019241</v>
      </c>
      <c r="H8" s="17">
        <v>0.19997647526564091</v>
      </c>
      <c r="I8" s="17">
        <v>0.18277610170707401</v>
      </c>
    </row>
    <row r="9" spans="1:9" x14ac:dyDescent="0.35">
      <c r="A9" s="16" t="s">
        <v>195</v>
      </c>
      <c r="B9" s="17">
        <v>9.9208891238530036E-2</v>
      </c>
      <c r="C9" s="17">
        <v>2.6806000064439318E-2</v>
      </c>
      <c r="D9" s="17">
        <v>0.10580203319203629</v>
      </c>
      <c r="E9" s="17">
        <v>0.1203785719412223</v>
      </c>
      <c r="F9" s="17">
        <v>9.9208891238530064E-2</v>
      </c>
      <c r="G9" s="17">
        <v>7.7119386205360019E-2</v>
      </c>
      <c r="H9" s="17">
        <v>7.6749506445704399E-2</v>
      </c>
      <c r="I9" s="17">
        <v>9.078273552170367E-2</v>
      </c>
    </row>
    <row r="10" spans="1:9" x14ac:dyDescent="0.35">
      <c r="A10" s="14" t="s">
        <v>210</v>
      </c>
      <c r="B10" s="18">
        <v>0.48278287902921357</v>
      </c>
      <c r="C10" s="18">
        <v>0.49737278401935758</v>
      </c>
      <c r="D10" s="18">
        <v>0.50167550863576205</v>
      </c>
      <c r="E10" s="18">
        <v>0.47191942993275932</v>
      </c>
      <c r="F10" s="18">
        <v>0.48278287902921357</v>
      </c>
      <c r="G10" s="18">
        <v>0.47895658538261421</v>
      </c>
      <c r="H10" s="25">
        <v>0.48965942488304359</v>
      </c>
      <c r="I10" s="18">
        <v>0.48413030346364738</v>
      </c>
    </row>
    <row r="11" spans="1:9" x14ac:dyDescent="0.35">
      <c r="A11" s="14" t="s">
        <v>197</v>
      </c>
      <c r="B11" s="18">
        <v>0.24709237441661711</v>
      </c>
      <c r="C11" s="18">
        <v>0.2125073848017229</v>
      </c>
      <c r="D11" s="18">
        <v>0.20754718154645219</v>
      </c>
      <c r="E11" s="18">
        <v>0.2290346763268053</v>
      </c>
      <c r="F11" s="18">
        <v>0.24709237441661719</v>
      </c>
      <c r="G11" s="18">
        <v>0.26156793730183359</v>
      </c>
      <c r="H11" s="18">
        <v>0.23361459340561119</v>
      </c>
      <c r="I11" s="18">
        <v>0.2423108593075749</v>
      </c>
    </row>
    <row r="12" spans="1:9" x14ac:dyDescent="0.35">
      <c r="A12" s="14" t="s">
        <v>198</v>
      </c>
      <c r="B12" s="18">
        <v>0.13084131660154399</v>
      </c>
      <c r="C12" s="18">
        <v>0.20835845162292771</v>
      </c>
      <c r="D12" s="18">
        <v>0.1329045177651644</v>
      </c>
      <c r="E12" s="18">
        <v>0.12971927809016831</v>
      </c>
      <c r="F12" s="18">
        <v>0.13084131660154399</v>
      </c>
      <c r="G12" s="25">
        <v>0.1389109350254995</v>
      </c>
      <c r="H12" s="18">
        <v>0.16294098612375171</v>
      </c>
      <c r="I12" s="18">
        <v>0.13959932943683989</v>
      </c>
    </row>
    <row r="13" spans="1:9" x14ac:dyDescent="0.35">
      <c r="A13" s="14" t="s">
        <v>199</v>
      </c>
      <c r="B13" s="18">
        <v>4.0074538714095102E-2</v>
      </c>
      <c r="C13" s="18">
        <v>5.4955379491552631E-2</v>
      </c>
      <c r="D13" s="18">
        <v>5.2070758860584931E-2</v>
      </c>
      <c r="E13" s="18">
        <v>4.8948043709044722E-2</v>
      </c>
      <c r="F13" s="18">
        <v>4.0074538714095102E-2</v>
      </c>
      <c r="G13" s="18">
        <v>4.3445156084692953E-2</v>
      </c>
      <c r="H13" s="18">
        <v>3.7035489141889109E-2</v>
      </c>
      <c r="I13" s="18">
        <v>4.3176772270234018E-2</v>
      </c>
    </row>
    <row r="14" spans="1:9" x14ac:dyDescent="0.35">
      <c r="A14" s="14" t="s">
        <v>200</v>
      </c>
      <c r="B14" s="18">
        <v>3.3522376023482819E-2</v>
      </c>
      <c r="C14" s="18">
        <v>2.6806000064439318E-2</v>
      </c>
      <c r="D14" s="18">
        <v>1.0493082428932651E-2</v>
      </c>
      <c r="E14" s="18">
        <v>2.9691602733986949E-2</v>
      </c>
      <c r="F14" s="18">
        <v>3.3522376023482833E-2</v>
      </c>
      <c r="G14" s="18">
        <v>2.605840092356804E-2</v>
      </c>
      <c r="H14" s="18">
        <v>2.7429577364260681E-2</v>
      </c>
      <c r="I14" s="18">
        <v>3.2711714556236317E-2</v>
      </c>
    </row>
    <row r="15" spans="1:9" x14ac:dyDescent="0.35">
      <c r="A15" s="14" t="s">
        <v>201</v>
      </c>
      <c r="B15" s="18">
        <v>5.6846578164362359E-2</v>
      </c>
      <c r="C15" s="18">
        <v>0</v>
      </c>
      <c r="D15" s="18">
        <v>7.6040934712602995E-2</v>
      </c>
      <c r="E15" s="18">
        <v>7.7244561656050564E-2</v>
      </c>
      <c r="F15" s="18">
        <v>5.6846578164362373E-2</v>
      </c>
      <c r="G15" s="25">
        <v>4.418931772324889E-2</v>
      </c>
      <c r="H15" s="18">
        <v>3.7669861135646521E-2</v>
      </c>
      <c r="I15" s="18">
        <v>4.6893930080804842E-2</v>
      </c>
    </row>
    <row r="16" spans="1:9" x14ac:dyDescent="0.35">
      <c r="A16" s="14" t="s">
        <v>202</v>
      </c>
      <c r="B16" s="18">
        <v>0</v>
      </c>
      <c r="C16" s="18">
        <v>0</v>
      </c>
      <c r="D16" s="18">
        <v>0</v>
      </c>
      <c r="E16" s="18">
        <v>0</v>
      </c>
      <c r="F16" s="18">
        <v>0</v>
      </c>
      <c r="G16" s="18">
        <v>0</v>
      </c>
      <c r="H16" s="18">
        <v>0</v>
      </c>
      <c r="I16" s="18">
        <v>0</v>
      </c>
    </row>
    <row r="17" spans="1:9" x14ac:dyDescent="0.35">
      <c r="A17" s="14" t="s">
        <v>211</v>
      </c>
      <c r="B17" s="18">
        <v>0</v>
      </c>
      <c r="C17" s="18">
        <v>0</v>
      </c>
      <c r="D17" s="18">
        <v>0</v>
      </c>
      <c r="E17" s="18">
        <v>0</v>
      </c>
      <c r="F17" s="18">
        <v>0</v>
      </c>
      <c r="G17" s="18">
        <v>0</v>
      </c>
      <c r="H17" s="18">
        <v>0</v>
      </c>
      <c r="I17" s="18">
        <v>0</v>
      </c>
    </row>
    <row r="18" spans="1:9" x14ac:dyDescent="0.35">
      <c r="A18" s="14" t="s">
        <v>212</v>
      </c>
      <c r="B18" s="18">
        <v>0</v>
      </c>
      <c r="C18" s="18">
        <v>0</v>
      </c>
      <c r="D18" s="18">
        <v>0</v>
      </c>
      <c r="E18" s="18">
        <v>0</v>
      </c>
      <c r="F18" s="18">
        <v>0</v>
      </c>
      <c r="G18" s="18">
        <v>0</v>
      </c>
      <c r="H18" s="18">
        <v>0</v>
      </c>
      <c r="I18" s="18">
        <v>0</v>
      </c>
    </row>
    <row r="19" spans="1:9" x14ac:dyDescent="0.35">
      <c r="A19" s="14" t="s">
        <v>203</v>
      </c>
      <c r="B19" s="18">
        <v>0</v>
      </c>
      <c r="C19" s="18">
        <v>0</v>
      </c>
      <c r="D19" s="18">
        <v>0</v>
      </c>
      <c r="E19" s="18">
        <v>0</v>
      </c>
      <c r="F19" s="18">
        <v>0</v>
      </c>
      <c r="G19" s="18">
        <v>0</v>
      </c>
      <c r="H19" s="18">
        <v>0</v>
      </c>
      <c r="I19" s="18">
        <v>0</v>
      </c>
    </row>
    <row r="20" spans="1:9" x14ac:dyDescent="0.35">
      <c r="A20" s="14" t="s">
        <v>204</v>
      </c>
      <c r="B20" s="18">
        <v>8.8399370506848565E-3</v>
      </c>
      <c r="C20" s="18">
        <v>0</v>
      </c>
      <c r="D20" s="18">
        <v>1.92680160505007E-2</v>
      </c>
      <c r="E20" s="18">
        <v>1.344240755118477E-2</v>
      </c>
      <c r="F20" s="18">
        <v>8.8399370506848582E-3</v>
      </c>
      <c r="G20" s="18">
        <v>6.87166755854309E-3</v>
      </c>
      <c r="H20" s="18">
        <v>1.1650067945797199E-2</v>
      </c>
      <c r="I20" s="18">
        <v>1.11770908846625E-2</v>
      </c>
    </row>
    <row r="21" spans="1:9" x14ac:dyDescent="0.35">
      <c r="A21" s="14" t="s">
        <v>213</v>
      </c>
      <c r="B21" s="1">
        <v>63.066636220730082</v>
      </c>
      <c r="C21" s="1">
        <v>68.307416875664089</v>
      </c>
      <c r="D21" s="1">
        <v>60.342065699017787</v>
      </c>
      <c r="E21" s="1">
        <v>58.057553431834243</v>
      </c>
      <c r="F21" s="1">
        <v>63.066636220730082</v>
      </c>
      <c r="G21" s="1">
        <v>66.340513647908764</v>
      </c>
      <c r="H21" s="1">
        <v>64.652451184295032</v>
      </c>
      <c r="I21" s="1">
        <v>63.565842724951878</v>
      </c>
    </row>
    <row r="23" spans="1:9" x14ac:dyDescent="0.35">
      <c r="C23" s="187"/>
      <c r="D23" s="187"/>
      <c r="E23" s="187"/>
      <c r="F23" s="187"/>
      <c r="G23" s="170"/>
      <c r="H23" s="170"/>
      <c r="I23" s="170"/>
    </row>
    <row r="24" spans="1:9" ht="29" x14ac:dyDescent="0.35">
      <c r="A24" s="12" t="s">
        <v>601</v>
      </c>
      <c r="B24" s="13" t="s">
        <v>208</v>
      </c>
      <c r="C24" s="13" t="s">
        <v>458</v>
      </c>
      <c r="D24" s="13" t="s">
        <v>466</v>
      </c>
      <c r="E24" s="13" t="s">
        <v>467</v>
      </c>
      <c r="F24" s="13" t="s">
        <v>468</v>
      </c>
      <c r="G24" s="13" t="s">
        <v>636</v>
      </c>
      <c r="H24" s="13" t="s">
        <v>641</v>
      </c>
      <c r="I24" s="13" t="s">
        <v>647</v>
      </c>
    </row>
    <row r="25" spans="1:9" x14ac:dyDescent="0.35">
      <c r="A25" s="14" t="s">
        <v>209</v>
      </c>
      <c r="B25" s="15">
        <v>311</v>
      </c>
      <c r="C25" s="15">
        <v>65</v>
      </c>
      <c r="D25" s="15">
        <v>153</v>
      </c>
      <c r="E25" s="15">
        <v>239</v>
      </c>
      <c r="F25" s="15">
        <v>311</v>
      </c>
      <c r="G25" s="15">
        <v>396</v>
      </c>
      <c r="H25" s="15">
        <v>467</v>
      </c>
      <c r="I25" s="15">
        <v>475</v>
      </c>
    </row>
    <row r="26" spans="1:9" x14ac:dyDescent="0.35">
      <c r="A26" s="16" t="s">
        <v>336</v>
      </c>
      <c r="B26" s="17">
        <v>0.6840700964697608</v>
      </c>
      <c r="C26" s="17">
        <v>0.62696576074970034</v>
      </c>
      <c r="D26" s="155">
        <v>0.61870501701395397</v>
      </c>
      <c r="E26" s="17">
        <v>0.67188413169821737</v>
      </c>
      <c r="F26" s="17">
        <v>0.6840700964697608</v>
      </c>
      <c r="G26" s="17">
        <v>0.68683675608056882</v>
      </c>
      <c r="H26" s="17">
        <v>0.68494659662674251</v>
      </c>
      <c r="I26" s="17">
        <v>0.68686640043177483</v>
      </c>
    </row>
    <row r="27" spans="1:9" x14ac:dyDescent="0.35">
      <c r="A27" s="16" t="s">
        <v>194</v>
      </c>
      <c r="B27" s="17">
        <v>0.23561824611621199</v>
      </c>
      <c r="C27" s="17">
        <v>0.2297508424390303</v>
      </c>
      <c r="D27" s="17">
        <v>0.2518245208298055</v>
      </c>
      <c r="E27" s="17">
        <v>0.24184544886455739</v>
      </c>
      <c r="F27" s="17">
        <v>0.2356182461162121</v>
      </c>
      <c r="G27" s="17">
        <v>0.2225126992891418</v>
      </c>
      <c r="H27" s="17">
        <v>0.2315502670868412</v>
      </c>
      <c r="I27" s="17">
        <v>0.23932409695447121</v>
      </c>
    </row>
    <row r="28" spans="1:9" x14ac:dyDescent="0.35">
      <c r="A28" s="16" t="s">
        <v>195</v>
      </c>
      <c r="B28" s="17">
        <v>8.0311657414027321E-2</v>
      </c>
      <c r="C28" s="149">
        <v>0.14328339681126939</v>
      </c>
      <c r="D28" s="151">
        <v>0.1294704621562407</v>
      </c>
      <c r="E28" s="17">
        <v>8.627041943722509E-2</v>
      </c>
      <c r="F28" s="17">
        <v>8.0311657414027321E-2</v>
      </c>
      <c r="G28" s="17">
        <v>9.0650544630289501E-2</v>
      </c>
      <c r="H28" s="17">
        <v>8.3503136286416271E-2</v>
      </c>
      <c r="I28" s="154">
        <v>7.3809502613754047E-2</v>
      </c>
    </row>
    <row r="29" spans="1:9" x14ac:dyDescent="0.35">
      <c r="A29" s="14" t="s">
        <v>210</v>
      </c>
      <c r="B29" s="18">
        <v>0.46362626288624981</v>
      </c>
      <c r="C29" s="18">
        <v>0.38455924736116942</v>
      </c>
      <c r="D29" s="24">
        <v>0.37441913718479558</v>
      </c>
      <c r="E29" s="18">
        <v>0.44378927531261952</v>
      </c>
      <c r="F29" s="18">
        <v>0.46362626288624958</v>
      </c>
      <c r="G29" s="18">
        <v>0.47554433978754951</v>
      </c>
      <c r="H29" s="18">
        <v>0.4831244793507663</v>
      </c>
      <c r="I29" s="20">
        <v>0.50251498234515068</v>
      </c>
    </row>
    <row r="30" spans="1:9" x14ac:dyDescent="0.35">
      <c r="A30" s="14" t="s">
        <v>197</v>
      </c>
      <c r="B30" s="18">
        <v>0.22044383358351111</v>
      </c>
      <c r="C30" s="18">
        <v>0.24240651338853089</v>
      </c>
      <c r="D30" s="18">
        <v>0.24428587982915839</v>
      </c>
      <c r="E30" s="18">
        <v>0.2280948563855979</v>
      </c>
      <c r="F30" s="18">
        <v>0.22044383358351111</v>
      </c>
      <c r="G30" s="18">
        <v>0.2112924162930194</v>
      </c>
      <c r="H30" s="18">
        <v>0.20182211727597621</v>
      </c>
      <c r="I30" s="18">
        <v>0.184351418086624</v>
      </c>
    </row>
    <row r="31" spans="1:9" x14ac:dyDescent="0.35">
      <c r="A31" s="14" t="s">
        <v>198</v>
      </c>
      <c r="B31" s="18">
        <v>0.15402534507786819</v>
      </c>
      <c r="C31" s="18">
        <v>0.1618161273381063</v>
      </c>
      <c r="D31" s="18">
        <v>0.1574791459187741</v>
      </c>
      <c r="E31" s="18">
        <v>0.15227529049295149</v>
      </c>
      <c r="F31" s="18">
        <v>0.15402534507786839</v>
      </c>
      <c r="G31" s="18">
        <v>0.14059712919146919</v>
      </c>
      <c r="H31" s="18">
        <v>0.1448854706202303</v>
      </c>
      <c r="I31" s="18">
        <v>0.15072920713503049</v>
      </c>
    </row>
    <row r="32" spans="1:9" x14ac:dyDescent="0.35">
      <c r="A32" s="14" t="s">
        <v>199</v>
      </c>
      <c r="B32" s="18">
        <v>8.1592901038343713E-2</v>
      </c>
      <c r="C32" s="18">
        <v>6.7934715100923984E-2</v>
      </c>
      <c r="D32" s="18">
        <v>9.4345374911031329E-2</v>
      </c>
      <c r="E32" s="18">
        <v>8.9570158371605951E-2</v>
      </c>
      <c r="F32" s="18">
        <v>8.1592901038343726E-2</v>
      </c>
      <c r="G32" s="18">
        <v>8.1915570097672544E-2</v>
      </c>
      <c r="H32" s="18">
        <v>8.6664796466610877E-2</v>
      </c>
      <c r="I32" s="18">
        <v>8.859488981944065E-2</v>
      </c>
    </row>
    <row r="33" spans="1:9" x14ac:dyDescent="0.35">
      <c r="A33" s="14" t="s">
        <v>200</v>
      </c>
      <c r="B33" s="18">
        <v>2.7313875465541149E-2</v>
      </c>
      <c r="C33" s="20">
        <v>5.7327835666981117E-2</v>
      </c>
      <c r="D33" s="19">
        <v>4.5776485733435422E-2</v>
      </c>
      <c r="E33" s="18">
        <v>2.9030433505398259E-2</v>
      </c>
      <c r="F33" s="18">
        <v>2.7313875465541149E-2</v>
      </c>
      <c r="G33" s="25">
        <v>3.7286575520681882E-2</v>
      </c>
      <c r="H33" s="18">
        <v>3.5524278740406839E-2</v>
      </c>
      <c r="I33" s="18">
        <v>3.085667111389254E-2</v>
      </c>
    </row>
    <row r="34" spans="1:9" x14ac:dyDescent="0.35">
      <c r="A34" s="14" t="s">
        <v>201</v>
      </c>
      <c r="B34" s="18">
        <v>3.9385588384915272E-2</v>
      </c>
      <c r="C34" s="19">
        <v>8.5955561144288331E-2</v>
      </c>
      <c r="D34" s="19">
        <v>6.254503035380736E-2</v>
      </c>
      <c r="E34" s="18">
        <v>3.9664673154521227E-2</v>
      </c>
      <c r="F34" s="18">
        <v>3.9385588384915272E-2</v>
      </c>
      <c r="G34" s="18">
        <v>3.5927457055252472E-2</v>
      </c>
      <c r="H34" s="18">
        <v>3.3179912652894453E-2</v>
      </c>
      <c r="I34" s="24">
        <v>2.107638105669727E-2</v>
      </c>
    </row>
    <row r="35" spans="1:9" x14ac:dyDescent="0.35">
      <c r="A35" s="14" t="s">
        <v>202</v>
      </c>
      <c r="B35" s="18">
        <v>0</v>
      </c>
      <c r="C35" s="18">
        <v>0</v>
      </c>
      <c r="D35" s="18">
        <v>0</v>
      </c>
      <c r="E35" s="18">
        <v>0</v>
      </c>
      <c r="F35" s="18">
        <v>0</v>
      </c>
      <c r="G35" s="18">
        <v>2.026670261149009E-3</v>
      </c>
      <c r="H35" s="18">
        <v>1.7201021292425199E-3</v>
      </c>
      <c r="I35" s="18">
        <v>1.6856014656968881E-3</v>
      </c>
    </row>
    <row r="36" spans="1:9" x14ac:dyDescent="0.35">
      <c r="A36" s="14" t="s">
        <v>211</v>
      </c>
      <c r="B36" s="18">
        <v>0</v>
      </c>
      <c r="C36" s="18">
        <v>0</v>
      </c>
      <c r="D36" s="18">
        <v>0</v>
      </c>
      <c r="E36" s="18">
        <v>0</v>
      </c>
      <c r="F36" s="18">
        <v>0</v>
      </c>
      <c r="G36" s="18">
        <v>0</v>
      </c>
      <c r="H36" s="18">
        <v>0</v>
      </c>
      <c r="I36" s="18">
        <v>1.3905274944181899E-3</v>
      </c>
    </row>
    <row r="37" spans="1:9" x14ac:dyDescent="0.35">
      <c r="A37" s="14" t="s">
        <v>212</v>
      </c>
      <c r="B37" s="18">
        <v>6.4044384867422786E-3</v>
      </c>
      <c r="C37" s="18">
        <v>0</v>
      </c>
      <c r="D37" s="18">
        <v>6.4744263926972984E-3</v>
      </c>
      <c r="E37" s="18">
        <v>8.2690573743194155E-3</v>
      </c>
      <c r="F37" s="18">
        <v>6.4044384867422803E-3</v>
      </c>
      <c r="G37" s="18">
        <v>4.9408598141651577E-3</v>
      </c>
      <c r="H37" s="18">
        <v>4.1934712565506096E-3</v>
      </c>
      <c r="I37" s="18">
        <v>7.4261444014686951E-3</v>
      </c>
    </row>
    <row r="38" spans="1:9" x14ac:dyDescent="0.35">
      <c r="A38" s="14" t="s">
        <v>203</v>
      </c>
      <c r="B38" s="18">
        <v>0</v>
      </c>
      <c r="C38" s="18">
        <v>0</v>
      </c>
      <c r="D38" s="18">
        <v>0</v>
      </c>
      <c r="E38" s="18">
        <v>0</v>
      </c>
      <c r="F38" s="18">
        <v>0</v>
      </c>
      <c r="G38" s="18">
        <v>0</v>
      </c>
      <c r="H38" s="18">
        <v>0</v>
      </c>
      <c r="I38" s="18">
        <v>0</v>
      </c>
    </row>
    <row r="39" spans="1:9" x14ac:dyDescent="0.35">
      <c r="A39" s="14" t="s">
        <v>204</v>
      </c>
      <c r="B39" s="18">
        <v>7.2077550768286326E-3</v>
      </c>
      <c r="C39" s="18">
        <v>0</v>
      </c>
      <c r="D39" s="18">
        <v>1.467451967630062E-2</v>
      </c>
      <c r="E39" s="18">
        <v>9.3062554029861872E-3</v>
      </c>
      <c r="F39" s="18">
        <v>7.2077550768286343E-3</v>
      </c>
      <c r="G39" s="18">
        <v>1.046898197904097E-2</v>
      </c>
      <c r="H39" s="18">
        <v>8.8853715073218559E-3</v>
      </c>
      <c r="I39" s="18">
        <v>1.137417708158046E-2</v>
      </c>
    </row>
    <row r="40" spans="1:9" x14ac:dyDescent="0.35">
      <c r="A40" s="14" t="s">
        <v>213</v>
      </c>
      <c r="B40" s="1">
        <v>60.375843905573348</v>
      </c>
      <c r="C40" s="1">
        <v>48.368236393843077</v>
      </c>
      <c r="D40" s="1">
        <v>48.923455485771321</v>
      </c>
      <c r="E40" s="1">
        <v>58.561371226099233</v>
      </c>
      <c r="F40" s="1">
        <v>60.375843905573333</v>
      </c>
      <c r="G40" s="1">
        <v>59.61862114502793</v>
      </c>
      <c r="H40" s="1">
        <v>60.144346034032637</v>
      </c>
      <c r="I40" s="1">
        <v>61.30568978180208</v>
      </c>
    </row>
    <row r="42" spans="1:9" x14ac:dyDescent="0.35">
      <c r="C42" s="187"/>
      <c r="D42" s="187"/>
      <c r="E42" s="187"/>
      <c r="F42" s="187"/>
      <c r="G42" s="170"/>
      <c r="H42" s="170"/>
      <c r="I42" s="170"/>
    </row>
    <row r="43" spans="1:9" ht="29" x14ac:dyDescent="0.35">
      <c r="A43" s="12" t="s">
        <v>602</v>
      </c>
      <c r="B43" s="13" t="s">
        <v>208</v>
      </c>
      <c r="C43" s="13" t="s">
        <v>458</v>
      </c>
      <c r="D43" s="13" t="s">
        <v>466</v>
      </c>
      <c r="E43" s="13" t="s">
        <v>467</v>
      </c>
      <c r="F43" s="13" t="s">
        <v>468</v>
      </c>
      <c r="G43" s="13" t="s">
        <v>636</v>
      </c>
      <c r="H43" s="13" t="s">
        <v>641</v>
      </c>
      <c r="I43" s="13" t="s">
        <v>647</v>
      </c>
    </row>
    <row r="44" spans="1:9" x14ac:dyDescent="0.35">
      <c r="A44" s="14" t="s">
        <v>209</v>
      </c>
      <c r="B44" s="15">
        <v>435</v>
      </c>
      <c r="C44" s="15">
        <v>110</v>
      </c>
      <c r="D44" s="15">
        <v>223</v>
      </c>
      <c r="E44" s="15">
        <v>323</v>
      </c>
      <c r="F44" s="15">
        <v>435</v>
      </c>
      <c r="G44" s="15">
        <v>520</v>
      </c>
      <c r="H44" s="15">
        <v>611</v>
      </c>
      <c r="I44" s="15">
        <v>605</v>
      </c>
    </row>
    <row r="45" spans="1:9" x14ac:dyDescent="0.35">
      <c r="A45" s="16" t="s">
        <v>336</v>
      </c>
      <c r="B45" s="17">
        <v>0.72728804099347266</v>
      </c>
      <c r="C45" s="153">
        <v>0.79294801515285473</v>
      </c>
      <c r="D45" s="17">
        <v>0.75701979965607558</v>
      </c>
      <c r="E45" s="17">
        <v>0.74631087054049949</v>
      </c>
      <c r="F45" s="17">
        <v>0.72728804099347277</v>
      </c>
      <c r="G45" s="17">
        <v>0.69769312097901126</v>
      </c>
      <c r="H45" s="17">
        <v>0.7023486760741664</v>
      </c>
      <c r="I45" s="155">
        <v>0.67737015659109023</v>
      </c>
    </row>
    <row r="46" spans="1:9" x14ac:dyDescent="0.35">
      <c r="A46" s="16" t="s">
        <v>194</v>
      </c>
      <c r="B46" s="17">
        <v>0.21650866944755251</v>
      </c>
      <c r="C46" s="17">
        <v>0.1666194846164181</v>
      </c>
      <c r="D46" s="17">
        <v>0.18705982197833279</v>
      </c>
      <c r="E46" s="17">
        <v>0.2049183756996886</v>
      </c>
      <c r="F46" s="17">
        <v>0.21650866944755251</v>
      </c>
      <c r="G46" s="17">
        <v>0.2273837846978396</v>
      </c>
      <c r="H46" s="17">
        <v>0.2249744711921578</v>
      </c>
      <c r="I46" s="153">
        <v>0.2462155211713434</v>
      </c>
    </row>
    <row r="47" spans="1:9" x14ac:dyDescent="0.35">
      <c r="A47" s="16" t="s">
        <v>195</v>
      </c>
      <c r="B47" s="17">
        <v>5.6203289558974821E-2</v>
      </c>
      <c r="C47" s="17">
        <v>4.0432500230727197E-2</v>
      </c>
      <c r="D47" s="17">
        <v>5.5920378365591578E-2</v>
      </c>
      <c r="E47" s="17">
        <v>4.8770753759812012E-2</v>
      </c>
      <c r="F47" s="17">
        <v>5.6203289558974828E-2</v>
      </c>
      <c r="G47" s="17">
        <v>7.4923094323149059E-2</v>
      </c>
      <c r="H47" s="17">
        <v>7.2676852733675745E-2</v>
      </c>
      <c r="I47" s="17">
        <v>7.6414322237566071E-2</v>
      </c>
    </row>
    <row r="48" spans="1:9" x14ac:dyDescent="0.35">
      <c r="A48" s="14" t="s">
        <v>210</v>
      </c>
      <c r="B48" s="18">
        <v>0.48083149704321348</v>
      </c>
      <c r="C48" s="18">
        <v>0.4655863937243368</v>
      </c>
      <c r="D48" s="18">
        <v>0.45053382137329012</v>
      </c>
      <c r="E48" s="18">
        <v>0.45887020943830231</v>
      </c>
      <c r="F48" s="18">
        <v>0.48083149704321382</v>
      </c>
      <c r="G48" s="18">
        <v>0.47506308152936449</v>
      </c>
      <c r="H48" s="18">
        <v>0.4862876125001091</v>
      </c>
      <c r="I48" s="18">
        <v>0.48809027410297628</v>
      </c>
    </row>
    <row r="49" spans="1:9" x14ac:dyDescent="0.35">
      <c r="A49" s="14" t="s">
        <v>197</v>
      </c>
      <c r="B49" s="18">
        <v>0.24645654395025909</v>
      </c>
      <c r="C49" s="19">
        <v>0.32736162142851788</v>
      </c>
      <c r="D49" s="22">
        <v>0.30648597828278529</v>
      </c>
      <c r="E49" s="26">
        <v>0.28744066110219718</v>
      </c>
      <c r="F49" s="18">
        <v>0.24645654395025901</v>
      </c>
      <c r="G49" s="18">
        <v>0.22263003944964671</v>
      </c>
      <c r="H49" s="18">
        <v>0.2160610635740573</v>
      </c>
      <c r="I49" s="25">
        <v>0.18927988248811389</v>
      </c>
    </row>
    <row r="50" spans="1:9" x14ac:dyDescent="0.35">
      <c r="A50" s="14" t="s">
        <v>198</v>
      </c>
      <c r="B50" s="18">
        <v>0.1552580635816489</v>
      </c>
      <c r="C50" s="18">
        <v>0.1134471014010287</v>
      </c>
      <c r="D50" s="18">
        <v>0.13164346270562019</v>
      </c>
      <c r="E50" s="18">
        <v>0.15791600097397651</v>
      </c>
      <c r="F50" s="18">
        <v>0.1552580635816489</v>
      </c>
      <c r="G50" s="18">
        <v>0.16399034174671639</v>
      </c>
      <c r="H50" s="18">
        <v>0.1609984916729354</v>
      </c>
      <c r="I50" s="20">
        <v>0.1798365660530471</v>
      </c>
    </row>
    <row r="51" spans="1:9" x14ac:dyDescent="0.35">
      <c r="A51" s="14" t="s">
        <v>199</v>
      </c>
      <c r="B51" s="18">
        <v>6.125060586590355E-2</v>
      </c>
      <c r="C51" s="18">
        <v>5.3172383215389328E-2</v>
      </c>
      <c r="D51" s="18">
        <v>5.5416359272712573E-2</v>
      </c>
      <c r="E51" s="21">
        <v>4.7002374725712108E-2</v>
      </c>
      <c r="F51" s="18">
        <v>6.1250605865903557E-2</v>
      </c>
      <c r="G51" s="18">
        <v>6.3393442951123258E-2</v>
      </c>
      <c r="H51" s="18">
        <v>6.3975979519222376E-2</v>
      </c>
      <c r="I51" s="18">
        <v>6.6378955118296376E-2</v>
      </c>
    </row>
    <row r="52" spans="1:9" x14ac:dyDescent="0.35">
      <c r="A52" s="14" t="s">
        <v>200</v>
      </c>
      <c r="B52" s="18">
        <v>2.0757029074414599E-2</v>
      </c>
      <c r="C52" s="18">
        <v>1.4487404338261589E-2</v>
      </c>
      <c r="D52" s="18">
        <v>1.920142449097427E-2</v>
      </c>
      <c r="E52" s="18">
        <v>1.9450154168479759E-2</v>
      </c>
      <c r="F52" s="18">
        <v>2.0757029074414599E-2</v>
      </c>
      <c r="G52" s="18">
        <v>3.1099831555692171E-2</v>
      </c>
      <c r="H52" s="18">
        <v>2.7783879282926471E-2</v>
      </c>
      <c r="I52" s="18">
        <v>2.7691004577217199E-2</v>
      </c>
    </row>
    <row r="53" spans="1:9" x14ac:dyDescent="0.35">
      <c r="A53" s="14" t="s">
        <v>201</v>
      </c>
      <c r="B53" s="18">
        <v>2.812680721935331E-2</v>
      </c>
      <c r="C53" s="18">
        <v>1.7203599872511181E-2</v>
      </c>
      <c r="D53" s="18">
        <v>3.1821695372299112E-2</v>
      </c>
      <c r="E53" s="18">
        <v>2.593130603206768E-2</v>
      </c>
      <c r="F53" s="18">
        <v>2.812680721935331E-2</v>
      </c>
      <c r="G53" s="18">
        <v>3.1393758739519557E-2</v>
      </c>
      <c r="H53" s="18">
        <v>3.4273230366967861E-2</v>
      </c>
      <c r="I53" s="18">
        <v>3.5835467566287332E-2</v>
      </c>
    </row>
    <row r="54" spans="1:9" x14ac:dyDescent="0.35">
      <c r="A54" s="14" t="s">
        <v>202</v>
      </c>
      <c r="B54" s="18">
        <v>2.3139143957137389E-3</v>
      </c>
      <c r="C54" s="20">
        <v>8.7414960199544301E-3</v>
      </c>
      <c r="D54" s="18">
        <v>4.4586434826939933E-3</v>
      </c>
      <c r="E54" s="18">
        <v>3.0857369754523521E-3</v>
      </c>
      <c r="F54" s="18">
        <v>2.3139143957137398E-3</v>
      </c>
      <c r="G54" s="18">
        <v>5.6745271631864456E-3</v>
      </c>
      <c r="H54" s="18">
        <v>4.848304522813646E-3</v>
      </c>
      <c r="I54" s="18">
        <v>3.24136875051881E-3</v>
      </c>
    </row>
    <row r="55" spans="1:9" x14ac:dyDescent="0.35">
      <c r="A55" s="14" t="s">
        <v>211</v>
      </c>
      <c r="B55" s="18">
        <v>0</v>
      </c>
      <c r="C55" s="18">
        <v>0</v>
      </c>
      <c r="D55" s="18">
        <v>0</v>
      </c>
      <c r="E55" s="18">
        <v>0</v>
      </c>
      <c r="F55" s="18">
        <v>0</v>
      </c>
      <c r="G55" s="18">
        <v>9.2739061848140069E-4</v>
      </c>
      <c r="H55" s="18">
        <v>7.9236066736413421E-4</v>
      </c>
      <c r="I55" s="18">
        <v>8.0629300492684108E-4</v>
      </c>
    </row>
    <row r="56" spans="1:9" x14ac:dyDescent="0.35">
      <c r="A56" s="14" t="s">
        <v>212</v>
      </c>
      <c r="B56" s="18">
        <v>2.2762923566867511E-4</v>
      </c>
      <c r="C56" s="18">
        <v>0</v>
      </c>
      <c r="D56" s="18">
        <v>4.3861501962422282E-4</v>
      </c>
      <c r="E56" s="18">
        <v>3.0355658381222352E-4</v>
      </c>
      <c r="F56" s="18">
        <v>2.2762923566867511E-4</v>
      </c>
      <c r="G56" s="18">
        <v>1.914689807204741E-4</v>
      </c>
      <c r="H56" s="18">
        <v>1.6359070958862421E-4</v>
      </c>
      <c r="I56" s="18">
        <v>1.6646717870425241E-4</v>
      </c>
    </row>
    <row r="57" spans="1:9" x14ac:dyDescent="0.35">
      <c r="A57" s="14" t="s">
        <v>203</v>
      </c>
      <c r="B57" s="18">
        <v>1.5036340247566559E-3</v>
      </c>
      <c r="C57" s="18">
        <v>0</v>
      </c>
      <c r="D57" s="18">
        <v>0</v>
      </c>
      <c r="E57" s="18">
        <v>0</v>
      </c>
      <c r="F57" s="18">
        <v>1.5036340247566559E-3</v>
      </c>
      <c r="G57" s="18">
        <v>2.8819797681203232E-3</v>
      </c>
      <c r="H57" s="18">
        <v>2.4623576806686769E-3</v>
      </c>
      <c r="I57" s="18">
        <v>2.5056541235894542E-3</v>
      </c>
    </row>
    <row r="58" spans="1:9" x14ac:dyDescent="0.35">
      <c r="A58" s="14" t="s">
        <v>204</v>
      </c>
      <c r="B58" s="18">
        <v>3.274275609067847E-3</v>
      </c>
      <c r="C58" s="18">
        <v>0</v>
      </c>
      <c r="D58" s="18">
        <v>0</v>
      </c>
      <c r="E58" s="21">
        <v>0</v>
      </c>
      <c r="F58" s="18">
        <v>3.2742756090678479E-3</v>
      </c>
      <c r="G58" s="18">
        <v>2.7541374974286901E-3</v>
      </c>
      <c r="H58" s="18">
        <v>2.353129503346328E-3</v>
      </c>
      <c r="I58" s="18">
        <v>6.1680670363221859E-3</v>
      </c>
    </row>
    <row r="59" spans="1:9" x14ac:dyDescent="0.35">
      <c r="A59" s="14" t="s">
        <v>213</v>
      </c>
      <c r="B59" s="1">
        <v>67.108475143449795</v>
      </c>
      <c r="C59" s="1">
        <v>75.251551492212755</v>
      </c>
      <c r="D59" s="1">
        <v>70.109942129048392</v>
      </c>
      <c r="E59" s="1">
        <v>69.754011678068721</v>
      </c>
      <c r="F59" s="1">
        <v>67.108475143449795</v>
      </c>
      <c r="G59" s="1">
        <v>62.277002665586231</v>
      </c>
      <c r="H59" s="1">
        <v>62.967182334049077</v>
      </c>
      <c r="I59" s="1">
        <v>60.095583435352417</v>
      </c>
    </row>
    <row r="61" spans="1:9" x14ac:dyDescent="0.35">
      <c r="C61" s="187"/>
      <c r="D61" s="187"/>
      <c r="E61" s="187"/>
      <c r="F61" s="187"/>
      <c r="G61" s="170"/>
      <c r="H61" s="170"/>
      <c r="I61" s="170"/>
    </row>
    <row r="62" spans="1:9" ht="29" x14ac:dyDescent="0.35">
      <c r="A62" s="12" t="s">
        <v>603</v>
      </c>
      <c r="B62" s="13" t="s">
        <v>208</v>
      </c>
      <c r="C62" s="13" t="s">
        <v>458</v>
      </c>
      <c r="D62" s="13" t="s">
        <v>466</v>
      </c>
      <c r="E62" s="13" t="s">
        <v>467</v>
      </c>
      <c r="F62" s="13" t="s">
        <v>468</v>
      </c>
      <c r="G62" s="13" t="s">
        <v>636</v>
      </c>
      <c r="H62" s="13" t="s">
        <v>641</v>
      </c>
      <c r="I62" s="13" t="s">
        <v>647</v>
      </c>
    </row>
    <row r="63" spans="1:9" x14ac:dyDescent="0.35">
      <c r="A63" s="14" t="s">
        <v>209</v>
      </c>
      <c r="B63" s="15">
        <v>381</v>
      </c>
      <c r="C63" s="15">
        <v>94</v>
      </c>
      <c r="D63" s="15">
        <v>182</v>
      </c>
      <c r="E63" s="15">
        <v>288</v>
      </c>
      <c r="F63" s="15">
        <v>381</v>
      </c>
      <c r="G63" s="15">
        <v>486</v>
      </c>
      <c r="H63" s="15">
        <v>570</v>
      </c>
      <c r="I63" s="15">
        <v>563</v>
      </c>
    </row>
    <row r="64" spans="1:9" x14ac:dyDescent="0.35">
      <c r="A64" s="16" t="s">
        <v>336</v>
      </c>
      <c r="B64" s="17">
        <v>0.70334540570516935</v>
      </c>
      <c r="C64" s="17">
        <v>0.69219351724426081</v>
      </c>
      <c r="D64" s="17">
        <v>0.69654186729505063</v>
      </c>
      <c r="E64" s="17">
        <v>0.69358989144211181</v>
      </c>
      <c r="F64" s="17">
        <v>0.70334540570516935</v>
      </c>
      <c r="G64" s="17">
        <v>0.71201899860571638</v>
      </c>
      <c r="H64" s="17">
        <v>0.71275898313202923</v>
      </c>
      <c r="I64" s="17">
        <v>0.70124731796582973</v>
      </c>
    </row>
    <row r="65" spans="1:9" x14ac:dyDescent="0.35">
      <c r="A65" s="16" t="s">
        <v>194</v>
      </c>
      <c r="B65" s="17">
        <v>0.2324896666689279</v>
      </c>
      <c r="C65" s="17">
        <v>0.2428376639861633</v>
      </c>
      <c r="D65" s="17">
        <v>0.22276534888241389</v>
      </c>
      <c r="E65" s="17">
        <v>0.22932269835322211</v>
      </c>
      <c r="F65" s="17">
        <v>0.2324896666689279</v>
      </c>
      <c r="G65" s="17">
        <v>0.21792716522952271</v>
      </c>
      <c r="H65" s="17">
        <v>0.22153494682868419</v>
      </c>
      <c r="I65" s="17">
        <v>0.22731093278528111</v>
      </c>
    </row>
    <row r="66" spans="1:9" x14ac:dyDescent="0.35">
      <c r="A66" s="16" t="s">
        <v>195</v>
      </c>
      <c r="B66" s="17">
        <v>6.4164927625902771E-2</v>
      </c>
      <c r="C66" s="17">
        <v>6.4968818769575831E-2</v>
      </c>
      <c r="D66" s="17">
        <v>8.0692783822535474E-2</v>
      </c>
      <c r="E66" s="153">
        <v>7.7087410204666293E-2</v>
      </c>
      <c r="F66" s="17">
        <v>6.4164927625902757E-2</v>
      </c>
      <c r="G66" s="17">
        <v>7.0053836164760838E-2</v>
      </c>
      <c r="H66" s="17">
        <v>6.5706070039286663E-2</v>
      </c>
      <c r="I66" s="17">
        <v>7.1441749248889269E-2</v>
      </c>
    </row>
    <row r="67" spans="1:9" x14ac:dyDescent="0.35">
      <c r="A67" s="14" t="s">
        <v>210</v>
      </c>
      <c r="B67" s="18">
        <v>0.50913952870662016</v>
      </c>
      <c r="C67" s="18">
        <v>0.54682136042252216</v>
      </c>
      <c r="D67" s="18">
        <v>0.51797482647055704</v>
      </c>
      <c r="E67" s="18">
        <v>0.51250990506748706</v>
      </c>
      <c r="F67" s="18">
        <v>0.50913952870662016</v>
      </c>
      <c r="G67" s="18">
        <v>0.50222813931115973</v>
      </c>
      <c r="H67" s="18">
        <v>0.50103216924304794</v>
      </c>
      <c r="I67" s="18">
        <v>0.48318939694635299</v>
      </c>
    </row>
    <row r="68" spans="1:9" x14ac:dyDescent="0.35">
      <c r="A68" s="14" t="s">
        <v>197</v>
      </c>
      <c r="B68" s="18">
        <v>0.1942058769985491</v>
      </c>
      <c r="C68" s="18">
        <v>0.1453721568217386</v>
      </c>
      <c r="D68" s="18">
        <v>0.17856704082449351</v>
      </c>
      <c r="E68" s="18">
        <v>0.18107998637462469</v>
      </c>
      <c r="F68" s="18">
        <v>0.1942058769985491</v>
      </c>
      <c r="G68" s="18">
        <v>0.20979085929455671</v>
      </c>
      <c r="H68" s="18">
        <v>0.21172681388898129</v>
      </c>
      <c r="I68" s="20">
        <v>0.21805792101947671</v>
      </c>
    </row>
    <row r="69" spans="1:9" x14ac:dyDescent="0.35">
      <c r="A69" s="14" t="s">
        <v>198</v>
      </c>
      <c r="B69" s="18">
        <v>0.1772699494625225</v>
      </c>
      <c r="C69" s="18">
        <v>0.21684120820149869</v>
      </c>
      <c r="D69" s="18">
        <v>0.1707031553807157</v>
      </c>
      <c r="E69" s="18">
        <v>0.17390396398510749</v>
      </c>
      <c r="F69" s="18">
        <v>0.1772699494625225</v>
      </c>
      <c r="G69" s="18">
        <v>0.16041203209356331</v>
      </c>
      <c r="H69" s="18">
        <v>0.15052537835736821</v>
      </c>
      <c r="I69" s="23">
        <v>0.14207102949344819</v>
      </c>
    </row>
    <row r="70" spans="1:9" x14ac:dyDescent="0.35">
      <c r="A70" s="14" t="s">
        <v>199</v>
      </c>
      <c r="B70" s="18">
        <v>5.5219717206405387E-2</v>
      </c>
      <c r="C70" s="18">
        <v>2.5996455784664609E-2</v>
      </c>
      <c r="D70" s="18">
        <v>5.206219350169821E-2</v>
      </c>
      <c r="E70" s="18">
        <v>5.5418734368114529E-2</v>
      </c>
      <c r="F70" s="25">
        <v>5.521971720640538E-2</v>
      </c>
      <c r="G70" s="18">
        <v>5.751513313595933E-2</v>
      </c>
      <c r="H70" s="18">
        <v>7.1009568471315995E-2</v>
      </c>
      <c r="I70" s="19">
        <v>8.5239903291832897E-2</v>
      </c>
    </row>
    <row r="71" spans="1:9" x14ac:dyDescent="0.35">
      <c r="A71" s="14" t="s">
        <v>200</v>
      </c>
      <c r="B71" s="18">
        <v>2.527807827253381E-2</v>
      </c>
      <c r="C71" s="18">
        <v>6.4198516168443402E-3</v>
      </c>
      <c r="D71" s="18">
        <v>3.568569363273251E-2</v>
      </c>
      <c r="E71" s="18">
        <v>2.5725341923706069E-2</v>
      </c>
      <c r="F71" s="18">
        <v>2.527807827253381E-2</v>
      </c>
      <c r="G71" s="18">
        <v>3.110195204111673E-2</v>
      </c>
      <c r="H71" s="25">
        <v>2.664918328440502E-2</v>
      </c>
      <c r="I71" s="18">
        <v>3.0845563217338182E-2</v>
      </c>
    </row>
    <row r="72" spans="1:9" x14ac:dyDescent="0.35">
      <c r="A72" s="14" t="s">
        <v>201</v>
      </c>
      <c r="B72" s="18">
        <v>2.509894186388268E-2</v>
      </c>
      <c r="C72" s="18">
        <v>2.22124145033618E-2</v>
      </c>
      <c r="D72" s="18">
        <v>2.560886005392125E-2</v>
      </c>
      <c r="E72" s="20">
        <v>3.3150887439558283E-2</v>
      </c>
      <c r="F72" s="18">
        <v>2.5098941863882691E-2</v>
      </c>
      <c r="G72" s="18">
        <v>2.4025717967182E-2</v>
      </c>
      <c r="H72" s="18">
        <v>2.4413572170480159E-2</v>
      </c>
      <c r="I72" s="18">
        <v>3.1852372944085508E-2</v>
      </c>
    </row>
    <row r="73" spans="1:9" x14ac:dyDescent="0.35">
      <c r="A73" s="14" t="s">
        <v>202</v>
      </c>
      <c r="B73" s="18">
        <v>0</v>
      </c>
      <c r="C73" s="18">
        <v>0</v>
      </c>
      <c r="D73" s="18">
        <v>0</v>
      </c>
      <c r="E73" s="18">
        <v>0</v>
      </c>
      <c r="F73" s="18">
        <v>0</v>
      </c>
      <c r="G73" s="18">
        <v>0</v>
      </c>
      <c r="H73" s="18">
        <v>1.854080741098333E-3</v>
      </c>
      <c r="I73" s="18">
        <v>1.895572582742359E-3</v>
      </c>
    </row>
    <row r="74" spans="1:9" x14ac:dyDescent="0.35">
      <c r="A74" s="14" t="s">
        <v>211</v>
      </c>
      <c r="B74" s="18">
        <v>3.8437883653663889E-3</v>
      </c>
      <c r="C74" s="18">
        <v>7.4157436077904792E-3</v>
      </c>
      <c r="D74" s="18">
        <v>3.9588868685678348E-3</v>
      </c>
      <c r="E74" s="18">
        <v>5.0769070717323391E-3</v>
      </c>
      <c r="F74" s="18">
        <v>3.8437883653663889E-3</v>
      </c>
      <c r="G74" s="18">
        <v>4.556416635777113E-3</v>
      </c>
      <c r="H74" s="18">
        <v>3.904088781514839E-3</v>
      </c>
      <c r="I74" s="18">
        <v>2.7205793946528992E-3</v>
      </c>
    </row>
    <row r="75" spans="1:9" x14ac:dyDescent="0.35">
      <c r="A75" s="14" t="s">
        <v>212</v>
      </c>
      <c r="B75" s="18">
        <v>2.590392488032446E-3</v>
      </c>
      <c r="C75" s="18">
        <v>0</v>
      </c>
      <c r="D75" s="18">
        <v>0</v>
      </c>
      <c r="E75" s="18">
        <v>3.4214115583339829E-3</v>
      </c>
      <c r="F75" s="18">
        <v>2.590392488032446E-3</v>
      </c>
      <c r="G75" s="18">
        <v>1.9930102662662329E-3</v>
      </c>
      <c r="H75" s="18">
        <v>1.707677248142354E-3</v>
      </c>
      <c r="I75" s="18">
        <v>1.745892775863684E-3</v>
      </c>
    </row>
    <row r="76" spans="1:9" x14ac:dyDescent="0.35">
      <c r="A76" s="14" t="s">
        <v>203</v>
      </c>
      <c r="B76" s="18">
        <v>0</v>
      </c>
      <c r="C76" s="18">
        <v>0</v>
      </c>
      <c r="D76" s="18">
        <v>0</v>
      </c>
      <c r="E76" s="18">
        <v>0</v>
      </c>
      <c r="F76" s="18">
        <v>0</v>
      </c>
      <c r="G76" s="18">
        <v>1.506175135808538E-3</v>
      </c>
      <c r="H76" s="18">
        <v>1.290540773759554E-3</v>
      </c>
      <c r="I76" s="18">
        <v>1.3194213463436099E-3</v>
      </c>
    </row>
    <row r="77" spans="1:9" x14ac:dyDescent="0.35">
      <c r="A77" s="14" t="s">
        <v>204</v>
      </c>
      <c r="B77" s="18">
        <v>7.3537266360874307E-3</v>
      </c>
      <c r="C77" s="22">
        <v>2.8920809041579211E-2</v>
      </c>
      <c r="D77" s="20">
        <v>1.5439343267313881E-2</v>
      </c>
      <c r="E77" s="18">
        <v>9.712862211335627E-3</v>
      </c>
      <c r="F77" s="25">
        <v>7.3537266360874298E-3</v>
      </c>
      <c r="G77" s="18">
        <v>6.8705641186102206E-3</v>
      </c>
      <c r="H77" s="25">
        <v>5.8869270398864094E-3</v>
      </c>
      <c r="I77" s="25">
        <v>1.0623469878630199E-3</v>
      </c>
    </row>
    <row r="78" spans="1:9" x14ac:dyDescent="0.35">
      <c r="A78" s="14" t="s">
        <v>213</v>
      </c>
      <c r="B78" s="1">
        <v>63.918047807926641</v>
      </c>
      <c r="C78" s="1">
        <v>62.722469847468503</v>
      </c>
      <c r="D78" s="1">
        <v>61.584908347251513</v>
      </c>
      <c r="E78" s="1">
        <v>61.650248123744539</v>
      </c>
      <c r="F78" s="1">
        <v>63.918047807926648</v>
      </c>
      <c r="G78" s="1">
        <v>64.196516244095562</v>
      </c>
      <c r="H78" s="1">
        <v>64.705291309274259</v>
      </c>
      <c r="I78" s="1">
        <v>62.980556871694027</v>
      </c>
    </row>
    <row r="80" spans="1:9" x14ac:dyDescent="0.35">
      <c r="C80" s="187"/>
      <c r="D80" s="187"/>
      <c r="E80" s="187"/>
      <c r="F80" s="187"/>
      <c r="G80" s="170"/>
      <c r="H80" s="170"/>
      <c r="I80" s="170"/>
    </row>
    <row r="81" spans="1:9" ht="29" x14ac:dyDescent="0.35">
      <c r="A81" s="12" t="s">
        <v>604</v>
      </c>
      <c r="B81" s="13" t="s">
        <v>208</v>
      </c>
      <c r="C81" s="13" t="s">
        <v>458</v>
      </c>
      <c r="D81" s="13" t="s">
        <v>466</v>
      </c>
      <c r="E81" s="13" t="s">
        <v>467</v>
      </c>
      <c r="F81" s="13" t="s">
        <v>468</v>
      </c>
      <c r="G81" s="13" t="s">
        <v>636</v>
      </c>
      <c r="H81" s="13" t="s">
        <v>641</v>
      </c>
      <c r="I81" s="13" t="s">
        <v>647</v>
      </c>
    </row>
    <row r="82" spans="1:9" x14ac:dyDescent="0.35">
      <c r="A82" s="14" t="s">
        <v>209</v>
      </c>
      <c r="B82" s="15">
        <v>324</v>
      </c>
      <c r="C82" s="15">
        <v>84</v>
      </c>
      <c r="D82" s="15">
        <v>164</v>
      </c>
      <c r="E82" s="15">
        <v>248</v>
      </c>
      <c r="F82" s="15">
        <v>324</v>
      </c>
      <c r="G82" s="15">
        <v>409</v>
      </c>
      <c r="H82" s="15">
        <v>463</v>
      </c>
      <c r="I82" s="15">
        <v>448</v>
      </c>
    </row>
    <row r="83" spans="1:9" x14ac:dyDescent="0.35">
      <c r="A83" s="16" t="s">
        <v>336</v>
      </c>
      <c r="B83" s="17">
        <v>0.61913150474528478</v>
      </c>
      <c r="C83" s="148">
        <v>0.50206071304955058</v>
      </c>
      <c r="D83" s="17">
        <v>0.60485793784491804</v>
      </c>
      <c r="E83" s="17">
        <v>0.62486718573063516</v>
      </c>
      <c r="F83" s="152">
        <v>0.61913150474528478</v>
      </c>
      <c r="G83" s="17">
        <v>0.61822059648838612</v>
      </c>
      <c r="H83" s="17">
        <v>0.61904955888724889</v>
      </c>
      <c r="I83" s="149">
        <v>0.63912729406252755</v>
      </c>
    </row>
    <row r="84" spans="1:9" x14ac:dyDescent="0.35">
      <c r="A84" s="16" t="s">
        <v>194</v>
      </c>
      <c r="B84" s="17">
        <v>0.29608012991586169</v>
      </c>
      <c r="C84" s="149">
        <v>0.38413911797956829</v>
      </c>
      <c r="D84" s="17">
        <v>0.31099483691346391</v>
      </c>
      <c r="E84" s="17">
        <v>0.28964100905149509</v>
      </c>
      <c r="F84" s="17">
        <v>0.29608012991586158</v>
      </c>
      <c r="G84" s="17">
        <v>0.29307014956607341</v>
      </c>
      <c r="H84" s="17">
        <v>0.28835892640572103</v>
      </c>
      <c r="I84" s="155">
        <v>0.26849109188318199</v>
      </c>
    </row>
    <row r="85" spans="1:9" x14ac:dyDescent="0.35">
      <c r="A85" s="16" t="s">
        <v>195</v>
      </c>
      <c r="B85" s="17">
        <v>8.478836533885363E-2</v>
      </c>
      <c r="C85" s="17">
        <v>0.11380016897088099</v>
      </c>
      <c r="D85" s="17">
        <v>8.4147225241618107E-2</v>
      </c>
      <c r="E85" s="17">
        <v>8.5491805217869699E-2</v>
      </c>
      <c r="F85" s="17">
        <v>8.4788365338853602E-2</v>
      </c>
      <c r="G85" s="152">
        <v>8.870925394554055E-2</v>
      </c>
      <c r="H85" s="17">
        <v>9.2591514707030073E-2</v>
      </c>
      <c r="I85" s="17">
        <v>9.2381614054290379E-2</v>
      </c>
    </row>
    <row r="86" spans="1:9" x14ac:dyDescent="0.35">
      <c r="A86" s="14" t="s">
        <v>210</v>
      </c>
      <c r="B86" s="18">
        <v>0.40399702019153733</v>
      </c>
      <c r="C86" s="21">
        <v>0.29824709204107303</v>
      </c>
      <c r="D86" s="18">
        <v>0.39938373513714631</v>
      </c>
      <c r="E86" s="18">
        <v>0.41190112054612782</v>
      </c>
      <c r="F86" s="18">
        <v>0.40399702019153738</v>
      </c>
      <c r="G86" s="18">
        <v>0.39276314047904087</v>
      </c>
      <c r="H86" s="18">
        <v>0.39263565250469767</v>
      </c>
      <c r="I86" s="19">
        <v>0.41876387072662391</v>
      </c>
    </row>
    <row r="87" spans="1:9" x14ac:dyDescent="0.35">
      <c r="A87" s="14" t="s">
        <v>197</v>
      </c>
      <c r="B87" s="18">
        <v>0.21513448455374751</v>
      </c>
      <c r="C87" s="18">
        <v>0.20381362100847761</v>
      </c>
      <c r="D87" s="18">
        <v>0.20547420270777181</v>
      </c>
      <c r="E87" s="18">
        <v>0.21296606518450739</v>
      </c>
      <c r="F87" s="18">
        <v>0.2151344845537474</v>
      </c>
      <c r="G87" s="18">
        <v>0.22545745600934519</v>
      </c>
      <c r="H87" s="18">
        <v>0.2264139063825511</v>
      </c>
      <c r="I87" s="18">
        <v>0.22036342333590361</v>
      </c>
    </row>
    <row r="88" spans="1:9" x14ac:dyDescent="0.35">
      <c r="A88" s="14" t="s">
        <v>198</v>
      </c>
      <c r="B88" s="18">
        <v>0.19567592435192779</v>
      </c>
      <c r="C88" s="18">
        <v>0.2372790733362829</v>
      </c>
      <c r="D88" s="18">
        <v>0.19828254418040731</v>
      </c>
      <c r="E88" s="18">
        <v>0.1917213265174946</v>
      </c>
      <c r="F88" s="18">
        <v>0.19567592435192771</v>
      </c>
      <c r="G88" s="18">
        <v>0.19219257728405029</v>
      </c>
      <c r="H88" s="18">
        <v>0.1934477717581137</v>
      </c>
      <c r="I88" s="18">
        <v>0.19102911894183089</v>
      </c>
    </row>
    <row r="89" spans="1:9" x14ac:dyDescent="0.35">
      <c r="A89" s="14" t="s">
        <v>199</v>
      </c>
      <c r="B89" s="18">
        <v>0.1004042055639339</v>
      </c>
      <c r="C89" s="20">
        <v>0.14686004464328539</v>
      </c>
      <c r="D89" s="18">
        <v>0.11271229273305659</v>
      </c>
      <c r="E89" s="18">
        <v>9.7919682534000491E-2</v>
      </c>
      <c r="F89" s="18">
        <v>0.1004042055639339</v>
      </c>
      <c r="G89" s="18">
        <v>0.1008775722820232</v>
      </c>
      <c r="H89" s="18">
        <v>9.4911154647607271E-2</v>
      </c>
      <c r="I89" s="21">
        <v>7.7461972941351112E-2</v>
      </c>
    </row>
    <row r="90" spans="1:9" x14ac:dyDescent="0.35">
      <c r="A90" s="14" t="s">
        <v>200</v>
      </c>
      <c r="B90" s="18">
        <v>2.0785572729128132E-2</v>
      </c>
      <c r="C90" s="18">
        <v>2.85952211571865E-2</v>
      </c>
      <c r="D90" s="18">
        <v>2.2242947954672739E-2</v>
      </c>
      <c r="E90" s="18">
        <v>2.4060428706402421E-2</v>
      </c>
      <c r="F90" s="18">
        <v>2.0785572729128121E-2</v>
      </c>
      <c r="G90" s="18">
        <v>2.0267215003746789E-2</v>
      </c>
      <c r="H90" s="18">
        <v>2.2333709510109299E-2</v>
      </c>
      <c r="I90" s="18">
        <v>2.5357182013986582E-2</v>
      </c>
    </row>
    <row r="91" spans="1:9" x14ac:dyDescent="0.35">
      <c r="A91" s="14" t="s">
        <v>201</v>
      </c>
      <c r="B91" s="18">
        <v>4.8844787019669877E-2</v>
      </c>
      <c r="C91" s="18">
        <v>7.4483187579847801E-2</v>
      </c>
      <c r="D91" s="18">
        <v>5.1393780219628787E-2</v>
      </c>
      <c r="E91" s="18">
        <v>4.8782159807652221E-2</v>
      </c>
      <c r="F91" s="18">
        <v>4.8844787019669871E-2</v>
      </c>
      <c r="G91" s="18">
        <v>4.4799788459466923E-2</v>
      </c>
      <c r="H91" s="18">
        <v>4.6511136256477723E-2</v>
      </c>
      <c r="I91" s="18">
        <v>4.2974783870179778E-2</v>
      </c>
    </row>
    <row r="92" spans="1:9" x14ac:dyDescent="0.35">
      <c r="A92" s="14" t="s">
        <v>202</v>
      </c>
      <c r="B92" s="18">
        <v>9.4387128525049279E-3</v>
      </c>
      <c r="C92" s="18">
        <v>1.072176023384664E-2</v>
      </c>
      <c r="D92" s="18">
        <v>5.572527706326694E-3</v>
      </c>
      <c r="E92" s="18">
        <v>9.376811510455196E-3</v>
      </c>
      <c r="F92" s="18">
        <v>9.4387128525049244E-3</v>
      </c>
      <c r="G92" s="18">
        <v>1.2090654769294541E-2</v>
      </c>
      <c r="H92" s="18">
        <v>1.223849514539624E-2</v>
      </c>
      <c r="I92" s="18">
        <v>1.214137539407939E-2</v>
      </c>
    </row>
    <row r="93" spans="1:9" x14ac:dyDescent="0.35">
      <c r="A93" s="14" t="s">
        <v>211</v>
      </c>
      <c r="B93" s="18">
        <v>3.178196822996479E-3</v>
      </c>
      <c r="C93" s="18">
        <v>0</v>
      </c>
      <c r="D93" s="18">
        <v>0</v>
      </c>
      <c r="E93" s="23">
        <v>0</v>
      </c>
      <c r="F93" s="18">
        <v>3.1781968229964768E-3</v>
      </c>
      <c r="G93" s="18">
        <v>7.4154985379463112E-3</v>
      </c>
      <c r="H93" s="18">
        <v>6.5533266659403662E-3</v>
      </c>
      <c r="I93" s="18">
        <v>6.7811629297893751E-3</v>
      </c>
    </row>
    <row r="94" spans="1:9" x14ac:dyDescent="0.35">
      <c r="A94" s="14" t="s">
        <v>212</v>
      </c>
      <c r="B94" s="18">
        <v>0</v>
      </c>
      <c r="C94" s="18">
        <v>0</v>
      </c>
      <c r="D94" s="18">
        <v>0</v>
      </c>
      <c r="E94" s="18">
        <v>0</v>
      </c>
      <c r="F94" s="18">
        <v>0</v>
      </c>
      <c r="G94" s="18">
        <v>0</v>
      </c>
      <c r="H94" s="18">
        <v>1.2996382754184889E-3</v>
      </c>
      <c r="I94" s="18">
        <v>1.344822155929965E-3</v>
      </c>
    </row>
    <row r="95" spans="1:9" x14ac:dyDescent="0.35">
      <c r="A95" s="14" t="s">
        <v>203</v>
      </c>
      <c r="B95" s="18">
        <v>2.5410959145541982E-3</v>
      </c>
      <c r="C95" s="18">
        <v>0</v>
      </c>
      <c r="D95" s="18">
        <v>4.9379693609898816E-3</v>
      </c>
      <c r="E95" s="18">
        <v>3.272405193359842E-3</v>
      </c>
      <c r="F95" s="18">
        <v>2.5410959145541969E-3</v>
      </c>
      <c r="G95" s="18">
        <v>4.1360971750859891E-3</v>
      </c>
      <c r="H95" s="18">
        <v>3.6552088536879811E-3</v>
      </c>
      <c r="I95" s="18">
        <v>3.78228769032531E-3</v>
      </c>
    </row>
    <row r="96" spans="1:9" x14ac:dyDescent="0.35">
      <c r="A96" s="14" t="s">
        <v>204</v>
      </c>
      <c r="B96" s="18">
        <v>0</v>
      </c>
      <c r="C96" s="18">
        <v>0</v>
      </c>
      <c r="D96" s="18">
        <v>0</v>
      </c>
      <c r="E96" s="18">
        <v>0</v>
      </c>
      <c r="F96" s="18">
        <v>0</v>
      </c>
      <c r="G96" s="18">
        <v>0</v>
      </c>
      <c r="H96" s="18">
        <v>0</v>
      </c>
      <c r="I96" s="18">
        <v>0</v>
      </c>
    </row>
    <row r="97" spans="1:9" x14ac:dyDescent="0.35">
      <c r="A97" s="14" t="s">
        <v>213</v>
      </c>
      <c r="B97" s="1">
        <v>53.434313940643108</v>
      </c>
      <c r="C97" s="1">
        <v>38.826054407866977</v>
      </c>
      <c r="D97" s="1">
        <v>52.071071260329987</v>
      </c>
      <c r="E97" s="1">
        <v>53.93753805127654</v>
      </c>
      <c r="F97" s="1">
        <v>53.434313940643129</v>
      </c>
      <c r="G97" s="1">
        <v>52.951134254284547</v>
      </c>
      <c r="H97" s="1">
        <v>52.645804418021882</v>
      </c>
      <c r="I97" s="1">
        <v>54.674568000823719</v>
      </c>
    </row>
    <row r="99" spans="1:9" x14ac:dyDescent="0.35">
      <c r="C99" s="187"/>
      <c r="D99" s="187"/>
      <c r="E99" s="187"/>
      <c r="F99" s="187"/>
      <c r="G99" s="170"/>
      <c r="H99" s="170"/>
      <c r="I99" s="170"/>
    </row>
    <row r="100" spans="1:9" ht="29" x14ac:dyDescent="0.35">
      <c r="A100" s="12" t="s">
        <v>605</v>
      </c>
      <c r="B100" s="13" t="s">
        <v>208</v>
      </c>
      <c r="C100" s="13" t="s">
        <v>458</v>
      </c>
      <c r="D100" s="13" t="s">
        <v>466</v>
      </c>
      <c r="E100" s="13" t="s">
        <v>467</v>
      </c>
      <c r="F100" s="13" t="s">
        <v>468</v>
      </c>
      <c r="G100" s="13" t="s">
        <v>636</v>
      </c>
      <c r="H100" s="13" t="s">
        <v>641</v>
      </c>
      <c r="I100" s="13" t="s">
        <v>647</v>
      </c>
    </row>
    <row r="101" spans="1:9" x14ac:dyDescent="0.35">
      <c r="A101" s="14" t="s">
        <v>209</v>
      </c>
      <c r="B101" s="15">
        <v>310</v>
      </c>
      <c r="C101" s="15">
        <v>87</v>
      </c>
      <c r="D101" s="15">
        <v>167</v>
      </c>
      <c r="E101" s="15">
        <v>236</v>
      </c>
      <c r="F101" s="15">
        <v>310</v>
      </c>
      <c r="G101" s="15">
        <v>390</v>
      </c>
      <c r="H101" s="15">
        <v>459</v>
      </c>
      <c r="I101" s="15">
        <v>439</v>
      </c>
    </row>
    <row r="102" spans="1:9" x14ac:dyDescent="0.35">
      <c r="A102" s="16" t="s">
        <v>336</v>
      </c>
      <c r="B102" s="17">
        <v>0.64754971637443259</v>
      </c>
      <c r="C102" s="17">
        <v>0.61219059861759162</v>
      </c>
      <c r="D102" s="17">
        <v>0.65920818318487973</v>
      </c>
      <c r="E102" s="17">
        <v>0.64450573320969451</v>
      </c>
      <c r="F102" s="17">
        <v>0.64754971637443259</v>
      </c>
      <c r="G102" s="17">
        <v>0.64441446638061073</v>
      </c>
      <c r="H102" s="17">
        <v>0.64063729988130125</v>
      </c>
      <c r="I102" s="17">
        <v>0.65148268183756919</v>
      </c>
    </row>
    <row r="103" spans="1:9" x14ac:dyDescent="0.35">
      <c r="A103" s="16" t="s">
        <v>194</v>
      </c>
      <c r="B103" s="17">
        <v>0.25005135609275531</v>
      </c>
      <c r="C103" s="17">
        <v>0.30522080099435073</v>
      </c>
      <c r="D103" s="17">
        <v>0.24307638723073341</v>
      </c>
      <c r="E103" s="17">
        <v>0.26139025987923742</v>
      </c>
      <c r="F103" s="17">
        <v>0.25005135609275519</v>
      </c>
      <c r="G103" s="17">
        <v>0.25534493229908201</v>
      </c>
      <c r="H103" s="17">
        <v>0.25650526381534022</v>
      </c>
      <c r="I103" s="17">
        <v>0.2424396587153437</v>
      </c>
    </row>
    <row r="104" spans="1:9" x14ac:dyDescent="0.35">
      <c r="A104" s="16" t="s">
        <v>195</v>
      </c>
      <c r="B104" s="17">
        <v>0.102398927532812</v>
      </c>
      <c r="C104" s="17">
        <v>8.258860038805764E-2</v>
      </c>
      <c r="D104" s="17">
        <v>9.7715429584387128E-2</v>
      </c>
      <c r="E104" s="17">
        <v>9.4104006911068211E-2</v>
      </c>
      <c r="F104" s="17">
        <v>0.102398927532812</v>
      </c>
      <c r="G104" s="17">
        <v>0.10024060132030729</v>
      </c>
      <c r="H104" s="17">
        <v>0.1028574363033585</v>
      </c>
      <c r="I104" s="17">
        <v>0.10607765944708709</v>
      </c>
    </row>
    <row r="105" spans="1:9" x14ac:dyDescent="0.35">
      <c r="A105" s="14" t="s">
        <v>210</v>
      </c>
      <c r="B105" s="18">
        <v>0.45474955445316501</v>
      </c>
      <c r="C105" s="18">
        <v>0.40764918684560508</v>
      </c>
      <c r="D105" s="18">
        <v>0.47445587630913683</v>
      </c>
      <c r="E105" s="18">
        <v>0.45633737743321801</v>
      </c>
      <c r="F105" s="18">
        <v>0.45474955445316512</v>
      </c>
      <c r="G105" s="18">
        <v>0.44704643945252892</v>
      </c>
      <c r="H105" s="18">
        <v>0.44005773133580051</v>
      </c>
      <c r="I105" s="18">
        <v>0.45159140387470381</v>
      </c>
    </row>
    <row r="106" spans="1:9" x14ac:dyDescent="0.35">
      <c r="A106" s="14" t="s">
        <v>197</v>
      </c>
      <c r="B106" s="18">
        <v>0.19280016192126759</v>
      </c>
      <c r="C106" s="18">
        <v>0.20454141177198651</v>
      </c>
      <c r="D106" s="18">
        <v>0.1847523068757429</v>
      </c>
      <c r="E106" s="18">
        <v>0.1881683557764765</v>
      </c>
      <c r="F106" s="18">
        <v>0.19280016192126759</v>
      </c>
      <c r="G106" s="18">
        <v>0.19736802692808189</v>
      </c>
      <c r="H106" s="18">
        <v>0.20057956854550071</v>
      </c>
      <c r="I106" s="18">
        <v>0.19989127796286549</v>
      </c>
    </row>
    <row r="107" spans="1:9" x14ac:dyDescent="0.35">
      <c r="A107" s="14" t="s">
        <v>198</v>
      </c>
      <c r="B107" s="18">
        <v>0.19956343587554529</v>
      </c>
      <c r="C107" s="18">
        <v>0.22947840409876519</v>
      </c>
      <c r="D107" s="18">
        <v>0.19253627192463851</v>
      </c>
      <c r="E107" s="18">
        <v>0.20286725532540531</v>
      </c>
      <c r="F107" s="25">
        <v>0.1995634358755452</v>
      </c>
      <c r="G107" s="18">
        <v>0.19493948321364901</v>
      </c>
      <c r="H107" s="18">
        <v>0.20122559688260219</v>
      </c>
      <c r="I107" s="18">
        <v>0.19232865857853121</v>
      </c>
    </row>
    <row r="108" spans="1:9" x14ac:dyDescent="0.35">
      <c r="A108" s="14" t="s">
        <v>199</v>
      </c>
      <c r="B108" s="18">
        <v>5.0487920217210061E-2</v>
      </c>
      <c r="C108" s="18">
        <v>7.5742396895585429E-2</v>
      </c>
      <c r="D108" s="18">
        <v>5.0540115306094889E-2</v>
      </c>
      <c r="E108" s="18">
        <v>5.8523004553832032E-2</v>
      </c>
      <c r="F108" s="18">
        <v>5.0487920217210047E-2</v>
      </c>
      <c r="G108" s="18">
        <v>6.0405449085432952E-2</v>
      </c>
      <c r="H108" s="18">
        <v>5.5279666932738079E-2</v>
      </c>
      <c r="I108" s="18">
        <v>5.0111000136812467E-2</v>
      </c>
    </row>
    <row r="109" spans="1:9" x14ac:dyDescent="0.35">
      <c r="A109" s="14" t="s">
        <v>200</v>
      </c>
      <c r="B109" s="18">
        <v>4.0870166436547957E-2</v>
      </c>
      <c r="C109" s="23">
        <v>8.1714346306948696E-3</v>
      </c>
      <c r="D109" s="18">
        <v>3.3000467954312808E-2</v>
      </c>
      <c r="E109" s="18">
        <v>3.8215403146819052E-2</v>
      </c>
      <c r="F109" s="18">
        <v>4.087016643654795E-2</v>
      </c>
      <c r="G109" s="18">
        <v>4.2033041001928291E-2</v>
      </c>
      <c r="H109" s="18">
        <v>4.963717748670074E-2</v>
      </c>
      <c r="I109" s="19">
        <v>5.7922702082923001E-2</v>
      </c>
    </row>
    <row r="110" spans="1:9" x14ac:dyDescent="0.35">
      <c r="A110" s="14" t="s">
        <v>201</v>
      </c>
      <c r="B110" s="18">
        <v>4.1894571439149493E-2</v>
      </c>
      <c r="C110" s="18">
        <v>5.0549113387002E-2</v>
      </c>
      <c r="D110" s="18">
        <v>4.2708461656078653E-2</v>
      </c>
      <c r="E110" s="18">
        <v>3.4824787363095522E-2</v>
      </c>
      <c r="F110" s="18">
        <v>4.1894571439149472E-2</v>
      </c>
      <c r="G110" s="18">
        <v>4.02230829416199E-2</v>
      </c>
      <c r="H110" s="18">
        <v>3.7836762813806817E-2</v>
      </c>
      <c r="I110" s="18">
        <v>3.1592717554161501E-2</v>
      </c>
    </row>
    <row r="111" spans="1:9" x14ac:dyDescent="0.35">
      <c r="A111" s="14" t="s">
        <v>202</v>
      </c>
      <c r="B111" s="18">
        <v>5.0724452013041548E-3</v>
      </c>
      <c r="C111" s="18">
        <v>9.424192867421995E-3</v>
      </c>
      <c r="D111" s="18">
        <v>9.3432287694368982E-3</v>
      </c>
      <c r="E111" s="18">
        <v>6.6102461772155167E-3</v>
      </c>
      <c r="F111" s="18">
        <v>5.0724452013041531E-3</v>
      </c>
      <c r="G111" s="25">
        <v>4.0969291726372127E-3</v>
      </c>
      <c r="H111" s="18">
        <v>3.5044161824059309E-3</v>
      </c>
      <c r="I111" s="18">
        <v>4.9498988853638676E-3</v>
      </c>
    </row>
    <row r="112" spans="1:9" x14ac:dyDescent="0.35">
      <c r="A112" s="14" t="s">
        <v>211</v>
      </c>
      <c r="B112" s="18">
        <v>2.7174115101623862E-3</v>
      </c>
      <c r="C112" s="18">
        <v>0</v>
      </c>
      <c r="D112" s="18">
        <v>5.0053566657793404E-3</v>
      </c>
      <c r="E112" s="18">
        <v>3.5412426027498591E-3</v>
      </c>
      <c r="F112" s="18">
        <v>2.7174115101623849E-3</v>
      </c>
      <c r="G112" s="18">
        <v>2.1948078388667569E-3</v>
      </c>
      <c r="H112" s="18">
        <v>1.877386643432008E-3</v>
      </c>
      <c r="I112" s="18">
        <v>4.0420795021203666E-3</v>
      </c>
    </row>
    <row r="113" spans="1:9" x14ac:dyDescent="0.35">
      <c r="A113" s="14" t="s">
        <v>212</v>
      </c>
      <c r="B113" s="18">
        <v>0</v>
      </c>
      <c r="C113" s="18">
        <v>0</v>
      </c>
      <c r="D113" s="18">
        <v>0</v>
      </c>
      <c r="E113" s="18">
        <v>0</v>
      </c>
      <c r="F113" s="18">
        <v>0</v>
      </c>
      <c r="G113" s="18">
        <v>0</v>
      </c>
      <c r="H113" s="18">
        <v>0</v>
      </c>
      <c r="I113" s="18">
        <v>0</v>
      </c>
    </row>
    <row r="114" spans="1:9" x14ac:dyDescent="0.35">
      <c r="A114" s="14" t="s">
        <v>203</v>
      </c>
      <c r="B114" s="18">
        <v>7.6281251390839929E-3</v>
      </c>
      <c r="C114" s="18">
        <v>1.444385950293877E-2</v>
      </c>
      <c r="D114" s="18">
        <v>7.6579145387794308E-3</v>
      </c>
      <c r="E114" s="18">
        <v>5.4179022642577004E-3</v>
      </c>
      <c r="F114" s="18">
        <v>7.6281251390839886E-3</v>
      </c>
      <c r="G114" s="25">
        <v>8.2873798191870941E-3</v>
      </c>
      <c r="H114" s="18">
        <v>7.0888284186296632E-3</v>
      </c>
      <c r="I114" s="18">
        <v>4.4772722823712193E-3</v>
      </c>
    </row>
    <row r="115" spans="1:9" x14ac:dyDescent="0.35">
      <c r="A115" s="14" t="s">
        <v>204</v>
      </c>
      <c r="B115" s="18">
        <v>4.2162078065640556E-3</v>
      </c>
      <c r="C115" s="18">
        <v>0</v>
      </c>
      <c r="D115" s="18">
        <v>0</v>
      </c>
      <c r="E115" s="18">
        <v>5.4944253569305561E-3</v>
      </c>
      <c r="F115" s="18">
        <v>4.2162078065640539E-3</v>
      </c>
      <c r="G115" s="18">
        <v>3.405360546067983E-3</v>
      </c>
      <c r="H115" s="18">
        <v>2.912864758383287E-3</v>
      </c>
      <c r="I115" s="18">
        <v>3.0929891401471729E-3</v>
      </c>
    </row>
    <row r="116" spans="1:9" x14ac:dyDescent="0.35">
      <c r="A116" s="14" t="s">
        <v>213</v>
      </c>
      <c r="B116" s="1">
        <v>54.515078884162058</v>
      </c>
      <c r="C116" s="1">
        <v>52.960199822953399</v>
      </c>
      <c r="D116" s="1">
        <v>56.149275360049238</v>
      </c>
      <c r="E116" s="1">
        <v>55.040172629862639</v>
      </c>
      <c r="F116" s="1">
        <v>54.515078884162072</v>
      </c>
      <c r="G116" s="1">
        <v>54.417386506030347</v>
      </c>
      <c r="H116" s="1">
        <v>53.777986357794283</v>
      </c>
      <c r="I116" s="1">
        <v>54.540502239048223</v>
      </c>
    </row>
    <row r="118" spans="1:9" x14ac:dyDescent="0.35">
      <c r="C118" s="187"/>
      <c r="D118" s="187"/>
      <c r="E118" s="187"/>
      <c r="F118" s="187"/>
      <c r="G118" s="170"/>
      <c r="H118" s="170"/>
      <c r="I118" s="170"/>
    </row>
    <row r="119" spans="1:9" ht="29" x14ac:dyDescent="0.35">
      <c r="A119" s="12" t="s">
        <v>645</v>
      </c>
      <c r="B119" s="13" t="s">
        <v>208</v>
      </c>
      <c r="C119" s="13" t="s">
        <v>458</v>
      </c>
      <c r="D119" s="13" t="s">
        <v>466</v>
      </c>
      <c r="E119" s="13" t="s">
        <v>467</v>
      </c>
      <c r="F119" s="13" t="s">
        <v>468</v>
      </c>
      <c r="G119" s="13" t="s">
        <v>636</v>
      </c>
      <c r="H119" s="13" t="s">
        <v>641</v>
      </c>
      <c r="I119" s="13" t="s">
        <v>647</v>
      </c>
    </row>
    <row r="120" spans="1:9" x14ac:dyDescent="0.35">
      <c r="A120" s="14" t="s">
        <v>209</v>
      </c>
      <c r="B120" s="15">
        <v>80</v>
      </c>
      <c r="C120" s="15">
        <v>21</v>
      </c>
      <c r="D120" s="15">
        <v>44</v>
      </c>
      <c r="E120" s="15">
        <v>62</v>
      </c>
      <c r="F120" s="15">
        <v>80</v>
      </c>
      <c r="G120" s="15">
        <v>93</v>
      </c>
      <c r="H120" s="15">
        <v>114</v>
      </c>
      <c r="I120" s="15">
        <v>113</v>
      </c>
    </row>
    <row r="121" spans="1:9" x14ac:dyDescent="0.35">
      <c r="A121" s="16" t="s">
        <v>336</v>
      </c>
      <c r="B121" s="17">
        <v>0.70406750670217344</v>
      </c>
      <c r="C121" s="17">
        <v>0.78819005211081672</v>
      </c>
      <c r="D121" s="153">
        <v>0.77070413241253644</v>
      </c>
      <c r="E121" s="151">
        <v>0.7722611682850361</v>
      </c>
      <c r="F121" s="17">
        <v>0.70406750670217355</v>
      </c>
      <c r="G121" s="17">
        <v>0.67582057470844825</v>
      </c>
      <c r="H121" s="17">
        <v>0.66350894301627072</v>
      </c>
      <c r="I121" s="17">
        <v>0.63318737972979711</v>
      </c>
    </row>
    <row r="122" spans="1:9" x14ac:dyDescent="0.35">
      <c r="A122" s="16" t="s">
        <v>194</v>
      </c>
      <c r="B122" s="17">
        <v>0.2092984543872497</v>
      </c>
      <c r="C122" s="17">
        <v>0.14716580373688001</v>
      </c>
      <c r="D122" s="17">
        <v>0.17466482303434311</v>
      </c>
      <c r="E122" s="17">
        <v>0.17676643428873179</v>
      </c>
      <c r="F122" s="17">
        <v>0.2092984543872497</v>
      </c>
      <c r="G122" s="17">
        <v>0.23229372911606111</v>
      </c>
      <c r="H122" s="17">
        <v>0.25951419110201068</v>
      </c>
      <c r="I122" s="17">
        <v>0.29125126947810659</v>
      </c>
    </row>
    <row r="123" spans="1:9" x14ac:dyDescent="0.35">
      <c r="A123" s="16" t="s">
        <v>195</v>
      </c>
      <c r="B123" s="17">
        <v>8.6634038910576874E-2</v>
      </c>
      <c r="C123" s="17">
        <v>6.4644144152303282E-2</v>
      </c>
      <c r="D123" s="17">
        <v>5.4631044553120463E-2</v>
      </c>
      <c r="E123" s="155">
        <v>5.0972397426232018E-2</v>
      </c>
      <c r="F123" s="17">
        <v>8.6634038910576874E-2</v>
      </c>
      <c r="G123" s="17">
        <v>9.1885696175490555E-2</v>
      </c>
      <c r="H123" s="17">
        <v>7.6976865881718426E-2</v>
      </c>
      <c r="I123" s="17">
        <v>7.5561350792096235E-2</v>
      </c>
    </row>
    <row r="124" spans="1:9" x14ac:dyDescent="0.35">
      <c r="A124" s="14" t="s">
        <v>210</v>
      </c>
      <c r="B124" s="18">
        <v>0.51534053660177248</v>
      </c>
      <c r="C124" s="18">
        <v>0.39352091582695881</v>
      </c>
      <c r="D124" s="18">
        <v>0.54206835674719267</v>
      </c>
      <c r="E124" s="19">
        <v>0.57169278445586558</v>
      </c>
      <c r="F124" s="18">
        <v>0.51534053660177248</v>
      </c>
      <c r="G124" s="18">
        <v>0.47664332582335911</v>
      </c>
      <c r="H124" s="18">
        <v>0.4400889243967066</v>
      </c>
      <c r="I124" s="18">
        <v>0.47163854093433688</v>
      </c>
    </row>
    <row r="125" spans="1:9" x14ac:dyDescent="0.35">
      <c r="A125" s="14" t="s">
        <v>197</v>
      </c>
      <c r="B125" s="18">
        <v>0.18872697010040099</v>
      </c>
      <c r="C125" s="22">
        <v>0.39466913628385791</v>
      </c>
      <c r="D125" s="18">
        <v>0.22863577566534379</v>
      </c>
      <c r="E125" s="18">
        <v>0.2005683838291705</v>
      </c>
      <c r="F125" s="18">
        <v>0.18872697010040099</v>
      </c>
      <c r="G125" s="18">
        <v>0.19917724888508909</v>
      </c>
      <c r="H125" s="18">
        <v>0.22342001861956409</v>
      </c>
      <c r="I125" s="24">
        <v>0.1615488387954602</v>
      </c>
    </row>
    <row r="126" spans="1:9" x14ac:dyDescent="0.35">
      <c r="A126" s="14" t="s">
        <v>198</v>
      </c>
      <c r="B126" s="18">
        <v>0.1603913272207298</v>
      </c>
      <c r="C126" s="18">
        <v>0.1222059039685489</v>
      </c>
      <c r="D126" s="18">
        <v>0.1626823315650964</v>
      </c>
      <c r="E126" s="18">
        <v>0.15690113509807399</v>
      </c>
      <c r="F126" s="18">
        <v>0.1603913272207298</v>
      </c>
      <c r="G126" s="18">
        <v>0.15865216743841459</v>
      </c>
      <c r="H126" s="18">
        <v>0.1774832055907791</v>
      </c>
      <c r="I126" s="18">
        <v>0.17297017863620531</v>
      </c>
    </row>
    <row r="127" spans="1:9" x14ac:dyDescent="0.35">
      <c r="A127" s="14" t="s">
        <v>199</v>
      </c>
      <c r="B127" s="18">
        <v>4.8907127166519897E-2</v>
      </c>
      <c r="C127" s="18">
        <v>2.4959899768331149E-2</v>
      </c>
      <c r="D127" s="21">
        <v>1.198249146924669E-2</v>
      </c>
      <c r="E127" s="24">
        <v>1.9865299190657802E-2</v>
      </c>
      <c r="F127" s="18">
        <v>4.8907127166519897E-2</v>
      </c>
      <c r="G127" s="18">
        <v>7.3641561677646475E-2</v>
      </c>
      <c r="H127" s="18">
        <v>8.2030985511231613E-2</v>
      </c>
      <c r="I127" s="18">
        <v>0.1182810908419013</v>
      </c>
    </row>
    <row r="128" spans="1:9" x14ac:dyDescent="0.35">
      <c r="A128" s="14" t="s">
        <v>200</v>
      </c>
      <c r="B128" s="18">
        <v>4.3449514319988433E-2</v>
      </c>
      <c r="C128" s="18">
        <v>2.411562255125815E-2</v>
      </c>
      <c r="D128" s="18">
        <v>3.5174529548926851E-2</v>
      </c>
      <c r="E128" s="18">
        <v>3.6781160448810961E-2</v>
      </c>
      <c r="F128" s="18">
        <v>4.3449514319988433E-2</v>
      </c>
      <c r="G128" s="25">
        <v>4.789957981663772E-2</v>
      </c>
      <c r="H128" s="18">
        <v>4.0127676937811517E-2</v>
      </c>
      <c r="I128" s="18">
        <v>4.5388955083237523E-2</v>
      </c>
    </row>
    <row r="129" spans="1:9" x14ac:dyDescent="0.35">
      <c r="A129" s="14" t="s">
        <v>201</v>
      </c>
      <c r="B129" s="18">
        <v>3.6059553470293167E-2</v>
      </c>
      <c r="C129" s="18">
        <v>4.0528521601045121E-2</v>
      </c>
      <c r="D129" s="18">
        <v>1.9456515004193601E-2</v>
      </c>
      <c r="E129" s="21">
        <v>1.419123697742105E-2</v>
      </c>
      <c r="F129" s="18">
        <v>3.6059553470293167E-2</v>
      </c>
      <c r="G129" s="18">
        <v>3.776830949563216E-2</v>
      </c>
      <c r="H129" s="18">
        <v>3.1640246693804712E-2</v>
      </c>
      <c r="I129" s="18">
        <v>2.4678848455197262E-2</v>
      </c>
    </row>
    <row r="130" spans="1:9" x14ac:dyDescent="0.35">
      <c r="A130" s="14" t="s">
        <v>202</v>
      </c>
      <c r="B130" s="18">
        <v>0</v>
      </c>
      <c r="C130" s="18">
        <v>0</v>
      </c>
      <c r="D130" s="18">
        <v>0</v>
      </c>
      <c r="E130" s="18">
        <v>0</v>
      </c>
      <c r="F130" s="18">
        <v>0</v>
      </c>
      <c r="G130" s="18">
        <v>0</v>
      </c>
      <c r="H130" s="18">
        <v>0</v>
      </c>
      <c r="I130" s="18">
        <v>0</v>
      </c>
    </row>
    <row r="131" spans="1:9" x14ac:dyDescent="0.35">
      <c r="A131" s="14" t="s">
        <v>211</v>
      </c>
      <c r="B131" s="18">
        <v>0</v>
      </c>
      <c r="C131" s="18">
        <v>0</v>
      </c>
      <c r="D131" s="18">
        <v>0</v>
      </c>
      <c r="E131" s="18">
        <v>0</v>
      </c>
      <c r="F131" s="18">
        <v>0</v>
      </c>
      <c r="G131" s="18">
        <v>0</v>
      </c>
      <c r="H131" s="18">
        <v>0</v>
      </c>
      <c r="I131" s="18">
        <v>0</v>
      </c>
    </row>
    <row r="132" spans="1:9" x14ac:dyDescent="0.35">
      <c r="A132" s="14" t="s">
        <v>212</v>
      </c>
      <c r="B132" s="18">
        <v>7.1249711202952754E-3</v>
      </c>
      <c r="C132" s="18">
        <v>0</v>
      </c>
      <c r="D132" s="18">
        <v>0</v>
      </c>
      <c r="E132" s="18">
        <v>0</v>
      </c>
      <c r="F132" s="18">
        <v>7.1249711202952754E-3</v>
      </c>
      <c r="G132" s="18">
        <v>6.2178068632206757E-3</v>
      </c>
      <c r="H132" s="18">
        <v>5.2089422501021944E-3</v>
      </c>
      <c r="I132" s="18">
        <v>5.4935472536614613E-3</v>
      </c>
    </row>
    <row r="133" spans="1:9" x14ac:dyDescent="0.35">
      <c r="A133" s="14" t="s">
        <v>203</v>
      </c>
      <c r="B133" s="18">
        <v>0</v>
      </c>
      <c r="C133" s="18">
        <v>0</v>
      </c>
      <c r="D133" s="18">
        <v>0</v>
      </c>
      <c r="E133" s="18">
        <v>0</v>
      </c>
      <c r="F133" s="18">
        <v>0</v>
      </c>
      <c r="G133" s="18">
        <v>0</v>
      </c>
      <c r="H133" s="18">
        <v>0</v>
      </c>
      <c r="I133" s="18">
        <v>0</v>
      </c>
    </row>
    <row r="134" spans="1:9" x14ac:dyDescent="0.35">
      <c r="A134" s="14" t="s">
        <v>204</v>
      </c>
      <c r="B134" s="18">
        <v>0</v>
      </c>
      <c r="C134" s="18">
        <v>0</v>
      </c>
      <c r="D134" s="18">
        <v>0</v>
      </c>
      <c r="E134" s="18">
        <v>0</v>
      </c>
      <c r="F134" s="18">
        <v>0</v>
      </c>
      <c r="G134" s="18">
        <v>0</v>
      </c>
      <c r="H134" s="18">
        <v>0</v>
      </c>
      <c r="I134" s="18">
        <v>0</v>
      </c>
    </row>
    <row r="135" spans="1:9" x14ac:dyDescent="0.35">
      <c r="A135" s="14" t="s">
        <v>213</v>
      </c>
      <c r="B135" s="1">
        <v>61.743346779159658</v>
      </c>
      <c r="C135" s="1">
        <v>72.354590795851351</v>
      </c>
      <c r="D135" s="1">
        <v>71.607308785941598</v>
      </c>
      <c r="E135" s="1">
        <v>72.128877085880404</v>
      </c>
      <c r="F135" s="1">
        <v>61.743346779159673</v>
      </c>
      <c r="G135" s="1">
        <v>58.393487853295781</v>
      </c>
      <c r="H135" s="1">
        <v>58.653207713455238</v>
      </c>
      <c r="I135" s="1">
        <v>55.762602893770108</v>
      </c>
    </row>
    <row r="137" spans="1:9" x14ac:dyDescent="0.35">
      <c r="C137" s="187"/>
      <c r="D137" s="187"/>
      <c r="E137" s="187"/>
      <c r="F137" s="187"/>
      <c r="G137" s="170"/>
      <c r="H137" s="170"/>
      <c r="I137" s="170"/>
    </row>
    <row r="138" spans="1:9" ht="29" x14ac:dyDescent="0.35">
      <c r="A138" s="12" t="s">
        <v>606</v>
      </c>
      <c r="B138" s="13" t="s">
        <v>208</v>
      </c>
      <c r="C138" s="13" t="s">
        <v>458</v>
      </c>
      <c r="D138" s="13" t="s">
        <v>466</v>
      </c>
      <c r="E138" s="13" t="s">
        <v>467</v>
      </c>
      <c r="F138" s="13" t="s">
        <v>468</v>
      </c>
      <c r="G138" s="13" t="s">
        <v>636</v>
      </c>
      <c r="H138" s="13" t="s">
        <v>641</v>
      </c>
      <c r="I138" s="13" t="s">
        <v>647</v>
      </c>
    </row>
    <row r="139" spans="1:9" x14ac:dyDescent="0.35">
      <c r="A139" s="14" t="s">
        <v>209</v>
      </c>
      <c r="B139" s="15">
        <v>115</v>
      </c>
      <c r="C139" s="15">
        <v>19</v>
      </c>
      <c r="D139" s="15">
        <v>50</v>
      </c>
      <c r="E139" s="15">
        <v>85</v>
      </c>
      <c r="F139" s="15">
        <v>115</v>
      </c>
      <c r="G139" s="15">
        <v>160</v>
      </c>
      <c r="H139" s="15">
        <v>185</v>
      </c>
      <c r="I139" s="15">
        <v>190</v>
      </c>
    </row>
    <row r="140" spans="1:9" x14ac:dyDescent="0.35">
      <c r="A140" s="16" t="s">
        <v>336</v>
      </c>
      <c r="B140" s="17">
        <v>0.6274278102894969</v>
      </c>
      <c r="C140" s="17">
        <v>0.5456169802852241</v>
      </c>
      <c r="D140" s="17">
        <v>0.56633946896701348</v>
      </c>
      <c r="E140" s="17">
        <v>0.61421893437855102</v>
      </c>
      <c r="F140" s="17">
        <v>0.62742781028949701</v>
      </c>
      <c r="G140" s="17">
        <v>0.61551101789161111</v>
      </c>
      <c r="H140" s="17">
        <v>0.61093368939559523</v>
      </c>
      <c r="I140" s="17">
        <v>0.61847362277332563</v>
      </c>
    </row>
    <row r="141" spans="1:9" x14ac:dyDescent="0.35">
      <c r="A141" s="16" t="s">
        <v>194</v>
      </c>
      <c r="B141" s="17">
        <v>0.2064171355653979</v>
      </c>
      <c r="C141" s="17">
        <v>0.21777336075279649</v>
      </c>
      <c r="D141" s="17">
        <v>0.218673945866558</v>
      </c>
      <c r="E141" s="17">
        <v>0.20291316236792911</v>
      </c>
      <c r="F141" s="17">
        <v>0.20641713556539801</v>
      </c>
      <c r="G141" s="17">
        <v>0.2318270816649646</v>
      </c>
      <c r="H141" s="17">
        <v>0.23627630304963901</v>
      </c>
      <c r="I141" s="17">
        <v>0.23823257597005901</v>
      </c>
    </row>
    <row r="142" spans="1:9" x14ac:dyDescent="0.35">
      <c r="A142" s="16" t="s">
        <v>195</v>
      </c>
      <c r="B142" s="17">
        <v>0.16615505414510509</v>
      </c>
      <c r="C142" s="17">
        <v>0.2366096589619793</v>
      </c>
      <c r="D142" s="17">
        <v>0.21498658516642849</v>
      </c>
      <c r="E142" s="17">
        <v>0.18286790325352001</v>
      </c>
      <c r="F142" s="17">
        <v>0.16615505414510509</v>
      </c>
      <c r="G142" s="17">
        <v>0.15266190044342409</v>
      </c>
      <c r="H142" s="17">
        <v>0.1527900075547656</v>
      </c>
      <c r="I142" s="17">
        <v>0.1432938012566152</v>
      </c>
    </row>
    <row r="143" spans="1:9" x14ac:dyDescent="0.35">
      <c r="A143" s="14" t="s">
        <v>210</v>
      </c>
      <c r="B143" s="18">
        <v>0.43898509559897159</v>
      </c>
      <c r="C143" s="18">
        <v>0.43840300754658851</v>
      </c>
      <c r="D143" s="18">
        <v>0.40494247646222381</v>
      </c>
      <c r="E143" s="18">
        <v>0.43190642700385429</v>
      </c>
      <c r="F143" s="18">
        <v>0.4389850955989717</v>
      </c>
      <c r="G143" s="18">
        <v>0.39901987763179869</v>
      </c>
      <c r="H143" s="18">
        <v>0.38408189413369997</v>
      </c>
      <c r="I143" s="18">
        <v>0.3887708914156896</v>
      </c>
    </row>
    <row r="144" spans="1:9" x14ac:dyDescent="0.35">
      <c r="A144" s="14" t="s">
        <v>197</v>
      </c>
      <c r="B144" s="18">
        <v>0.18844271469052529</v>
      </c>
      <c r="C144" s="18">
        <v>0.1072139727386356</v>
      </c>
      <c r="D144" s="18">
        <v>0.1613969925047897</v>
      </c>
      <c r="E144" s="18">
        <v>0.18231250737469659</v>
      </c>
      <c r="F144" s="25">
        <v>0.18844271469052529</v>
      </c>
      <c r="G144" s="18">
        <v>0.21649114025981239</v>
      </c>
      <c r="H144" s="18">
        <v>0.22685179526189519</v>
      </c>
      <c r="I144" s="18">
        <v>0.22970273135763611</v>
      </c>
    </row>
    <row r="145" spans="1:9" x14ac:dyDescent="0.35">
      <c r="A145" s="14" t="s">
        <v>198</v>
      </c>
      <c r="B145" s="18">
        <v>0.14739191473757099</v>
      </c>
      <c r="C145" s="18">
        <v>0.1860213845600367</v>
      </c>
      <c r="D145" s="18">
        <v>0.13064469693711131</v>
      </c>
      <c r="E145" s="18">
        <v>0.14014211280065389</v>
      </c>
      <c r="F145" s="18">
        <v>0.1473919147375711</v>
      </c>
      <c r="G145" s="18">
        <v>0.15465841018513529</v>
      </c>
      <c r="H145" s="18">
        <v>0.16440669333683991</v>
      </c>
      <c r="I145" s="18">
        <v>0.16103124858704931</v>
      </c>
    </row>
    <row r="146" spans="1:9" x14ac:dyDescent="0.35">
      <c r="A146" s="14" t="s">
        <v>199</v>
      </c>
      <c r="B146" s="18">
        <v>5.9025220827826887E-2</v>
      </c>
      <c r="C146" s="18">
        <v>3.1751976192759809E-2</v>
      </c>
      <c r="D146" s="18">
        <v>8.8029248929446635E-2</v>
      </c>
      <c r="E146" s="18">
        <v>6.2771049567275167E-2</v>
      </c>
      <c r="F146" s="18">
        <v>5.9025220827826887E-2</v>
      </c>
      <c r="G146" s="18">
        <v>7.7168671479829379E-2</v>
      </c>
      <c r="H146" s="18">
        <v>7.1869609712799154E-2</v>
      </c>
      <c r="I146" s="18">
        <v>7.7201327383009749E-2</v>
      </c>
    </row>
    <row r="147" spans="1:9" x14ac:dyDescent="0.35">
      <c r="A147" s="14" t="s">
        <v>200</v>
      </c>
      <c r="B147" s="18">
        <v>0.1036917155070672</v>
      </c>
      <c r="C147" s="18">
        <v>0.1153195209626338</v>
      </c>
      <c r="D147" s="18">
        <v>0.1484681942714649</v>
      </c>
      <c r="E147" s="18">
        <v>0.11625275952373849</v>
      </c>
      <c r="F147" s="18">
        <v>0.1036917155070672</v>
      </c>
      <c r="G147" s="18">
        <v>0.10020994088062631</v>
      </c>
      <c r="H147" s="18">
        <v>9.0343549299808479E-2</v>
      </c>
      <c r="I147" s="18">
        <v>8.7111126980360679E-2</v>
      </c>
    </row>
    <row r="148" spans="1:9" x14ac:dyDescent="0.35">
      <c r="A148" s="14" t="s">
        <v>201</v>
      </c>
      <c r="B148" s="18">
        <v>2.0033779130219011E-2</v>
      </c>
      <c r="C148" s="18">
        <v>5.5326928369549437E-2</v>
      </c>
      <c r="D148" s="18">
        <v>3.03981899892313E-2</v>
      </c>
      <c r="E148" s="18">
        <v>2.7172708910503642E-2</v>
      </c>
      <c r="F148" s="18">
        <v>2.0033779130219011E-2</v>
      </c>
      <c r="G148" s="18">
        <v>1.4187972538065171E-2</v>
      </c>
      <c r="H148" s="18">
        <v>2.5319989465271191E-2</v>
      </c>
      <c r="I148" s="18">
        <v>2.6242489830052021E-2</v>
      </c>
    </row>
    <row r="149" spans="1:9" x14ac:dyDescent="0.35">
      <c r="A149" s="14" t="s">
        <v>202</v>
      </c>
      <c r="B149" s="18">
        <v>1.7699882844108821E-2</v>
      </c>
      <c r="C149" s="18">
        <v>6.596320962979603E-2</v>
      </c>
      <c r="D149" s="18">
        <v>2.1068024743970661E-2</v>
      </c>
      <c r="E149" s="18">
        <v>2.400714119621665E-2</v>
      </c>
      <c r="F149" s="18">
        <v>1.7699882844108821E-2</v>
      </c>
      <c r="G149" s="18">
        <v>2.0750368096454311E-2</v>
      </c>
      <c r="H149" s="18">
        <v>2.2092814400293238E-2</v>
      </c>
      <c r="I149" s="18">
        <v>1.5798678181181931E-2</v>
      </c>
    </row>
    <row r="150" spans="1:9" x14ac:dyDescent="0.35">
      <c r="A150" s="14" t="s">
        <v>211</v>
      </c>
      <c r="B150" s="18">
        <v>1.8713748900159179E-2</v>
      </c>
      <c r="C150" s="18">
        <v>0</v>
      </c>
      <c r="D150" s="18">
        <v>1.505217616176162E-2</v>
      </c>
      <c r="E150" s="18">
        <v>1.543529362306119E-2</v>
      </c>
      <c r="F150" s="18">
        <v>1.8713748900159179E-2</v>
      </c>
      <c r="G150" s="18">
        <v>1.3253123824211951E-2</v>
      </c>
      <c r="H150" s="18">
        <v>1.1376454173690121E-2</v>
      </c>
      <c r="I150" s="18">
        <v>1.070133673449822E-2</v>
      </c>
    </row>
    <row r="151" spans="1:9" x14ac:dyDescent="0.35">
      <c r="A151" s="14" t="s">
        <v>212</v>
      </c>
      <c r="B151" s="18">
        <v>0</v>
      </c>
      <c r="C151" s="18">
        <v>0</v>
      </c>
      <c r="D151" s="18">
        <v>0</v>
      </c>
      <c r="E151" s="18">
        <v>0</v>
      </c>
      <c r="F151" s="18">
        <v>0</v>
      </c>
      <c r="G151" s="18">
        <v>0</v>
      </c>
      <c r="H151" s="18">
        <v>0</v>
      </c>
      <c r="I151" s="18">
        <v>0</v>
      </c>
    </row>
    <row r="152" spans="1:9" x14ac:dyDescent="0.35">
      <c r="A152" s="14" t="s">
        <v>203</v>
      </c>
      <c r="B152" s="18">
        <v>0</v>
      </c>
      <c r="C152" s="18">
        <v>0</v>
      </c>
      <c r="D152" s="18">
        <v>0</v>
      </c>
      <c r="E152" s="18">
        <v>0</v>
      </c>
      <c r="F152" s="18">
        <v>0</v>
      </c>
      <c r="G152" s="18">
        <v>0</v>
      </c>
      <c r="H152" s="18">
        <v>0</v>
      </c>
      <c r="I152" s="18">
        <v>0</v>
      </c>
    </row>
    <row r="153" spans="1:9" x14ac:dyDescent="0.35">
      <c r="A153" s="14" t="s">
        <v>204</v>
      </c>
      <c r="B153" s="18">
        <v>6.0159277635508934E-3</v>
      </c>
      <c r="C153" s="18">
        <v>0</v>
      </c>
      <c r="D153" s="18">
        <v>0</v>
      </c>
      <c r="E153" s="18">
        <v>0</v>
      </c>
      <c r="F153" s="18">
        <v>6.0159277635508943E-3</v>
      </c>
      <c r="G153" s="18">
        <v>4.2604951040663081E-3</v>
      </c>
      <c r="H153" s="18">
        <v>3.65720021570262E-3</v>
      </c>
      <c r="I153" s="18">
        <v>3.440169530522411E-3</v>
      </c>
    </row>
    <row r="154" spans="1:9" x14ac:dyDescent="0.35">
      <c r="A154" s="14" t="s">
        <v>213</v>
      </c>
      <c r="B154" s="1">
        <v>46.127275614439178</v>
      </c>
      <c r="C154" s="1">
        <v>30.900732132324489</v>
      </c>
      <c r="D154" s="1">
        <v>35.135288380058498</v>
      </c>
      <c r="E154" s="1">
        <v>43.135103112503103</v>
      </c>
      <c r="F154" s="1">
        <v>46.127275614439178</v>
      </c>
      <c r="G154" s="1">
        <v>46.284911744818707</v>
      </c>
      <c r="H154" s="1">
        <v>45.814368184082973</v>
      </c>
      <c r="I154" s="1">
        <v>47.517982151671049</v>
      </c>
    </row>
    <row r="156" spans="1:9" x14ac:dyDescent="0.35">
      <c r="C156" s="187"/>
      <c r="D156" s="187"/>
      <c r="E156" s="187"/>
      <c r="F156" s="187"/>
      <c r="G156" s="170"/>
      <c r="H156" s="170"/>
      <c r="I156" s="170"/>
    </row>
    <row r="157" spans="1:9" ht="29" x14ac:dyDescent="0.35">
      <c r="A157" s="12" t="s">
        <v>483</v>
      </c>
      <c r="B157" s="13" t="s">
        <v>208</v>
      </c>
      <c r="C157" s="13" t="s">
        <v>458</v>
      </c>
      <c r="D157" s="13" t="s">
        <v>466</v>
      </c>
      <c r="E157" s="13" t="s">
        <v>467</v>
      </c>
      <c r="F157" s="13" t="s">
        <v>468</v>
      </c>
      <c r="G157" s="13" t="s">
        <v>636</v>
      </c>
      <c r="H157" s="13" t="s">
        <v>641</v>
      </c>
      <c r="I157" s="13" t="s">
        <v>647</v>
      </c>
    </row>
    <row r="158" spans="1:9" x14ac:dyDescent="0.35">
      <c r="A158" s="14" t="s">
        <v>209</v>
      </c>
      <c r="B158" s="15">
        <v>26</v>
      </c>
      <c r="C158" s="15">
        <v>8</v>
      </c>
      <c r="D158" s="15">
        <v>12</v>
      </c>
      <c r="E158" s="15">
        <v>18</v>
      </c>
      <c r="F158" s="15">
        <v>26</v>
      </c>
      <c r="G158" s="15">
        <v>34</v>
      </c>
      <c r="H158" s="15">
        <v>40</v>
      </c>
      <c r="I158" s="15">
        <v>38</v>
      </c>
    </row>
    <row r="159" spans="1:9" x14ac:dyDescent="0.35">
      <c r="A159" s="16" t="s">
        <v>336</v>
      </c>
      <c r="B159" s="17">
        <v>0.72986103917548217</v>
      </c>
      <c r="C159" s="17">
        <v>0.54184536738123734</v>
      </c>
      <c r="D159" s="17">
        <v>0.69014148246154494</v>
      </c>
      <c r="E159" s="17">
        <v>0.77244939058480777</v>
      </c>
      <c r="F159" s="17">
        <v>0.72986103917548228</v>
      </c>
      <c r="G159" s="17">
        <v>0.66994326064728904</v>
      </c>
      <c r="H159" s="17">
        <v>0.60664919266107098</v>
      </c>
      <c r="I159" s="17">
        <v>0.61061630742687145</v>
      </c>
    </row>
    <row r="160" spans="1:9" x14ac:dyDescent="0.35">
      <c r="A160" s="16" t="s">
        <v>194</v>
      </c>
      <c r="B160" s="17">
        <v>9.8021541911734927E-2</v>
      </c>
      <c r="C160" s="17">
        <v>0.2148378829761767</v>
      </c>
      <c r="D160" s="17">
        <v>0.15140917773053861</v>
      </c>
      <c r="E160" s="17">
        <v>0.13832936947274291</v>
      </c>
      <c r="F160" s="17">
        <v>9.8021541911734955E-2</v>
      </c>
      <c r="G160" s="17">
        <v>0.20944699335849251</v>
      </c>
      <c r="H160" s="17">
        <v>0.24179253988269031</v>
      </c>
      <c r="I160" s="17">
        <v>0.27606165654264858</v>
      </c>
    </row>
    <row r="161" spans="1:9" x14ac:dyDescent="0.35">
      <c r="A161" s="16" t="s">
        <v>195</v>
      </c>
      <c r="B161" s="17">
        <v>0.17211741891278279</v>
      </c>
      <c r="C161" s="17">
        <v>0.24331674964258601</v>
      </c>
      <c r="D161" s="17">
        <v>0.1584493398079164</v>
      </c>
      <c r="E161" s="17">
        <v>8.9221239942449238E-2</v>
      </c>
      <c r="F161" s="17">
        <v>0.1721174189127829</v>
      </c>
      <c r="G161" s="17">
        <v>0.1206097459942185</v>
      </c>
      <c r="H161" s="17">
        <v>0.15155826745623871</v>
      </c>
      <c r="I161" s="17">
        <v>0.1133220360304799</v>
      </c>
    </row>
    <row r="162" spans="1:9" x14ac:dyDescent="0.35">
      <c r="A162" s="14" t="s">
        <v>210</v>
      </c>
      <c r="B162" s="18">
        <v>0.50395307182749949</v>
      </c>
      <c r="C162" s="18">
        <v>0.26692777008352331</v>
      </c>
      <c r="D162" s="18">
        <v>0.51111347942686469</v>
      </c>
      <c r="E162" s="18">
        <v>0.50151782969332215</v>
      </c>
      <c r="F162" s="18">
        <v>0.5039530718274996</v>
      </c>
      <c r="G162" s="18">
        <v>0.40617239720227533</v>
      </c>
      <c r="H162" s="18">
        <v>0.35881624805468831</v>
      </c>
      <c r="I162" s="18">
        <v>0.36301841563165649</v>
      </c>
    </row>
    <row r="163" spans="1:9" x14ac:dyDescent="0.35">
      <c r="A163" s="14" t="s">
        <v>197</v>
      </c>
      <c r="B163" s="18">
        <v>0.2259079673479828</v>
      </c>
      <c r="C163" s="18">
        <v>0.27491759729771409</v>
      </c>
      <c r="D163" s="18">
        <v>0.17902800303468019</v>
      </c>
      <c r="E163" s="18">
        <v>0.27093156089148562</v>
      </c>
      <c r="F163" s="18">
        <v>0.2259079673479828</v>
      </c>
      <c r="G163" s="18">
        <v>0.26377086344501371</v>
      </c>
      <c r="H163" s="18">
        <v>0.2478329446063828</v>
      </c>
      <c r="I163" s="18">
        <v>0.24759789179521491</v>
      </c>
    </row>
    <row r="164" spans="1:9" x14ac:dyDescent="0.35">
      <c r="A164" s="14" t="s">
        <v>198</v>
      </c>
      <c r="B164" s="18">
        <v>2.5734893029486779E-2</v>
      </c>
      <c r="C164" s="18">
        <v>8.1373997934415104E-2</v>
      </c>
      <c r="D164" s="18">
        <v>6.4496688129512258E-2</v>
      </c>
      <c r="E164" s="18">
        <v>3.631744060323959E-2</v>
      </c>
      <c r="F164" s="18">
        <v>2.5734893029486779E-2</v>
      </c>
      <c r="G164" s="18">
        <v>0.15879276896021041</v>
      </c>
      <c r="H164" s="18">
        <v>0.1996505606104805</v>
      </c>
      <c r="I164" s="18">
        <v>0.18507307808760781</v>
      </c>
    </row>
    <row r="165" spans="1:9" x14ac:dyDescent="0.35">
      <c r="A165" s="14" t="s">
        <v>199</v>
      </c>
      <c r="B165" s="18">
        <v>7.2286648882248158E-2</v>
      </c>
      <c r="C165" s="18">
        <v>0.1334638850417616</v>
      </c>
      <c r="D165" s="18">
        <v>8.6912489601026321E-2</v>
      </c>
      <c r="E165" s="18">
        <v>0.1020119288695033</v>
      </c>
      <c r="F165" s="18">
        <v>7.2286648882248172E-2</v>
      </c>
      <c r="G165" s="18">
        <v>5.0654224398282009E-2</v>
      </c>
      <c r="H165" s="18">
        <v>4.2141979272209792E-2</v>
      </c>
      <c r="I165" s="18">
        <v>9.0988578455040783E-2</v>
      </c>
    </row>
    <row r="166" spans="1:9" x14ac:dyDescent="0.35">
      <c r="A166" s="14" t="s">
        <v>200</v>
      </c>
      <c r="B166" s="18">
        <v>3.3923217816037098E-2</v>
      </c>
      <c r="C166" s="18">
        <v>0</v>
      </c>
      <c r="D166" s="18">
        <v>0</v>
      </c>
      <c r="E166" s="18">
        <v>0</v>
      </c>
      <c r="F166" s="18">
        <v>3.3923217816037111E-2</v>
      </c>
      <c r="G166" s="18">
        <v>2.3771392285240209E-2</v>
      </c>
      <c r="H166" s="18">
        <v>1.9776702394640491E-2</v>
      </c>
      <c r="I166" s="18">
        <v>1.9539073373054879E-2</v>
      </c>
    </row>
    <row r="167" spans="1:9" x14ac:dyDescent="0.35">
      <c r="A167" s="14" t="s">
        <v>201</v>
      </c>
      <c r="B167" s="18">
        <v>9.3548166851874837E-2</v>
      </c>
      <c r="C167" s="18">
        <v>0.24331674964258601</v>
      </c>
      <c r="D167" s="18">
        <v>0.1584493398079164</v>
      </c>
      <c r="E167" s="18">
        <v>8.9221239942449238E-2</v>
      </c>
      <c r="F167" s="18">
        <v>9.354816685187485E-2</v>
      </c>
      <c r="G167" s="18">
        <v>6.5553043460097118E-2</v>
      </c>
      <c r="H167" s="18">
        <v>8.5060333209627179E-2</v>
      </c>
      <c r="I167" s="23">
        <v>4.7623114619131039E-2</v>
      </c>
    </row>
    <row r="168" spans="1:9" x14ac:dyDescent="0.35">
      <c r="A168" s="14" t="s">
        <v>202</v>
      </c>
      <c r="B168" s="18">
        <v>0</v>
      </c>
      <c r="C168" s="18">
        <v>0</v>
      </c>
      <c r="D168" s="18">
        <v>0</v>
      </c>
      <c r="E168" s="18">
        <v>0</v>
      </c>
      <c r="F168" s="18">
        <v>0</v>
      </c>
      <c r="G168" s="18">
        <v>0</v>
      </c>
      <c r="H168" s="18">
        <v>2.0693296142867121E-2</v>
      </c>
      <c r="I168" s="18">
        <v>2.0444653693904379E-2</v>
      </c>
    </row>
    <row r="169" spans="1:9" x14ac:dyDescent="0.35">
      <c r="A169" s="14" t="s">
        <v>211</v>
      </c>
      <c r="B169" s="18">
        <v>0</v>
      </c>
      <c r="C169" s="18">
        <v>0</v>
      </c>
      <c r="D169" s="18">
        <v>0</v>
      </c>
      <c r="E169" s="18">
        <v>0</v>
      </c>
      <c r="F169" s="18">
        <v>0</v>
      </c>
      <c r="G169" s="18">
        <v>0</v>
      </c>
      <c r="H169" s="18">
        <v>0</v>
      </c>
      <c r="I169" s="18">
        <v>0</v>
      </c>
    </row>
    <row r="170" spans="1:9" x14ac:dyDescent="0.35">
      <c r="A170" s="14" t="s">
        <v>212</v>
      </c>
      <c r="B170" s="18">
        <v>4.4646034244870902E-2</v>
      </c>
      <c r="C170" s="18">
        <v>0</v>
      </c>
      <c r="D170" s="18">
        <v>0</v>
      </c>
      <c r="E170" s="18">
        <v>0</v>
      </c>
      <c r="F170" s="18">
        <v>4.4646034244870909E-2</v>
      </c>
      <c r="G170" s="18">
        <v>3.1285310248881183E-2</v>
      </c>
      <c r="H170" s="18">
        <v>2.602793570910384E-2</v>
      </c>
      <c r="I170" s="18">
        <v>2.571519434438959E-2</v>
      </c>
    </row>
    <row r="171" spans="1:9" x14ac:dyDescent="0.35">
      <c r="A171" s="14" t="s">
        <v>203</v>
      </c>
      <c r="B171" s="18">
        <v>0</v>
      </c>
      <c r="C171" s="18">
        <v>0</v>
      </c>
      <c r="D171" s="18">
        <v>0</v>
      </c>
      <c r="E171" s="18">
        <v>0</v>
      </c>
      <c r="F171" s="18">
        <v>0</v>
      </c>
      <c r="G171" s="18">
        <v>0</v>
      </c>
      <c r="H171" s="18">
        <v>0</v>
      </c>
      <c r="I171" s="18">
        <v>0</v>
      </c>
    </row>
    <row r="172" spans="1:9" x14ac:dyDescent="0.35">
      <c r="A172" s="14" t="s">
        <v>204</v>
      </c>
      <c r="B172" s="18">
        <v>0</v>
      </c>
      <c r="C172" s="18">
        <v>0</v>
      </c>
      <c r="D172" s="18">
        <v>0</v>
      </c>
      <c r="E172" s="18">
        <v>0</v>
      </c>
      <c r="F172" s="18">
        <v>0</v>
      </c>
      <c r="G172" s="18">
        <v>0</v>
      </c>
      <c r="H172" s="18">
        <v>0</v>
      </c>
      <c r="I172" s="18">
        <v>0</v>
      </c>
    </row>
    <row r="173" spans="1:9" x14ac:dyDescent="0.35">
      <c r="A173" s="14" t="s">
        <v>213</v>
      </c>
      <c r="B173" s="1">
        <v>55.774362026269927</v>
      </c>
      <c r="C173" s="1">
        <v>29.852861773865129</v>
      </c>
      <c r="D173" s="1">
        <v>53.169214265362847</v>
      </c>
      <c r="E173" s="1">
        <v>68.322815064235854</v>
      </c>
      <c r="F173" s="1">
        <v>55.774362026269927</v>
      </c>
      <c r="G173" s="1">
        <v>54.933351465307062</v>
      </c>
      <c r="H173" s="1">
        <v>45.509092520483243</v>
      </c>
      <c r="I173" s="1">
        <v>49.729427139639149</v>
      </c>
    </row>
    <row r="175" spans="1:9" x14ac:dyDescent="0.35">
      <c r="C175" s="187"/>
      <c r="D175" s="187"/>
      <c r="E175" s="187"/>
      <c r="F175" s="187"/>
      <c r="G175" s="170"/>
      <c r="H175" s="170"/>
      <c r="I175" s="170"/>
    </row>
    <row r="176" spans="1:9" ht="29" x14ac:dyDescent="0.35">
      <c r="A176" s="12" t="s">
        <v>607</v>
      </c>
      <c r="B176" s="13" t="s">
        <v>208</v>
      </c>
      <c r="C176" s="13" t="s">
        <v>458</v>
      </c>
      <c r="D176" s="13" t="s">
        <v>466</v>
      </c>
      <c r="E176" s="13" t="s">
        <v>467</v>
      </c>
      <c r="F176" s="13" t="s">
        <v>468</v>
      </c>
      <c r="G176" s="13" t="s">
        <v>636</v>
      </c>
      <c r="H176" s="13" t="s">
        <v>641</v>
      </c>
      <c r="I176" s="13" t="s">
        <v>647</v>
      </c>
    </row>
    <row r="177" spans="1:9" x14ac:dyDescent="0.35">
      <c r="A177" s="14" t="s">
        <v>209</v>
      </c>
      <c r="B177" s="15">
        <v>22</v>
      </c>
      <c r="C177" s="15">
        <v>4</v>
      </c>
      <c r="D177" s="15">
        <v>11</v>
      </c>
      <c r="E177" s="15">
        <v>16</v>
      </c>
      <c r="F177" s="15">
        <v>22</v>
      </c>
      <c r="G177" s="15">
        <v>29</v>
      </c>
      <c r="H177" s="15">
        <v>31</v>
      </c>
      <c r="I177" s="15">
        <v>30</v>
      </c>
    </row>
    <row r="178" spans="1:9" x14ac:dyDescent="0.35">
      <c r="A178" s="16" t="s">
        <v>336</v>
      </c>
      <c r="B178" s="17">
        <v>0.53468241605792566</v>
      </c>
      <c r="C178" s="155">
        <v>0.12942199782286171</v>
      </c>
      <c r="D178" s="17">
        <v>0.38981079658524842</v>
      </c>
      <c r="E178" s="148">
        <v>0.3748002523203513</v>
      </c>
      <c r="F178" s="152">
        <v>0.53468241605792566</v>
      </c>
      <c r="G178" s="17">
        <v>0.51916423186828553</v>
      </c>
      <c r="H178" s="17">
        <v>0.51783392145054208</v>
      </c>
      <c r="I178" s="149">
        <v>0.62643281379562865</v>
      </c>
    </row>
    <row r="179" spans="1:9" x14ac:dyDescent="0.35">
      <c r="A179" s="16" t="s">
        <v>194</v>
      </c>
      <c r="B179" s="17">
        <v>0.24153421880530579</v>
      </c>
      <c r="C179" s="17">
        <v>0.14035960559546701</v>
      </c>
      <c r="D179" s="17">
        <v>0.24986338375212039</v>
      </c>
      <c r="E179" s="17">
        <v>0.32452487905953842</v>
      </c>
      <c r="F179" s="17">
        <v>0.24153421880530579</v>
      </c>
      <c r="G179" s="17">
        <v>0.25747370568239192</v>
      </c>
      <c r="H179" s="17">
        <v>0.27430898810460841</v>
      </c>
      <c r="I179" s="17">
        <v>0.26845084818279091</v>
      </c>
    </row>
    <row r="180" spans="1:9" x14ac:dyDescent="0.35">
      <c r="A180" s="16" t="s">
        <v>195</v>
      </c>
      <c r="B180" s="17">
        <v>0.2237833651367685</v>
      </c>
      <c r="C180" s="151">
        <v>0.7302183965816712</v>
      </c>
      <c r="D180" s="17">
        <v>0.36032581966263139</v>
      </c>
      <c r="E180" s="17">
        <v>0.30067486862011039</v>
      </c>
      <c r="F180" s="17">
        <v>0.2237833651367685</v>
      </c>
      <c r="G180" s="17">
        <v>0.22336206244932269</v>
      </c>
      <c r="H180" s="17">
        <v>0.20785709044484971</v>
      </c>
      <c r="I180" s="148">
        <v>0.1051163380215805</v>
      </c>
    </row>
    <row r="181" spans="1:9" x14ac:dyDescent="0.35">
      <c r="A181" s="14" t="s">
        <v>210</v>
      </c>
      <c r="B181" s="18">
        <v>0.39803803073975091</v>
      </c>
      <c r="C181" s="21">
        <v>0</v>
      </c>
      <c r="D181" s="18">
        <v>0.28203683190267809</v>
      </c>
      <c r="E181" s="21">
        <v>0.26953269818802028</v>
      </c>
      <c r="F181" s="18">
        <v>0.39803803073975091</v>
      </c>
      <c r="G181" s="18">
        <v>0.39270638971540328</v>
      </c>
      <c r="H181" s="18">
        <v>0.36544615800127089</v>
      </c>
      <c r="I181" s="19">
        <v>0.48540603148465611</v>
      </c>
    </row>
    <row r="182" spans="1:9" x14ac:dyDescent="0.35">
      <c r="A182" s="14" t="s">
        <v>197</v>
      </c>
      <c r="B182" s="18">
        <v>0.13664438531817469</v>
      </c>
      <c r="C182" s="18">
        <v>0.12942199782286171</v>
      </c>
      <c r="D182" s="18">
        <v>0.10777396468257019</v>
      </c>
      <c r="E182" s="18">
        <v>0.10526755413233101</v>
      </c>
      <c r="F182" s="18">
        <v>0.13664438531817469</v>
      </c>
      <c r="G182" s="18">
        <v>0.1264578421528823</v>
      </c>
      <c r="H182" s="18">
        <v>0.15238776344927099</v>
      </c>
      <c r="I182" s="18">
        <v>0.14102678231097249</v>
      </c>
    </row>
    <row r="183" spans="1:9" x14ac:dyDescent="0.35">
      <c r="A183" s="14" t="s">
        <v>198</v>
      </c>
      <c r="B183" s="18">
        <v>6.5726098098206981E-2</v>
      </c>
      <c r="C183" s="18">
        <v>0</v>
      </c>
      <c r="D183" s="18">
        <v>0.12666669016242099</v>
      </c>
      <c r="E183" s="18">
        <v>8.8309450072452514E-2</v>
      </c>
      <c r="F183" s="18">
        <v>6.5726098098206981E-2</v>
      </c>
      <c r="G183" s="25">
        <v>9.0551662730858282E-2</v>
      </c>
      <c r="H183" s="18">
        <v>8.4265899695701002E-2</v>
      </c>
      <c r="I183" s="18">
        <v>8.9260345266587701E-2</v>
      </c>
    </row>
    <row r="184" spans="1:9" x14ac:dyDescent="0.35">
      <c r="A184" s="14" t="s">
        <v>199</v>
      </c>
      <c r="B184" s="18">
        <v>0.17580812070709889</v>
      </c>
      <c r="C184" s="18">
        <v>0.14035960559546701</v>
      </c>
      <c r="D184" s="18">
        <v>0.1231966935896994</v>
      </c>
      <c r="E184" s="18">
        <v>0.23621542898708589</v>
      </c>
      <c r="F184" s="18">
        <v>0.17580812070709889</v>
      </c>
      <c r="G184" s="18">
        <v>0.16692204295153351</v>
      </c>
      <c r="H184" s="18">
        <v>0.1900430884089073</v>
      </c>
      <c r="I184" s="18">
        <v>0.1791905029162032</v>
      </c>
    </row>
    <row r="185" spans="1:9" x14ac:dyDescent="0.35">
      <c r="A185" s="14" t="s">
        <v>200</v>
      </c>
      <c r="B185" s="18">
        <v>0</v>
      </c>
      <c r="C185" s="18">
        <v>0</v>
      </c>
      <c r="D185" s="18">
        <v>0</v>
      </c>
      <c r="E185" s="18">
        <v>0</v>
      </c>
      <c r="F185" s="18">
        <v>0</v>
      </c>
      <c r="G185" s="18">
        <v>5.0579857106465349E-2</v>
      </c>
      <c r="H185" s="18">
        <v>4.7068789650218497E-2</v>
      </c>
      <c r="I185" s="18">
        <v>4.9858559994384467E-2</v>
      </c>
    </row>
    <row r="186" spans="1:9" x14ac:dyDescent="0.35">
      <c r="A186" s="14" t="s">
        <v>201</v>
      </c>
      <c r="B186" s="18">
        <v>0.20301449776914091</v>
      </c>
      <c r="C186" s="22">
        <v>0.62990178904767813</v>
      </c>
      <c r="D186" s="18">
        <v>0.32030026263125372</v>
      </c>
      <c r="E186" s="18">
        <v>0.27276986118877872</v>
      </c>
      <c r="F186" s="18">
        <v>0.20301449776914091</v>
      </c>
      <c r="G186" s="18">
        <v>0.15674664924127299</v>
      </c>
      <c r="H186" s="18">
        <v>0.14586587395817269</v>
      </c>
      <c r="I186" s="25">
        <v>5.5257778027196072E-2</v>
      </c>
    </row>
    <row r="187" spans="1:9" x14ac:dyDescent="0.35">
      <c r="A187" s="14" t="s">
        <v>202</v>
      </c>
      <c r="B187" s="18">
        <v>0</v>
      </c>
      <c r="C187" s="18">
        <v>0</v>
      </c>
      <c r="D187" s="18">
        <v>0</v>
      </c>
      <c r="E187" s="18">
        <v>0</v>
      </c>
      <c r="F187" s="18">
        <v>0</v>
      </c>
      <c r="G187" s="18">
        <v>0</v>
      </c>
      <c r="H187" s="18">
        <v>0</v>
      </c>
      <c r="I187" s="18">
        <v>0</v>
      </c>
    </row>
    <row r="188" spans="1:9" x14ac:dyDescent="0.35">
      <c r="A188" s="14" t="s">
        <v>211</v>
      </c>
      <c r="B188" s="18">
        <v>2.076886736762764E-2</v>
      </c>
      <c r="C188" s="18">
        <v>0.1003166075339931</v>
      </c>
      <c r="D188" s="18">
        <v>4.0025557031377647E-2</v>
      </c>
      <c r="E188" s="18">
        <v>2.7905007431331681E-2</v>
      </c>
      <c r="F188" s="25">
        <v>2.076886736762764E-2</v>
      </c>
      <c r="G188" s="18">
        <v>1.6035556101584449E-2</v>
      </c>
      <c r="H188" s="18">
        <v>1.492242683645853E-2</v>
      </c>
      <c r="I188" s="23">
        <v>0</v>
      </c>
    </row>
    <row r="189" spans="1:9" x14ac:dyDescent="0.35">
      <c r="A189" s="14" t="s">
        <v>212</v>
      </c>
      <c r="B189" s="18">
        <v>0</v>
      </c>
      <c r="C189" s="18">
        <v>0</v>
      </c>
      <c r="D189" s="18">
        <v>0</v>
      </c>
      <c r="E189" s="18">
        <v>0</v>
      </c>
      <c r="F189" s="18">
        <v>0</v>
      </c>
      <c r="G189" s="18">
        <v>0</v>
      </c>
      <c r="H189" s="18">
        <v>0</v>
      </c>
      <c r="I189" s="18">
        <v>0</v>
      </c>
    </row>
    <row r="190" spans="1:9" x14ac:dyDescent="0.35">
      <c r="A190" s="14" t="s">
        <v>203</v>
      </c>
      <c r="B190" s="18">
        <v>0</v>
      </c>
      <c r="C190" s="18">
        <v>0</v>
      </c>
      <c r="D190" s="18">
        <v>0</v>
      </c>
      <c r="E190" s="18">
        <v>0</v>
      </c>
      <c r="F190" s="18">
        <v>0</v>
      </c>
      <c r="G190" s="18">
        <v>0</v>
      </c>
      <c r="H190" s="18">
        <v>0</v>
      </c>
      <c r="I190" s="18">
        <v>0</v>
      </c>
    </row>
    <row r="191" spans="1:9" x14ac:dyDescent="0.35">
      <c r="A191" s="14" t="s">
        <v>204</v>
      </c>
      <c r="B191" s="18">
        <v>0</v>
      </c>
      <c r="C191" s="18">
        <v>0</v>
      </c>
      <c r="D191" s="18">
        <v>0</v>
      </c>
      <c r="E191" s="18">
        <v>0</v>
      </c>
      <c r="F191" s="18">
        <v>0</v>
      </c>
      <c r="G191" s="18">
        <v>0</v>
      </c>
      <c r="H191" s="18">
        <v>0</v>
      </c>
      <c r="I191" s="18">
        <v>0</v>
      </c>
    </row>
    <row r="192" spans="1:9" x14ac:dyDescent="0.35">
      <c r="A192" s="14" t="s">
        <v>213</v>
      </c>
      <c r="B192" s="1">
        <v>31.089905092115711</v>
      </c>
      <c r="C192" s="1">
        <v>-60.079639875880957</v>
      </c>
      <c r="D192" s="1">
        <v>2.948497692261697</v>
      </c>
      <c r="E192" s="1">
        <v>7.4125383700240981</v>
      </c>
      <c r="F192" s="1">
        <v>31.089905092115711</v>
      </c>
      <c r="G192" s="1">
        <v>29.580216941896278</v>
      </c>
      <c r="H192" s="1">
        <v>30.99768310056923</v>
      </c>
      <c r="I192" s="1">
        <v>52.131647577404813</v>
      </c>
    </row>
    <row r="194" spans="1:9" x14ac:dyDescent="0.35">
      <c r="C194" s="187"/>
      <c r="D194" s="187"/>
      <c r="E194" s="187"/>
      <c r="F194" s="187"/>
      <c r="G194" s="170"/>
      <c r="H194" s="170"/>
      <c r="I194" s="170"/>
    </row>
    <row r="195" spans="1:9" ht="29" x14ac:dyDescent="0.35">
      <c r="A195" s="12" t="s">
        <v>608</v>
      </c>
      <c r="B195" s="13" t="s">
        <v>208</v>
      </c>
      <c r="C195" s="13" t="s">
        <v>458</v>
      </c>
      <c r="D195" s="13" t="s">
        <v>466</v>
      </c>
      <c r="E195" s="13" t="s">
        <v>467</v>
      </c>
      <c r="F195" s="13" t="s">
        <v>468</v>
      </c>
      <c r="G195" s="13" t="s">
        <v>636</v>
      </c>
      <c r="H195" s="13" t="s">
        <v>641</v>
      </c>
      <c r="I195" s="13" t="s">
        <v>647</v>
      </c>
    </row>
    <row r="196" spans="1:9" x14ac:dyDescent="0.35">
      <c r="A196" s="14" t="s">
        <v>209</v>
      </c>
      <c r="B196" s="15">
        <v>176</v>
      </c>
      <c r="C196" s="15">
        <v>44</v>
      </c>
      <c r="D196" s="15">
        <v>91</v>
      </c>
      <c r="E196" s="15">
        <v>135</v>
      </c>
      <c r="F196" s="15">
        <v>176</v>
      </c>
      <c r="G196" s="15">
        <v>222</v>
      </c>
      <c r="H196" s="15">
        <v>258</v>
      </c>
      <c r="I196" s="15">
        <v>267</v>
      </c>
    </row>
    <row r="197" spans="1:9" x14ac:dyDescent="0.35">
      <c r="A197" s="16" t="s">
        <v>336</v>
      </c>
      <c r="B197" s="17">
        <v>0.56625809388115711</v>
      </c>
      <c r="C197" s="17">
        <v>0.45691441522653392</v>
      </c>
      <c r="D197" s="17">
        <v>0.5552868112571645</v>
      </c>
      <c r="E197" s="17">
        <v>0.56433626124810554</v>
      </c>
      <c r="F197" s="152">
        <v>0.56625809388115689</v>
      </c>
      <c r="G197" s="17">
        <v>0.57773544152458811</v>
      </c>
      <c r="H197" s="17">
        <v>0.59530517716885467</v>
      </c>
      <c r="I197" s="153">
        <v>0.61156526915311893</v>
      </c>
    </row>
    <row r="198" spans="1:9" x14ac:dyDescent="0.35">
      <c r="A198" s="16" t="s">
        <v>194</v>
      </c>
      <c r="B198" s="17">
        <v>0.32731763998166402</v>
      </c>
      <c r="C198" s="149">
        <v>0.46646283844336422</v>
      </c>
      <c r="D198" s="17">
        <v>0.36377209280462058</v>
      </c>
      <c r="E198" s="17">
        <v>0.33167623205368779</v>
      </c>
      <c r="F198" s="17">
        <v>0.32731763998166408</v>
      </c>
      <c r="G198" s="17">
        <v>0.32120550569181427</v>
      </c>
      <c r="H198" s="17">
        <v>0.30798750008413689</v>
      </c>
      <c r="I198" s="155">
        <v>0.28165401893760589</v>
      </c>
    </row>
    <row r="199" spans="1:9" x14ac:dyDescent="0.35">
      <c r="A199" s="16" t="s">
        <v>195</v>
      </c>
      <c r="B199" s="17">
        <v>0.1064242661371789</v>
      </c>
      <c r="C199" s="17">
        <v>7.6622746330102173E-2</v>
      </c>
      <c r="D199" s="17">
        <v>8.0941095938214788E-2</v>
      </c>
      <c r="E199" s="17">
        <v>0.1039875066982066</v>
      </c>
      <c r="F199" s="17">
        <v>0.1064242661371789</v>
      </c>
      <c r="G199" s="17">
        <v>0.1010590527835977</v>
      </c>
      <c r="H199" s="17">
        <v>9.6707322747008329E-2</v>
      </c>
      <c r="I199" s="17">
        <v>0.10678071190927541</v>
      </c>
    </row>
    <row r="200" spans="1:9" x14ac:dyDescent="0.35">
      <c r="A200" s="14" t="s">
        <v>210</v>
      </c>
      <c r="B200" s="18">
        <v>0.38874654286009358</v>
      </c>
      <c r="C200" s="18">
        <v>0.36700912796853269</v>
      </c>
      <c r="D200" s="18">
        <v>0.36480355395711089</v>
      </c>
      <c r="E200" s="18">
        <v>0.38180783910216998</v>
      </c>
      <c r="F200" s="18">
        <v>0.38874654286009352</v>
      </c>
      <c r="G200" s="18">
        <v>0.40295653604401011</v>
      </c>
      <c r="H200" s="18">
        <v>0.40111508683925851</v>
      </c>
      <c r="I200" s="18">
        <v>0.40742792414822948</v>
      </c>
    </row>
    <row r="201" spans="1:9" x14ac:dyDescent="0.35">
      <c r="A201" s="14" t="s">
        <v>197</v>
      </c>
      <c r="B201" s="18">
        <v>0.17751155102106339</v>
      </c>
      <c r="C201" s="23">
        <v>8.9905287258001135E-2</v>
      </c>
      <c r="D201" s="18">
        <v>0.19048325730005361</v>
      </c>
      <c r="E201" s="18">
        <v>0.18252842214593559</v>
      </c>
      <c r="F201" s="18">
        <v>0.17751155102106339</v>
      </c>
      <c r="G201" s="18">
        <v>0.17477890548057801</v>
      </c>
      <c r="H201" s="18">
        <v>0.19419009032959619</v>
      </c>
      <c r="I201" s="20">
        <v>0.2041373450048895</v>
      </c>
    </row>
    <row r="202" spans="1:9" x14ac:dyDescent="0.35">
      <c r="A202" s="14" t="s">
        <v>198</v>
      </c>
      <c r="B202" s="18">
        <v>0.1921157315841974</v>
      </c>
      <c r="C202" s="18">
        <v>0.22602856194540441</v>
      </c>
      <c r="D202" s="18">
        <v>0.17522182641264569</v>
      </c>
      <c r="E202" s="18">
        <v>0.16975962679494849</v>
      </c>
      <c r="F202" s="18">
        <v>0.1921157315841974</v>
      </c>
      <c r="G202" s="18">
        <v>0.19004305219267609</v>
      </c>
      <c r="H202" s="18">
        <v>0.1755992318531315</v>
      </c>
      <c r="I202" s="18">
        <v>0.16887936863680411</v>
      </c>
    </row>
    <row r="203" spans="1:9" x14ac:dyDescent="0.35">
      <c r="A203" s="14" t="s">
        <v>199</v>
      </c>
      <c r="B203" s="18">
        <v>0.13520190839746671</v>
      </c>
      <c r="C203" s="19">
        <v>0.24043427649795979</v>
      </c>
      <c r="D203" s="19">
        <v>0.18855026639197489</v>
      </c>
      <c r="E203" s="20">
        <v>0.16191660525873941</v>
      </c>
      <c r="F203" s="18">
        <v>0.13520190839746671</v>
      </c>
      <c r="G203" s="18">
        <v>0.13116245349913819</v>
      </c>
      <c r="H203" s="18">
        <v>0.1323882682310055</v>
      </c>
      <c r="I203" s="21">
        <v>0.1127746503008018</v>
      </c>
    </row>
    <row r="204" spans="1:9" x14ac:dyDescent="0.35">
      <c r="A204" s="14" t="s">
        <v>200</v>
      </c>
      <c r="B204" s="18">
        <v>3.2723348475081918E-2</v>
      </c>
      <c r="C204" s="18">
        <v>4.1165265140222763E-2</v>
      </c>
      <c r="D204" s="18">
        <v>2.911239102606562E-2</v>
      </c>
      <c r="E204" s="23">
        <v>1.948338225179836E-2</v>
      </c>
      <c r="F204" s="18">
        <v>3.2723348475081918E-2</v>
      </c>
      <c r="G204" s="18">
        <v>3.0310420595032639E-2</v>
      </c>
      <c r="H204" s="18">
        <v>3.0904145780367341E-2</v>
      </c>
      <c r="I204" s="18">
        <v>3.3688086413815703E-2</v>
      </c>
    </row>
    <row r="205" spans="1:9" x14ac:dyDescent="0.35">
      <c r="A205" s="14" t="s">
        <v>201</v>
      </c>
      <c r="B205" s="18">
        <v>4.5744421248170547E-2</v>
      </c>
      <c r="C205" s="18">
        <v>1.8777682285586201E-2</v>
      </c>
      <c r="D205" s="23">
        <v>2.0563875562126809E-2</v>
      </c>
      <c r="E205" s="18">
        <v>4.8369639870421623E-2</v>
      </c>
      <c r="F205" s="18">
        <v>4.5744421248170547E-2</v>
      </c>
      <c r="G205" s="18">
        <v>4.8562062051452748E-2</v>
      </c>
      <c r="H205" s="18">
        <v>4.2190326307584847E-2</v>
      </c>
      <c r="I205" s="18">
        <v>4.6469554627964961E-2</v>
      </c>
    </row>
    <row r="206" spans="1:9" x14ac:dyDescent="0.35">
      <c r="A206" s="14" t="s">
        <v>202</v>
      </c>
      <c r="B206" s="18">
        <v>1.17681154170651E-2</v>
      </c>
      <c r="C206" s="18">
        <v>0</v>
      </c>
      <c r="D206" s="18">
        <v>0</v>
      </c>
      <c r="E206" s="18">
        <v>1.521058929310396E-2</v>
      </c>
      <c r="F206" s="18">
        <v>1.17681154170651E-2</v>
      </c>
      <c r="G206" s="18">
        <v>9.3393003978954996E-3</v>
      </c>
      <c r="H206" s="18">
        <v>8.1139085662030805E-3</v>
      </c>
      <c r="I206" s="18">
        <v>1.104924764796689E-2</v>
      </c>
    </row>
    <row r="207" spans="1:9" x14ac:dyDescent="0.35">
      <c r="A207" s="14" t="s">
        <v>211</v>
      </c>
      <c r="B207" s="18">
        <v>0</v>
      </c>
      <c r="C207" s="18">
        <v>0</v>
      </c>
      <c r="D207" s="18">
        <v>0</v>
      </c>
      <c r="E207" s="18">
        <v>0</v>
      </c>
      <c r="F207" s="18">
        <v>0</v>
      </c>
      <c r="G207" s="18">
        <v>0</v>
      </c>
      <c r="H207" s="18">
        <v>0</v>
      </c>
      <c r="I207" s="18">
        <v>0</v>
      </c>
    </row>
    <row r="208" spans="1:9" x14ac:dyDescent="0.35">
      <c r="A208" s="14" t="s">
        <v>212</v>
      </c>
      <c r="B208" s="18">
        <v>9.551952176003636E-3</v>
      </c>
      <c r="C208" s="18">
        <v>1.6679798904293209E-2</v>
      </c>
      <c r="D208" s="18">
        <v>1.844780863510868E-2</v>
      </c>
      <c r="E208" s="18">
        <v>1.234614178629433E-2</v>
      </c>
      <c r="F208" s="25">
        <v>9.551952176003636E-3</v>
      </c>
      <c r="G208" s="18">
        <v>7.5805298976475907E-3</v>
      </c>
      <c r="H208" s="18">
        <v>1.092324116282397E-2</v>
      </c>
      <c r="I208" s="18">
        <v>7.8561339668153391E-3</v>
      </c>
    </row>
    <row r="209" spans="1:9" x14ac:dyDescent="0.35">
      <c r="A209" s="14" t="s">
        <v>203</v>
      </c>
      <c r="B209" s="18">
        <v>0</v>
      </c>
      <c r="C209" s="18">
        <v>0</v>
      </c>
      <c r="D209" s="18">
        <v>0</v>
      </c>
      <c r="E209" s="18">
        <v>0</v>
      </c>
      <c r="F209" s="18">
        <v>0</v>
      </c>
      <c r="G209" s="18">
        <v>0</v>
      </c>
      <c r="H209" s="18">
        <v>0</v>
      </c>
      <c r="I209" s="18">
        <v>0</v>
      </c>
    </row>
    <row r="210" spans="1:9" x14ac:dyDescent="0.35">
      <c r="A210" s="14" t="s">
        <v>204</v>
      </c>
      <c r="B210" s="18">
        <v>6.6364288208577297E-3</v>
      </c>
      <c r="C210" s="18">
        <v>0</v>
      </c>
      <c r="D210" s="18">
        <v>1.281702071491367E-2</v>
      </c>
      <c r="E210" s="18">
        <v>8.5777534965883247E-3</v>
      </c>
      <c r="F210" s="18">
        <v>6.6364288208577297E-3</v>
      </c>
      <c r="G210" s="18">
        <v>5.2667398415692209E-3</v>
      </c>
      <c r="H210" s="18">
        <v>4.5757009300290983E-3</v>
      </c>
      <c r="I210" s="18">
        <v>7.7176892527124636E-3</v>
      </c>
    </row>
    <row r="211" spans="1:9" x14ac:dyDescent="0.35">
      <c r="A211" s="14" t="s">
        <v>213</v>
      </c>
      <c r="B211" s="1">
        <v>45.983382774397818</v>
      </c>
      <c r="C211" s="1">
        <v>38.029166889643157</v>
      </c>
      <c r="D211" s="1">
        <v>47.434571531894967</v>
      </c>
      <c r="E211" s="1">
        <v>46.034875454989901</v>
      </c>
      <c r="F211" s="1">
        <v>45.983382774397803</v>
      </c>
      <c r="G211" s="1">
        <v>47.667638874099033</v>
      </c>
      <c r="H211" s="1">
        <v>49.859785442184638</v>
      </c>
      <c r="I211" s="1">
        <v>50.478455724384347</v>
      </c>
    </row>
    <row r="213" spans="1:9" x14ac:dyDescent="0.35">
      <c r="C213" s="187"/>
      <c r="D213" s="187"/>
      <c r="E213" s="187"/>
      <c r="F213" s="187"/>
      <c r="G213" s="170"/>
      <c r="H213" s="170"/>
      <c r="I213" s="170"/>
    </row>
    <row r="214" spans="1:9" ht="29" x14ac:dyDescent="0.35">
      <c r="A214" s="12" t="s">
        <v>478</v>
      </c>
      <c r="B214" s="13" t="s">
        <v>208</v>
      </c>
      <c r="C214" s="13" t="s">
        <v>458</v>
      </c>
      <c r="D214" s="13" t="s">
        <v>466</v>
      </c>
      <c r="E214" s="13" t="s">
        <v>467</v>
      </c>
      <c r="F214" s="13" t="s">
        <v>468</v>
      </c>
      <c r="G214" s="13" t="s">
        <v>636</v>
      </c>
      <c r="H214" s="13" t="s">
        <v>641</v>
      </c>
      <c r="I214" s="13" t="s">
        <v>647</v>
      </c>
    </row>
    <row r="215" spans="1:9" x14ac:dyDescent="0.35">
      <c r="A215" s="14" t="s">
        <v>209</v>
      </c>
      <c r="B215" s="15">
        <v>0</v>
      </c>
      <c r="C215" s="15">
        <v>0</v>
      </c>
      <c r="D215" s="15">
        <v>0</v>
      </c>
      <c r="E215" s="15">
        <v>0</v>
      </c>
      <c r="F215" s="15">
        <v>0</v>
      </c>
      <c r="G215" s="15">
        <v>0</v>
      </c>
      <c r="H215" s="15">
        <v>0</v>
      </c>
      <c r="I215" s="15">
        <v>0</v>
      </c>
    </row>
    <row r="216" spans="1:9" x14ac:dyDescent="0.35">
      <c r="A216" s="16" t="s">
        <v>336</v>
      </c>
      <c r="B216" s="17" t="s">
        <v>214</v>
      </c>
      <c r="C216" s="168" t="s">
        <v>214</v>
      </c>
      <c r="D216" s="168" t="s">
        <v>214</v>
      </c>
      <c r="E216" s="168" t="s">
        <v>214</v>
      </c>
      <c r="F216" s="168" t="s">
        <v>214</v>
      </c>
      <c r="G216" s="168" t="s">
        <v>214</v>
      </c>
      <c r="H216" s="168" t="s">
        <v>214</v>
      </c>
      <c r="I216" s="168" t="s">
        <v>214</v>
      </c>
    </row>
    <row r="217" spans="1:9" x14ac:dyDescent="0.35">
      <c r="A217" s="16" t="s">
        <v>194</v>
      </c>
      <c r="B217" s="17" t="s">
        <v>214</v>
      </c>
      <c r="C217" s="168" t="s">
        <v>214</v>
      </c>
      <c r="D217" s="168" t="s">
        <v>214</v>
      </c>
      <c r="E217" s="168" t="s">
        <v>214</v>
      </c>
      <c r="F217" s="168" t="s">
        <v>214</v>
      </c>
      <c r="G217" s="168" t="s">
        <v>214</v>
      </c>
      <c r="H217" s="168" t="s">
        <v>214</v>
      </c>
      <c r="I217" s="168" t="s">
        <v>214</v>
      </c>
    </row>
    <row r="218" spans="1:9" x14ac:dyDescent="0.35">
      <c r="A218" s="16" t="s">
        <v>195</v>
      </c>
      <c r="B218" s="17" t="s">
        <v>214</v>
      </c>
      <c r="C218" s="168" t="s">
        <v>214</v>
      </c>
      <c r="D218" s="168" t="s">
        <v>214</v>
      </c>
      <c r="E218" s="168" t="s">
        <v>214</v>
      </c>
      <c r="F218" s="168" t="s">
        <v>214</v>
      </c>
      <c r="G218" s="168" t="s">
        <v>214</v>
      </c>
      <c r="H218" s="168" t="s">
        <v>214</v>
      </c>
      <c r="I218" s="168" t="s">
        <v>214</v>
      </c>
    </row>
    <row r="219" spans="1:9" x14ac:dyDescent="0.35">
      <c r="A219" s="14" t="s">
        <v>210</v>
      </c>
      <c r="B219" s="18" t="s">
        <v>214</v>
      </c>
      <c r="C219" s="18" t="s">
        <v>214</v>
      </c>
      <c r="D219" s="18" t="s">
        <v>214</v>
      </c>
      <c r="E219" s="18" t="s">
        <v>214</v>
      </c>
      <c r="F219" s="18" t="s">
        <v>214</v>
      </c>
      <c r="G219" s="18" t="s">
        <v>214</v>
      </c>
      <c r="H219" s="18" t="s">
        <v>214</v>
      </c>
      <c r="I219" s="18" t="s">
        <v>214</v>
      </c>
    </row>
    <row r="220" spans="1:9" x14ac:dyDescent="0.35">
      <c r="A220" s="14" t="s">
        <v>197</v>
      </c>
      <c r="B220" s="18" t="s">
        <v>214</v>
      </c>
      <c r="C220" s="18" t="s">
        <v>214</v>
      </c>
      <c r="D220" s="18" t="s">
        <v>214</v>
      </c>
      <c r="E220" s="18" t="s">
        <v>214</v>
      </c>
      <c r="F220" s="18" t="s">
        <v>214</v>
      </c>
      <c r="G220" s="18" t="s">
        <v>214</v>
      </c>
      <c r="H220" s="18" t="s">
        <v>214</v>
      </c>
      <c r="I220" s="18" t="s">
        <v>214</v>
      </c>
    </row>
    <row r="221" spans="1:9" x14ac:dyDescent="0.35">
      <c r="A221" s="14" t="s">
        <v>198</v>
      </c>
      <c r="B221" s="18" t="s">
        <v>214</v>
      </c>
      <c r="C221" s="18" t="s">
        <v>214</v>
      </c>
      <c r="D221" s="18" t="s">
        <v>214</v>
      </c>
      <c r="E221" s="18" t="s">
        <v>214</v>
      </c>
      <c r="F221" s="18" t="s">
        <v>214</v>
      </c>
      <c r="G221" s="18" t="s">
        <v>214</v>
      </c>
      <c r="H221" s="18" t="s">
        <v>214</v>
      </c>
      <c r="I221" s="18" t="s">
        <v>214</v>
      </c>
    </row>
    <row r="222" spans="1:9" x14ac:dyDescent="0.35">
      <c r="A222" s="14" t="s">
        <v>199</v>
      </c>
      <c r="B222" s="18" t="s">
        <v>214</v>
      </c>
      <c r="C222" s="18" t="s">
        <v>214</v>
      </c>
      <c r="D222" s="18" t="s">
        <v>214</v>
      </c>
      <c r="E222" s="18" t="s">
        <v>214</v>
      </c>
      <c r="F222" s="18" t="s">
        <v>214</v>
      </c>
      <c r="G222" s="18" t="s">
        <v>214</v>
      </c>
      <c r="H222" s="18" t="s">
        <v>214</v>
      </c>
      <c r="I222" s="18" t="s">
        <v>214</v>
      </c>
    </row>
    <row r="223" spans="1:9" x14ac:dyDescent="0.35">
      <c r="A223" s="14" t="s">
        <v>200</v>
      </c>
      <c r="B223" s="18" t="s">
        <v>214</v>
      </c>
      <c r="C223" s="18" t="s">
        <v>214</v>
      </c>
      <c r="D223" s="18" t="s">
        <v>214</v>
      </c>
      <c r="E223" s="18" t="s">
        <v>214</v>
      </c>
      <c r="F223" s="18" t="s">
        <v>214</v>
      </c>
      <c r="G223" s="18" t="s">
        <v>214</v>
      </c>
      <c r="H223" s="18" t="s">
        <v>214</v>
      </c>
      <c r="I223" s="18" t="s">
        <v>214</v>
      </c>
    </row>
    <row r="224" spans="1:9" x14ac:dyDescent="0.35">
      <c r="A224" s="14" t="s">
        <v>201</v>
      </c>
      <c r="B224" s="18" t="s">
        <v>214</v>
      </c>
      <c r="C224" s="18" t="s">
        <v>214</v>
      </c>
      <c r="D224" s="18" t="s">
        <v>214</v>
      </c>
      <c r="E224" s="18" t="s">
        <v>214</v>
      </c>
      <c r="F224" s="18" t="s">
        <v>214</v>
      </c>
      <c r="G224" s="18" t="s">
        <v>214</v>
      </c>
      <c r="H224" s="18" t="s">
        <v>214</v>
      </c>
      <c r="I224" s="18" t="s">
        <v>214</v>
      </c>
    </row>
    <row r="225" spans="1:9" x14ac:dyDescent="0.35">
      <c r="A225" s="14" t="s">
        <v>202</v>
      </c>
      <c r="B225" s="18" t="s">
        <v>214</v>
      </c>
      <c r="C225" s="18" t="s">
        <v>214</v>
      </c>
      <c r="D225" s="18" t="s">
        <v>214</v>
      </c>
      <c r="E225" s="18" t="s">
        <v>214</v>
      </c>
      <c r="F225" s="18" t="s">
        <v>214</v>
      </c>
      <c r="G225" s="18" t="s">
        <v>214</v>
      </c>
      <c r="H225" s="18" t="s">
        <v>214</v>
      </c>
      <c r="I225" s="18" t="s">
        <v>214</v>
      </c>
    </row>
    <row r="226" spans="1:9" x14ac:dyDescent="0.35">
      <c r="A226" s="14" t="s">
        <v>211</v>
      </c>
      <c r="B226" s="18" t="s">
        <v>214</v>
      </c>
      <c r="C226" s="18" t="s">
        <v>214</v>
      </c>
      <c r="D226" s="18" t="s">
        <v>214</v>
      </c>
      <c r="E226" s="18" t="s">
        <v>214</v>
      </c>
      <c r="F226" s="18" t="s">
        <v>214</v>
      </c>
      <c r="G226" s="18" t="s">
        <v>214</v>
      </c>
      <c r="H226" s="18" t="s">
        <v>214</v>
      </c>
      <c r="I226" s="18" t="s">
        <v>214</v>
      </c>
    </row>
    <row r="227" spans="1:9" x14ac:dyDescent="0.35">
      <c r="A227" s="14" t="s">
        <v>212</v>
      </c>
      <c r="B227" s="18" t="s">
        <v>214</v>
      </c>
      <c r="C227" s="18" t="s">
        <v>214</v>
      </c>
      <c r="D227" s="18" t="s">
        <v>214</v>
      </c>
      <c r="E227" s="18" t="s">
        <v>214</v>
      </c>
      <c r="F227" s="18" t="s">
        <v>214</v>
      </c>
      <c r="G227" s="18" t="s">
        <v>214</v>
      </c>
      <c r="H227" s="18" t="s">
        <v>214</v>
      </c>
      <c r="I227" s="18" t="s">
        <v>214</v>
      </c>
    </row>
    <row r="228" spans="1:9" x14ac:dyDescent="0.35">
      <c r="A228" s="14" t="s">
        <v>203</v>
      </c>
      <c r="B228" s="18" t="s">
        <v>214</v>
      </c>
      <c r="C228" s="18" t="s">
        <v>214</v>
      </c>
      <c r="D228" s="18" t="s">
        <v>214</v>
      </c>
      <c r="E228" s="18" t="s">
        <v>214</v>
      </c>
      <c r="F228" s="18" t="s">
        <v>214</v>
      </c>
      <c r="G228" s="18" t="s">
        <v>214</v>
      </c>
      <c r="H228" s="18" t="s">
        <v>214</v>
      </c>
      <c r="I228" s="18" t="s">
        <v>214</v>
      </c>
    </row>
    <row r="229" spans="1:9" x14ac:dyDescent="0.35">
      <c r="A229" s="14" t="s">
        <v>204</v>
      </c>
      <c r="B229" s="18" t="s">
        <v>214</v>
      </c>
      <c r="C229" s="18" t="s">
        <v>214</v>
      </c>
      <c r="D229" s="18" t="s">
        <v>214</v>
      </c>
      <c r="E229" s="18" t="s">
        <v>214</v>
      </c>
      <c r="F229" s="18" t="s">
        <v>214</v>
      </c>
      <c r="G229" s="18" t="s">
        <v>214</v>
      </c>
      <c r="H229" s="18" t="s">
        <v>214</v>
      </c>
      <c r="I229" s="18" t="s">
        <v>214</v>
      </c>
    </row>
    <row r="231" spans="1:9" x14ac:dyDescent="0.35">
      <c r="C231" s="187"/>
      <c r="D231" s="187"/>
      <c r="E231" s="187"/>
      <c r="F231" s="187"/>
      <c r="G231" s="170"/>
      <c r="H231" s="170"/>
      <c r="I231" s="170"/>
    </row>
    <row r="232" spans="1:9" ht="29" x14ac:dyDescent="0.35">
      <c r="A232" s="12" t="s">
        <v>609</v>
      </c>
      <c r="B232" s="13" t="s">
        <v>208</v>
      </c>
      <c r="C232" s="13" t="s">
        <v>458</v>
      </c>
      <c r="D232" s="13" t="s">
        <v>466</v>
      </c>
      <c r="E232" s="13" t="s">
        <v>467</v>
      </c>
      <c r="F232" s="13" t="s">
        <v>468</v>
      </c>
      <c r="G232" s="13" t="s">
        <v>636</v>
      </c>
      <c r="H232" s="13" t="s">
        <v>641</v>
      </c>
      <c r="I232" s="13" t="s">
        <v>647</v>
      </c>
    </row>
    <row r="233" spans="1:9" x14ac:dyDescent="0.35">
      <c r="A233" s="14" t="s">
        <v>209</v>
      </c>
      <c r="B233" s="15">
        <v>130</v>
      </c>
      <c r="C233" s="15">
        <v>38</v>
      </c>
      <c r="D233" s="15">
        <v>70</v>
      </c>
      <c r="E233" s="15">
        <v>103</v>
      </c>
      <c r="F233" s="15">
        <v>130</v>
      </c>
      <c r="G233" s="15">
        <v>160</v>
      </c>
      <c r="H233" s="15">
        <v>181</v>
      </c>
      <c r="I233" s="15">
        <v>167</v>
      </c>
    </row>
    <row r="234" spans="1:9" x14ac:dyDescent="0.35">
      <c r="A234" s="16" t="s">
        <v>336</v>
      </c>
      <c r="B234" s="17">
        <v>0.55803146157142636</v>
      </c>
      <c r="C234" s="17">
        <v>0.53423238560972763</v>
      </c>
      <c r="D234" s="17">
        <v>0.52549561714619175</v>
      </c>
      <c r="E234" s="17">
        <v>0.55238292121803279</v>
      </c>
      <c r="F234" s="17">
        <v>0.55803146157142636</v>
      </c>
      <c r="G234" s="17">
        <v>0.56031846610337599</v>
      </c>
      <c r="H234" s="17">
        <v>0.56161407144276931</v>
      </c>
      <c r="I234" s="17">
        <v>0.55917398316289957</v>
      </c>
    </row>
    <row r="235" spans="1:9" x14ac:dyDescent="0.35">
      <c r="A235" s="16" t="s">
        <v>194</v>
      </c>
      <c r="B235" s="17">
        <v>0.34982220747665682</v>
      </c>
      <c r="C235" s="17">
        <v>0.35828803769333512</v>
      </c>
      <c r="D235" s="17">
        <v>0.33245485056143009</v>
      </c>
      <c r="E235" s="17">
        <v>0.34868007994196798</v>
      </c>
      <c r="F235" s="17">
        <v>0.34982220747665682</v>
      </c>
      <c r="G235" s="17">
        <v>0.3227452295977048</v>
      </c>
      <c r="H235" s="17">
        <v>0.31653078937217549</v>
      </c>
      <c r="I235" s="17">
        <v>0.28261132251552712</v>
      </c>
    </row>
    <row r="236" spans="1:9" x14ac:dyDescent="0.35">
      <c r="A236" s="16" t="s">
        <v>195</v>
      </c>
      <c r="B236" s="17">
        <v>9.2146330951916988E-2</v>
      </c>
      <c r="C236" s="17">
        <v>0.1074795766969374</v>
      </c>
      <c r="D236" s="149">
        <v>0.1420495322923781</v>
      </c>
      <c r="E236" s="17">
        <v>9.8936998839999318E-2</v>
      </c>
      <c r="F236" s="17">
        <v>9.2146330951916988E-2</v>
      </c>
      <c r="G236" s="17">
        <v>0.1169363042989193</v>
      </c>
      <c r="H236" s="17">
        <v>0.12185513918505519</v>
      </c>
      <c r="I236" s="17">
        <v>0.15821469432157351</v>
      </c>
    </row>
    <row r="237" spans="1:9" x14ac:dyDescent="0.35">
      <c r="A237" s="14" t="s">
        <v>210</v>
      </c>
      <c r="B237" s="18">
        <v>0.36364815782266591</v>
      </c>
      <c r="C237" s="18">
        <v>0.34749830997702891</v>
      </c>
      <c r="D237" s="18">
        <v>0.3559040136969287</v>
      </c>
      <c r="E237" s="18">
        <v>0.34391785414642129</v>
      </c>
      <c r="F237" s="18">
        <v>0.36364815782266591</v>
      </c>
      <c r="G237" s="25">
        <v>0.35998606309658709</v>
      </c>
      <c r="H237" s="18">
        <v>0.37267198309154559</v>
      </c>
      <c r="I237" s="18">
        <v>0.36813504096278898</v>
      </c>
    </row>
    <row r="238" spans="1:9" x14ac:dyDescent="0.35">
      <c r="A238" s="14" t="s">
        <v>197</v>
      </c>
      <c r="B238" s="18">
        <v>0.19438330374876051</v>
      </c>
      <c r="C238" s="18">
        <v>0.18673407563269859</v>
      </c>
      <c r="D238" s="18">
        <v>0.16959160344926311</v>
      </c>
      <c r="E238" s="18">
        <v>0.2084650670716115</v>
      </c>
      <c r="F238" s="18">
        <v>0.19438330374876051</v>
      </c>
      <c r="G238" s="18">
        <v>0.20033240300678881</v>
      </c>
      <c r="H238" s="18">
        <v>0.1889420883512237</v>
      </c>
      <c r="I238" s="18">
        <v>0.1910389422001107</v>
      </c>
    </row>
    <row r="239" spans="1:9" x14ac:dyDescent="0.35">
      <c r="A239" s="14" t="s">
        <v>198</v>
      </c>
      <c r="B239" s="18">
        <v>0.26265705537037343</v>
      </c>
      <c r="C239" s="18">
        <v>0.25987891334297109</v>
      </c>
      <c r="D239" s="18">
        <v>0.2403981836315226</v>
      </c>
      <c r="E239" s="18">
        <v>0.27399858684830208</v>
      </c>
      <c r="F239" s="18">
        <v>0.26265705537037343</v>
      </c>
      <c r="G239" s="18">
        <v>0.23238784788085881</v>
      </c>
      <c r="H239" s="18">
        <v>0.22205553793402269</v>
      </c>
      <c r="I239" s="18">
        <v>0.2039630129112617</v>
      </c>
    </row>
    <row r="240" spans="1:9" x14ac:dyDescent="0.35">
      <c r="A240" s="14" t="s">
        <v>199</v>
      </c>
      <c r="B240" s="18">
        <v>8.7165152106283339E-2</v>
      </c>
      <c r="C240" s="18">
        <v>9.8409124350363919E-2</v>
      </c>
      <c r="D240" s="18">
        <v>9.2056666929907507E-2</v>
      </c>
      <c r="E240" s="18">
        <v>7.468149309366591E-2</v>
      </c>
      <c r="F240" s="18">
        <v>8.7165152106283339E-2</v>
      </c>
      <c r="G240" s="18">
        <v>9.0357381716846014E-2</v>
      </c>
      <c r="H240" s="18">
        <v>9.447525143815276E-2</v>
      </c>
      <c r="I240" s="18">
        <v>7.8648309604265415E-2</v>
      </c>
    </row>
    <row r="241" spans="1:9" x14ac:dyDescent="0.35">
      <c r="A241" s="14" t="s">
        <v>200</v>
      </c>
      <c r="B241" s="18">
        <v>4.9705577962224308E-2</v>
      </c>
      <c r="C241" s="20">
        <v>9.3960011894356016E-2</v>
      </c>
      <c r="D241" s="20">
        <v>7.7055584685440312E-2</v>
      </c>
      <c r="E241" s="18">
        <v>5.3668943287664278E-2</v>
      </c>
      <c r="F241" s="18">
        <v>4.9705577962224308E-2</v>
      </c>
      <c r="G241" s="18">
        <v>5.9455664906405463E-2</v>
      </c>
      <c r="H241" s="18">
        <v>5.8670128734741332E-2</v>
      </c>
      <c r="I241" s="18">
        <v>6.7412380366329447E-2</v>
      </c>
    </row>
    <row r="242" spans="1:9" x14ac:dyDescent="0.35">
      <c r="A242" s="14" t="s">
        <v>201</v>
      </c>
      <c r="B242" s="18">
        <v>3.3415563461107148E-2</v>
      </c>
      <c r="C242" s="18">
        <v>1.351956480258136E-2</v>
      </c>
      <c r="D242" s="18">
        <v>4.9305618319926137E-2</v>
      </c>
      <c r="E242" s="18">
        <v>3.4341189469623661E-2</v>
      </c>
      <c r="F242" s="18">
        <v>3.3415563461107148E-2</v>
      </c>
      <c r="G242" s="18">
        <v>3.9592116805890913E-2</v>
      </c>
      <c r="H242" s="18">
        <v>4.302264111187451E-2</v>
      </c>
      <c r="I242" s="18">
        <v>5.2614029922526999E-2</v>
      </c>
    </row>
    <row r="243" spans="1:9" x14ac:dyDescent="0.35">
      <c r="A243" s="14" t="s">
        <v>202</v>
      </c>
      <c r="B243" s="18">
        <v>0</v>
      </c>
      <c r="C243" s="18">
        <v>0</v>
      </c>
      <c r="D243" s="18">
        <v>0</v>
      </c>
      <c r="E243" s="18">
        <v>0</v>
      </c>
      <c r="F243" s="18">
        <v>0</v>
      </c>
      <c r="G243" s="25">
        <v>1.0483061720196959E-2</v>
      </c>
      <c r="H243" s="18">
        <v>1.3531655956688499E-2</v>
      </c>
      <c r="I243" s="18">
        <v>2.315855059785386E-2</v>
      </c>
    </row>
    <row r="244" spans="1:9" x14ac:dyDescent="0.35">
      <c r="A244" s="14" t="s">
        <v>211</v>
      </c>
      <c r="B244" s="18">
        <v>0</v>
      </c>
      <c r="C244" s="18">
        <v>0</v>
      </c>
      <c r="D244" s="18">
        <v>0</v>
      </c>
      <c r="E244" s="18">
        <v>0</v>
      </c>
      <c r="F244" s="18">
        <v>0</v>
      </c>
      <c r="G244" s="18">
        <v>0</v>
      </c>
      <c r="H244" s="18">
        <v>0</v>
      </c>
      <c r="I244" s="18">
        <v>0</v>
      </c>
    </row>
    <row r="245" spans="1:9" x14ac:dyDescent="0.35">
      <c r="A245" s="14" t="s">
        <v>212</v>
      </c>
      <c r="B245" s="18">
        <v>0</v>
      </c>
      <c r="C245" s="18">
        <v>0</v>
      </c>
      <c r="D245" s="18">
        <v>0</v>
      </c>
      <c r="E245" s="18">
        <v>0</v>
      </c>
      <c r="F245" s="18">
        <v>0</v>
      </c>
      <c r="G245" s="18">
        <v>0</v>
      </c>
      <c r="H245" s="18">
        <v>0</v>
      </c>
      <c r="I245" s="18">
        <v>0</v>
      </c>
    </row>
    <row r="246" spans="1:9" x14ac:dyDescent="0.35">
      <c r="A246" s="14" t="s">
        <v>203</v>
      </c>
      <c r="B246" s="18">
        <v>9.0251895285855203E-3</v>
      </c>
      <c r="C246" s="18">
        <v>0</v>
      </c>
      <c r="D246" s="18">
        <v>1.5688329287011669E-2</v>
      </c>
      <c r="E246" s="18">
        <v>1.092686608271138E-2</v>
      </c>
      <c r="F246" s="18">
        <v>9.0251895285855203E-3</v>
      </c>
      <c r="G246" s="18">
        <v>7.4054608664260307E-3</v>
      </c>
      <c r="H246" s="18">
        <v>6.6307133817508834E-3</v>
      </c>
      <c r="I246" s="18">
        <v>7.4202659299357591E-3</v>
      </c>
    </row>
    <row r="247" spans="1:9" x14ac:dyDescent="0.35">
      <c r="A247" s="14" t="s">
        <v>204</v>
      </c>
      <c r="B247" s="18">
        <v>0</v>
      </c>
      <c r="C247" s="18">
        <v>0</v>
      </c>
      <c r="D247" s="18">
        <v>0</v>
      </c>
      <c r="E247" s="18">
        <v>0</v>
      </c>
      <c r="F247" s="18">
        <v>0</v>
      </c>
      <c r="G247" s="18">
        <v>0</v>
      </c>
      <c r="H247" s="18">
        <v>0</v>
      </c>
      <c r="I247" s="18">
        <v>7.6094675049274132E-3</v>
      </c>
    </row>
    <row r="248" spans="1:9" x14ac:dyDescent="0.35">
      <c r="A248" s="14" t="s">
        <v>213</v>
      </c>
      <c r="B248" s="1">
        <v>46.588513061950927</v>
      </c>
      <c r="C248" s="1">
        <v>42.67528089127903</v>
      </c>
      <c r="D248" s="1">
        <v>38.344608485381357</v>
      </c>
      <c r="E248" s="1">
        <v>45.344592237803347</v>
      </c>
      <c r="F248" s="1">
        <v>46.588513061950927</v>
      </c>
      <c r="G248" s="1">
        <v>44.338216180445663</v>
      </c>
      <c r="H248" s="1">
        <v>43.975893225771422</v>
      </c>
      <c r="I248" s="1">
        <v>40.095928884132611</v>
      </c>
    </row>
    <row r="250" spans="1:9" x14ac:dyDescent="0.35">
      <c r="C250" s="187"/>
      <c r="D250" s="187"/>
      <c r="E250" s="187"/>
      <c r="F250" s="187"/>
      <c r="G250" s="170"/>
      <c r="H250" s="170"/>
      <c r="I250" s="170"/>
    </row>
    <row r="251" spans="1:9" ht="29" x14ac:dyDescent="0.35">
      <c r="A251" s="12" t="s">
        <v>610</v>
      </c>
      <c r="B251" s="13" t="s">
        <v>208</v>
      </c>
      <c r="C251" s="13" t="s">
        <v>458</v>
      </c>
      <c r="D251" s="13" t="s">
        <v>466</v>
      </c>
      <c r="E251" s="13" t="s">
        <v>467</v>
      </c>
      <c r="F251" s="13" t="s">
        <v>468</v>
      </c>
      <c r="G251" s="13" t="s">
        <v>636</v>
      </c>
      <c r="H251" s="13" t="s">
        <v>641</v>
      </c>
      <c r="I251" s="13" t="s">
        <v>647</v>
      </c>
    </row>
    <row r="252" spans="1:9" x14ac:dyDescent="0.35">
      <c r="A252" s="14" t="s">
        <v>209</v>
      </c>
      <c r="B252" s="15">
        <v>130</v>
      </c>
      <c r="C252" s="15">
        <v>37</v>
      </c>
      <c r="D252" s="15">
        <v>65</v>
      </c>
      <c r="E252" s="15">
        <v>100</v>
      </c>
      <c r="F252" s="15">
        <v>130</v>
      </c>
      <c r="G252" s="15">
        <v>167</v>
      </c>
      <c r="H252" s="15">
        <v>214</v>
      </c>
      <c r="I252" s="15">
        <v>212</v>
      </c>
    </row>
    <row r="253" spans="1:9" x14ac:dyDescent="0.35">
      <c r="A253" s="16" t="s">
        <v>336</v>
      </c>
      <c r="B253" s="17">
        <v>0.65442319597567078</v>
      </c>
      <c r="C253" s="17">
        <v>0.56075975545740331</v>
      </c>
      <c r="D253" s="17">
        <v>0.6469742749908951</v>
      </c>
      <c r="E253" s="17">
        <v>0.65767178050731157</v>
      </c>
      <c r="F253" s="17">
        <v>0.65442319597567078</v>
      </c>
      <c r="G253" s="152">
        <v>0.65837248377928814</v>
      </c>
      <c r="H253" s="17">
        <v>0.69269314205380428</v>
      </c>
      <c r="I253" s="153">
        <v>0.71793985694734685</v>
      </c>
    </row>
    <row r="254" spans="1:9" x14ac:dyDescent="0.35">
      <c r="A254" s="16" t="s">
        <v>194</v>
      </c>
      <c r="B254" s="17">
        <v>0.26453240036519032</v>
      </c>
      <c r="C254" s="17">
        <v>0.3475658872364939</v>
      </c>
      <c r="D254" s="17">
        <v>0.26008741947452763</v>
      </c>
      <c r="E254" s="17">
        <v>0.27351673011859318</v>
      </c>
      <c r="F254" s="17">
        <v>0.26453240036519021</v>
      </c>
      <c r="G254" s="17">
        <v>0.25318797383407182</v>
      </c>
      <c r="H254" s="17">
        <v>0.23916553699174681</v>
      </c>
      <c r="I254" s="154">
        <v>0.2099266717611098</v>
      </c>
    </row>
    <row r="255" spans="1:9" x14ac:dyDescent="0.35">
      <c r="A255" s="16" t="s">
        <v>195</v>
      </c>
      <c r="B255" s="17">
        <v>8.1044403659139105E-2</v>
      </c>
      <c r="C255" s="17">
        <v>9.167435730610296E-2</v>
      </c>
      <c r="D255" s="17">
        <v>9.2938305534577256E-2</v>
      </c>
      <c r="E255" s="17">
        <v>6.8811489374095203E-2</v>
      </c>
      <c r="F255" s="17">
        <v>8.1044403659139092E-2</v>
      </c>
      <c r="G255" s="17">
        <v>8.8439542386640188E-2</v>
      </c>
      <c r="H255" s="17">
        <v>6.8141320954448914E-2</v>
      </c>
      <c r="I255" s="17">
        <v>7.2133471291543363E-2</v>
      </c>
    </row>
    <row r="256" spans="1:9" x14ac:dyDescent="0.35">
      <c r="A256" s="14" t="s">
        <v>210</v>
      </c>
      <c r="B256" s="18">
        <v>0.48294927127094561</v>
      </c>
      <c r="C256" s="18">
        <v>0.40390818327777761</v>
      </c>
      <c r="D256" s="18">
        <v>0.45818701513028032</v>
      </c>
      <c r="E256" s="18">
        <v>0.48204139817581909</v>
      </c>
      <c r="F256" s="18">
        <v>0.4829492712709455</v>
      </c>
      <c r="G256" s="18">
        <v>0.49270458166163728</v>
      </c>
      <c r="H256" s="18">
        <v>0.49092284918136242</v>
      </c>
      <c r="I256" s="18">
        <v>0.51728699645400944</v>
      </c>
    </row>
    <row r="257" spans="1:9" x14ac:dyDescent="0.35">
      <c r="A257" s="14" t="s">
        <v>197</v>
      </c>
      <c r="B257" s="18">
        <v>0.17147392470472519</v>
      </c>
      <c r="C257" s="18">
        <v>0.1568515721796257</v>
      </c>
      <c r="D257" s="18">
        <v>0.1887872598606147</v>
      </c>
      <c r="E257" s="18">
        <v>0.1756303823314925</v>
      </c>
      <c r="F257" s="18">
        <v>0.17147392470472519</v>
      </c>
      <c r="G257" s="18">
        <v>0.16566790211765089</v>
      </c>
      <c r="H257" s="18">
        <v>0.2017702928724418</v>
      </c>
      <c r="I257" s="18">
        <v>0.20065286049333739</v>
      </c>
    </row>
    <row r="258" spans="1:9" x14ac:dyDescent="0.35">
      <c r="A258" s="14" t="s">
        <v>198</v>
      </c>
      <c r="B258" s="18">
        <v>0.21378455412060679</v>
      </c>
      <c r="C258" s="18">
        <v>0.26398713143120361</v>
      </c>
      <c r="D258" s="18">
        <v>0.20263419847878589</v>
      </c>
      <c r="E258" s="18">
        <v>0.23603998340092791</v>
      </c>
      <c r="F258" s="18">
        <v>0.21378455412060671</v>
      </c>
      <c r="G258" s="18">
        <v>0.19563231311448279</v>
      </c>
      <c r="H258" s="18">
        <v>0.18390234794585131</v>
      </c>
      <c r="I258" s="23">
        <v>0.14939620771351811</v>
      </c>
    </row>
    <row r="259" spans="1:9" x14ac:dyDescent="0.35">
      <c r="A259" s="14" t="s">
        <v>199</v>
      </c>
      <c r="B259" s="18">
        <v>5.0747846244583512E-2</v>
      </c>
      <c r="C259" s="18">
        <v>8.3578755805290297E-2</v>
      </c>
      <c r="D259" s="18">
        <v>5.7453220995741697E-2</v>
      </c>
      <c r="E259" s="18">
        <v>3.7476746717665363E-2</v>
      </c>
      <c r="F259" s="18">
        <v>5.0747846244583499E-2</v>
      </c>
      <c r="G259" s="18">
        <v>5.755566071958898E-2</v>
      </c>
      <c r="H259" s="18">
        <v>5.5263189045895583E-2</v>
      </c>
      <c r="I259" s="18">
        <v>6.0530464047591707E-2</v>
      </c>
    </row>
    <row r="260" spans="1:9" x14ac:dyDescent="0.35">
      <c r="A260" s="14" t="s">
        <v>200</v>
      </c>
      <c r="B260" s="18">
        <v>4.5282949504178507E-2</v>
      </c>
      <c r="C260" s="18">
        <v>4.6454787495377327E-2</v>
      </c>
      <c r="D260" s="18">
        <v>3.5285615932318493E-2</v>
      </c>
      <c r="E260" s="21">
        <v>2.3016813820940171E-2</v>
      </c>
      <c r="F260" s="18">
        <v>4.5282949504178487E-2</v>
      </c>
      <c r="G260" s="18">
        <v>4.0750770451204323E-2</v>
      </c>
      <c r="H260" s="18">
        <v>3.1397848219486671E-2</v>
      </c>
      <c r="I260" s="18">
        <v>3.436112485870417E-2</v>
      </c>
    </row>
    <row r="261" spans="1:9" x14ac:dyDescent="0.35">
      <c r="A261" s="14" t="s">
        <v>201</v>
      </c>
      <c r="B261" s="18">
        <v>2.9418641957561841E-2</v>
      </c>
      <c r="C261" s="18">
        <v>4.5219569810725627E-2</v>
      </c>
      <c r="D261" s="18">
        <v>4.5200831382917903E-2</v>
      </c>
      <c r="E261" s="18">
        <v>3.767232612586871E-2</v>
      </c>
      <c r="F261" s="25">
        <v>2.9418641957561841E-2</v>
      </c>
      <c r="G261" s="18">
        <v>3.5622346322551159E-2</v>
      </c>
      <c r="H261" s="18">
        <v>2.7446475506437851E-2</v>
      </c>
      <c r="I261" s="18">
        <v>1.9651356202117099E-2</v>
      </c>
    </row>
    <row r="262" spans="1:9" x14ac:dyDescent="0.35">
      <c r="A262" s="14" t="s">
        <v>202</v>
      </c>
      <c r="B262" s="18">
        <v>6.3428121973987516E-3</v>
      </c>
      <c r="C262" s="18">
        <v>0</v>
      </c>
      <c r="D262" s="18">
        <v>1.2451858219340859E-2</v>
      </c>
      <c r="E262" s="18">
        <v>8.1223494272863201E-3</v>
      </c>
      <c r="F262" s="18">
        <v>6.3428121973987516E-3</v>
      </c>
      <c r="G262" s="25">
        <v>5.0133443531466997E-3</v>
      </c>
      <c r="H262" s="18">
        <v>3.862705498061786E-3</v>
      </c>
      <c r="I262" s="18">
        <v>6.6955152821148002E-3</v>
      </c>
    </row>
    <row r="263" spans="1:9" x14ac:dyDescent="0.35">
      <c r="A263" s="14" t="s">
        <v>211</v>
      </c>
      <c r="B263" s="18">
        <v>0</v>
      </c>
      <c r="C263" s="18">
        <v>0</v>
      </c>
      <c r="D263" s="18">
        <v>0</v>
      </c>
      <c r="E263" s="18">
        <v>0</v>
      </c>
      <c r="F263" s="18">
        <v>0</v>
      </c>
      <c r="G263" s="18">
        <v>7.0530812597380099E-3</v>
      </c>
      <c r="H263" s="18">
        <v>5.434291730462614E-3</v>
      </c>
      <c r="I263" s="18">
        <v>5.4696729676497694E-3</v>
      </c>
    </row>
    <row r="264" spans="1:9" x14ac:dyDescent="0.35">
      <c r="A264" s="14" t="s">
        <v>212</v>
      </c>
      <c r="B264" s="18">
        <v>0</v>
      </c>
      <c r="C264" s="18">
        <v>0</v>
      </c>
      <c r="D264" s="18">
        <v>0</v>
      </c>
      <c r="E264" s="18">
        <v>0</v>
      </c>
      <c r="F264" s="18">
        <v>0</v>
      </c>
      <c r="G264" s="18">
        <v>0</v>
      </c>
      <c r="H264" s="18">
        <v>0</v>
      </c>
      <c r="I264" s="18">
        <v>0</v>
      </c>
    </row>
    <row r="265" spans="1:9" x14ac:dyDescent="0.35">
      <c r="A265" s="14" t="s">
        <v>203</v>
      </c>
      <c r="B265" s="18">
        <v>0</v>
      </c>
      <c r="C265" s="18">
        <v>0</v>
      </c>
      <c r="D265" s="18">
        <v>0</v>
      </c>
      <c r="E265" s="18">
        <v>0</v>
      </c>
      <c r="F265" s="18">
        <v>0</v>
      </c>
      <c r="G265" s="18">
        <v>0</v>
      </c>
      <c r="H265" s="18">
        <v>0</v>
      </c>
      <c r="I265" s="18">
        <v>0</v>
      </c>
    </row>
    <row r="266" spans="1:9" x14ac:dyDescent="0.35">
      <c r="A266" s="14" t="s">
        <v>204</v>
      </c>
      <c r="B266" s="18">
        <v>0</v>
      </c>
      <c r="C266" s="18">
        <v>0</v>
      </c>
      <c r="D266" s="18">
        <v>0</v>
      </c>
      <c r="E266" s="18">
        <v>0</v>
      </c>
      <c r="F266" s="18">
        <v>0</v>
      </c>
      <c r="G266" s="18">
        <v>0</v>
      </c>
      <c r="H266" s="18">
        <v>0</v>
      </c>
      <c r="I266" s="18">
        <v>5.955801980957528E-3</v>
      </c>
    </row>
    <row r="267" spans="1:9" x14ac:dyDescent="0.35">
      <c r="A267" s="14" t="s">
        <v>213</v>
      </c>
      <c r="B267" s="1">
        <v>57.337879231653169</v>
      </c>
      <c r="C267" s="1">
        <v>46.90853981513002</v>
      </c>
      <c r="D267" s="1">
        <v>55.403596945631783</v>
      </c>
      <c r="E267" s="1">
        <v>58.886029113321641</v>
      </c>
      <c r="F267" s="1">
        <v>57.337879231653147</v>
      </c>
      <c r="G267" s="1">
        <v>56.993294139264783</v>
      </c>
      <c r="H267" s="1">
        <v>62.455182109935542</v>
      </c>
      <c r="I267" s="1">
        <v>64.580638565580358</v>
      </c>
    </row>
    <row r="269" spans="1:9" x14ac:dyDescent="0.35">
      <c r="C269" s="187"/>
      <c r="D269" s="187"/>
      <c r="E269" s="187"/>
      <c r="F269" s="187"/>
      <c r="G269" s="170"/>
      <c r="H269" s="170"/>
      <c r="I269" s="170"/>
    </row>
    <row r="270" spans="1:9" ht="29" x14ac:dyDescent="0.35">
      <c r="A270" s="12" t="s">
        <v>611</v>
      </c>
      <c r="B270" s="13" t="s">
        <v>208</v>
      </c>
      <c r="C270" s="13" t="s">
        <v>458</v>
      </c>
      <c r="D270" s="13" t="s">
        <v>466</v>
      </c>
      <c r="E270" s="13" t="s">
        <v>467</v>
      </c>
      <c r="F270" s="13" t="s">
        <v>468</v>
      </c>
      <c r="G270" s="13" t="s">
        <v>636</v>
      </c>
      <c r="H270" s="13" t="s">
        <v>641</v>
      </c>
      <c r="I270" s="13" t="s">
        <v>647</v>
      </c>
    </row>
    <row r="271" spans="1:9" x14ac:dyDescent="0.35">
      <c r="A271" s="14" t="s">
        <v>209</v>
      </c>
      <c r="B271" s="15">
        <v>29</v>
      </c>
      <c r="C271" s="15">
        <v>5</v>
      </c>
      <c r="D271" s="15">
        <v>18</v>
      </c>
      <c r="E271" s="15">
        <v>25</v>
      </c>
      <c r="F271" s="15">
        <v>29</v>
      </c>
      <c r="G271" s="15">
        <v>32</v>
      </c>
      <c r="H271" s="15">
        <v>35</v>
      </c>
      <c r="I271" s="15">
        <v>36</v>
      </c>
    </row>
    <row r="272" spans="1:9" x14ac:dyDescent="0.35">
      <c r="A272" s="16" t="s">
        <v>336</v>
      </c>
      <c r="B272" s="17">
        <v>0.70396697297900268</v>
      </c>
      <c r="C272" s="17">
        <v>0.62746972125740152</v>
      </c>
      <c r="D272" s="17">
        <v>0.70541055889985294</v>
      </c>
      <c r="E272" s="17">
        <v>0.7018659069548</v>
      </c>
      <c r="F272" s="17">
        <v>0.70396697297900268</v>
      </c>
      <c r="G272" s="17">
        <v>0.73260672683294525</v>
      </c>
      <c r="H272" s="17">
        <v>0.75491866541224739</v>
      </c>
      <c r="I272" s="17">
        <v>0.67396167204614721</v>
      </c>
    </row>
    <row r="273" spans="1:9" x14ac:dyDescent="0.35">
      <c r="A273" s="16" t="s">
        <v>194</v>
      </c>
      <c r="B273" s="17">
        <v>0.22497112960273249</v>
      </c>
      <c r="C273" s="17">
        <v>0.37253027874259848</v>
      </c>
      <c r="D273" s="17">
        <v>0.2332159917314264</v>
      </c>
      <c r="E273" s="17">
        <v>0.25805758430022979</v>
      </c>
      <c r="F273" s="17">
        <v>0.22497112960273249</v>
      </c>
      <c r="G273" s="17">
        <v>0.20320626829349531</v>
      </c>
      <c r="H273" s="17">
        <v>0.18625024795912759</v>
      </c>
      <c r="I273" s="17">
        <v>0.22871529922896841</v>
      </c>
    </row>
    <row r="274" spans="1:9" x14ac:dyDescent="0.35">
      <c r="A274" s="16" t="s">
        <v>195</v>
      </c>
      <c r="B274" s="17">
        <v>7.1061897418264866E-2</v>
      </c>
      <c r="C274" s="17">
        <v>0</v>
      </c>
      <c r="D274" s="17">
        <v>6.1373449368720703E-2</v>
      </c>
      <c r="E274" s="154">
        <v>4.0076508744970263E-2</v>
      </c>
      <c r="F274" s="17">
        <v>7.1061897418264866E-2</v>
      </c>
      <c r="G274" s="17">
        <v>6.4187004873559494E-2</v>
      </c>
      <c r="H274" s="17">
        <v>5.8831086628624768E-2</v>
      </c>
      <c r="I274" s="17">
        <v>9.7323028724884353E-2</v>
      </c>
    </row>
    <row r="275" spans="1:9" x14ac:dyDescent="0.35">
      <c r="A275" s="14" t="s">
        <v>210</v>
      </c>
      <c r="B275" s="18">
        <v>0.44716956387355877</v>
      </c>
      <c r="C275" s="18">
        <v>0.62746972125740152</v>
      </c>
      <c r="D275" s="20">
        <v>0.58339821415469328</v>
      </c>
      <c r="E275" s="18">
        <v>0.48701376819864212</v>
      </c>
      <c r="F275" s="18">
        <v>0.44716956387355877</v>
      </c>
      <c r="G275" s="18">
        <v>0.50065321660297513</v>
      </c>
      <c r="H275" s="18">
        <v>0.50794725277674713</v>
      </c>
      <c r="I275" s="18">
        <v>0.44245699647701942</v>
      </c>
    </row>
    <row r="276" spans="1:9" x14ac:dyDescent="0.35">
      <c r="A276" s="14" t="s">
        <v>197</v>
      </c>
      <c r="B276" s="18">
        <v>0.25679740910544391</v>
      </c>
      <c r="C276" s="18">
        <v>0</v>
      </c>
      <c r="D276" s="23">
        <v>0.1220123447451596</v>
      </c>
      <c r="E276" s="18">
        <v>0.21485213875615791</v>
      </c>
      <c r="F276" s="18">
        <v>0.25679740910544391</v>
      </c>
      <c r="G276" s="18">
        <v>0.23195351022996999</v>
      </c>
      <c r="H276" s="18">
        <v>0.24697141263550029</v>
      </c>
      <c r="I276" s="18">
        <v>0.23150467556912779</v>
      </c>
    </row>
    <row r="277" spans="1:9" x14ac:dyDescent="0.35">
      <c r="A277" s="14" t="s">
        <v>198</v>
      </c>
      <c r="B277" s="18">
        <v>0.11557503767932339</v>
      </c>
      <c r="C277" s="18">
        <v>0.37253027874259848</v>
      </c>
      <c r="D277" s="18">
        <v>0.13231294863850021</v>
      </c>
      <c r="E277" s="18">
        <v>0.13257263312675291</v>
      </c>
      <c r="F277" s="18">
        <v>0.11557503767932339</v>
      </c>
      <c r="G277" s="18">
        <v>0.104393715567716</v>
      </c>
      <c r="H277" s="18">
        <v>9.568285256722138E-2</v>
      </c>
      <c r="I277" s="18">
        <v>0.11916687357188881</v>
      </c>
    </row>
    <row r="278" spans="1:9" x14ac:dyDescent="0.35">
      <c r="A278" s="14" t="s">
        <v>199</v>
      </c>
      <c r="B278" s="18">
        <v>0.109396091923409</v>
      </c>
      <c r="C278" s="18">
        <v>0</v>
      </c>
      <c r="D278" s="18">
        <v>0.10090304309292621</v>
      </c>
      <c r="E278" s="18">
        <v>0.12548495117347691</v>
      </c>
      <c r="F278" s="18">
        <v>0.109396091923409</v>
      </c>
      <c r="G278" s="18">
        <v>9.8812552725779323E-2</v>
      </c>
      <c r="H278" s="18">
        <v>9.0567395391906252E-2</v>
      </c>
      <c r="I278" s="18">
        <v>0.1095484256570796</v>
      </c>
    </row>
    <row r="279" spans="1:9" x14ac:dyDescent="0.35">
      <c r="A279" s="14" t="s">
        <v>200</v>
      </c>
      <c r="B279" s="18">
        <v>0</v>
      </c>
      <c r="C279" s="18">
        <v>0</v>
      </c>
      <c r="D279" s="18">
        <v>0</v>
      </c>
      <c r="E279" s="18">
        <v>0</v>
      </c>
      <c r="F279" s="18">
        <v>0</v>
      </c>
      <c r="G279" s="18">
        <v>0</v>
      </c>
      <c r="H279" s="18">
        <v>0</v>
      </c>
      <c r="I279" s="18">
        <v>4.2176275187704691E-2</v>
      </c>
    </row>
    <row r="280" spans="1:9" x14ac:dyDescent="0.35">
      <c r="A280" s="14" t="s">
        <v>201</v>
      </c>
      <c r="B280" s="18">
        <v>3.6123736358831447E-2</v>
      </c>
      <c r="C280" s="18">
        <v>0</v>
      </c>
      <c r="D280" s="18">
        <v>0</v>
      </c>
      <c r="E280" s="24">
        <v>0</v>
      </c>
      <c r="F280" s="18">
        <v>3.6123736358831447E-2</v>
      </c>
      <c r="G280" s="18">
        <v>3.2628940767904811E-2</v>
      </c>
      <c r="H280" s="18">
        <v>2.9906303381786431E-2</v>
      </c>
      <c r="I280" s="18">
        <v>2.8033402684101521E-2</v>
      </c>
    </row>
    <row r="281" spans="1:9" x14ac:dyDescent="0.35">
      <c r="A281" s="14" t="s">
        <v>202</v>
      </c>
      <c r="B281" s="18">
        <v>0</v>
      </c>
      <c r="C281" s="18">
        <v>0</v>
      </c>
      <c r="D281" s="18">
        <v>0</v>
      </c>
      <c r="E281" s="18">
        <v>0</v>
      </c>
      <c r="F281" s="18">
        <v>0</v>
      </c>
      <c r="G281" s="18">
        <v>0</v>
      </c>
      <c r="H281" s="18">
        <v>0</v>
      </c>
      <c r="I281" s="18">
        <v>0</v>
      </c>
    </row>
    <row r="282" spans="1:9" x14ac:dyDescent="0.35">
      <c r="A282" s="14" t="s">
        <v>211</v>
      </c>
      <c r="B282" s="18">
        <v>3.4938161059433419E-2</v>
      </c>
      <c r="C282" s="18">
        <v>0</v>
      </c>
      <c r="D282" s="18">
        <v>6.1373449368720703E-2</v>
      </c>
      <c r="E282" s="18">
        <v>4.0076508744970263E-2</v>
      </c>
      <c r="F282" s="18">
        <v>3.4938161059433419E-2</v>
      </c>
      <c r="G282" s="18">
        <v>3.1558064105654683E-2</v>
      </c>
      <c r="H282" s="18">
        <v>2.892478324683834E-2</v>
      </c>
      <c r="I282" s="18">
        <v>2.711335085307813E-2</v>
      </c>
    </row>
    <row r="283" spans="1:9" x14ac:dyDescent="0.35">
      <c r="A283" s="14" t="s">
        <v>212</v>
      </c>
      <c r="B283" s="18">
        <v>0</v>
      </c>
      <c r="C283" s="18">
        <v>0</v>
      </c>
      <c r="D283" s="18">
        <v>0</v>
      </c>
      <c r="E283" s="18">
        <v>0</v>
      </c>
      <c r="F283" s="18">
        <v>0</v>
      </c>
      <c r="G283" s="18">
        <v>0</v>
      </c>
      <c r="H283" s="18">
        <v>0</v>
      </c>
      <c r="I283" s="18">
        <v>0</v>
      </c>
    </row>
    <row r="284" spans="1:9" x14ac:dyDescent="0.35">
      <c r="A284" s="14" t="s">
        <v>203</v>
      </c>
      <c r="B284" s="18">
        <v>0</v>
      </c>
      <c r="C284" s="18">
        <v>0</v>
      </c>
      <c r="D284" s="18">
        <v>0</v>
      </c>
      <c r="E284" s="18">
        <v>0</v>
      </c>
      <c r="F284" s="18">
        <v>0</v>
      </c>
      <c r="G284" s="18">
        <v>0</v>
      </c>
      <c r="H284" s="18">
        <v>0</v>
      </c>
      <c r="I284" s="18">
        <v>0</v>
      </c>
    </row>
    <row r="285" spans="1:9" x14ac:dyDescent="0.35">
      <c r="A285" s="14" t="s">
        <v>204</v>
      </c>
      <c r="B285" s="18">
        <v>0</v>
      </c>
      <c r="C285" s="18">
        <v>0</v>
      </c>
      <c r="D285" s="18">
        <v>0</v>
      </c>
      <c r="E285" s="18">
        <v>0</v>
      </c>
      <c r="F285" s="18">
        <v>0</v>
      </c>
      <c r="G285" s="18">
        <v>0</v>
      </c>
      <c r="H285" s="18">
        <v>0</v>
      </c>
      <c r="I285" s="18">
        <v>0</v>
      </c>
    </row>
    <row r="286" spans="1:9" x14ac:dyDescent="0.35">
      <c r="A286" s="14" t="s">
        <v>213</v>
      </c>
      <c r="B286" s="1">
        <v>63.290507556073777</v>
      </c>
      <c r="C286" s="1">
        <v>62.74697212574015</v>
      </c>
      <c r="D286" s="1">
        <v>64.403710953113233</v>
      </c>
      <c r="E286" s="1">
        <v>66.178939820982976</v>
      </c>
      <c r="F286" s="1">
        <v>63.290507556073777</v>
      </c>
      <c r="G286" s="1">
        <v>66.841972195938567</v>
      </c>
      <c r="H286" s="1">
        <v>69.608757878362269</v>
      </c>
      <c r="I286" s="1">
        <v>57.663864332126302</v>
      </c>
    </row>
    <row r="288" spans="1:9" x14ac:dyDescent="0.35">
      <c r="C288" s="187"/>
      <c r="D288" s="187"/>
      <c r="E288" s="187"/>
      <c r="F288" s="187"/>
      <c r="G288" s="170"/>
      <c r="H288" s="170"/>
      <c r="I288" s="170"/>
    </row>
    <row r="289" spans="1:9" ht="29" x14ac:dyDescent="0.35">
      <c r="A289" s="12" t="s">
        <v>612</v>
      </c>
      <c r="B289" s="13" t="s">
        <v>208</v>
      </c>
      <c r="C289" s="13" t="s">
        <v>458</v>
      </c>
      <c r="D289" s="13" t="s">
        <v>466</v>
      </c>
      <c r="E289" s="13" t="s">
        <v>467</v>
      </c>
      <c r="F289" s="13" t="s">
        <v>468</v>
      </c>
      <c r="G289" s="13" t="s">
        <v>636</v>
      </c>
      <c r="H289" s="13" t="s">
        <v>641</v>
      </c>
      <c r="I289" s="13" t="s">
        <v>647</v>
      </c>
    </row>
    <row r="290" spans="1:9" x14ac:dyDescent="0.35">
      <c r="A290" s="14" t="s">
        <v>209</v>
      </c>
      <c r="B290" s="15">
        <v>21</v>
      </c>
      <c r="C290" s="15">
        <v>4</v>
      </c>
      <c r="D290" s="15">
        <v>9</v>
      </c>
      <c r="E290" s="15">
        <v>17</v>
      </c>
      <c r="F290" s="15">
        <v>21</v>
      </c>
      <c r="G290" s="15">
        <v>26</v>
      </c>
      <c r="H290" s="15">
        <v>28</v>
      </c>
      <c r="I290" s="15">
        <v>28</v>
      </c>
    </row>
    <row r="291" spans="1:9" x14ac:dyDescent="0.35">
      <c r="A291" s="16" t="s">
        <v>336</v>
      </c>
      <c r="B291" s="17">
        <v>0.55043237974865367</v>
      </c>
      <c r="C291" s="17">
        <v>0.45009492759200759</v>
      </c>
      <c r="D291" s="17">
        <v>0.42859242440716899</v>
      </c>
      <c r="E291" s="17">
        <v>0.54264376892173627</v>
      </c>
      <c r="F291" s="17">
        <v>0.55043237974865367</v>
      </c>
      <c r="G291" s="17">
        <v>0.64482498344252304</v>
      </c>
      <c r="H291" s="17">
        <v>0.62650731246009828</v>
      </c>
      <c r="I291" s="17">
        <v>0.66658212237711589</v>
      </c>
    </row>
    <row r="292" spans="1:9" x14ac:dyDescent="0.35">
      <c r="A292" s="16" t="s">
        <v>194</v>
      </c>
      <c r="B292" s="17">
        <v>0.32090254858736778</v>
      </c>
      <c r="C292" s="17">
        <v>0.54990507240799236</v>
      </c>
      <c r="D292" s="17">
        <v>0.43188730620541638</v>
      </c>
      <c r="E292" s="17">
        <v>0.34801690523617052</v>
      </c>
      <c r="F292" s="17">
        <v>0.32090254858736778</v>
      </c>
      <c r="G292" s="17">
        <v>0.25352486005138092</v>
      </c>
      <c r="H292" s="17">
        <v>0.27896541436955868</v>
      </c>
      <c r="I292" s="17">
        <v>0.20987494697415751</v>
      </c>
    </row>
    <row r="293" spans="1:9" x14ac:dyDescent="0.35">
      <c r="A293" s="16" t="s">
        <v>195</v>
      </c>
      <c r="B293" s="17">
        <v>0.1286650716639785</v>
      </c>
      <c r="C293" s="17">
        <v>0</v>
      </c>
      <c r="D293" s="17">
        <v>0.1395202693874146</v>
      </c>
      <c r="E293" s="17">
        <v>0.1093393258420934</v>
      </c>
      <c r="F293" s="17">
        <v>0.1286650716639785</v>
      </c>
      <c r="G293" s="17">
        <v>0.101650156506096</v>
      </c>
      <c r="H293" s="17">
        <v>9.4527273170343012E-2</v>
      </c>
      <c r="I293" s="17">
        <v>0.12354293064872671</v>
      </c>
    </row>
    <row r="294" spans="1:9" x14ac:dyDescent="0.35">
      <c r="A294" s="14" t="s">
        <v>210</v>
      </c>
      <c r="B294" s="18">
        <v>0.42496507743936768</v>
      </c>
      <c r="C294" s="23">
        <v>0</v>
      </c>
      <c r="D294" s="18">
        <v>0.25512302765964179</v>
      </c>
      <c r="E294" s="18">
        <v>0.3951527412964862</v>
      </c>
      <c r="F294" s="18">
        <v>0.42496507743936768</v>
      </c>
      <c r="G294" s="18">
        <v>0.54570118277776836</v>
      </c>
      <c r="H294" s="18">
        <v>0.53432936699320688</v>
      </c>
      <c r="I294" s="19">
        <v>0.62824017444952107</v>
      </c>
    </row>
    <row r="295" spans="1:9" x14ac:dyDescent="0.35">
      <c r="A295" s="14" t="s">
        <v>197</v>
      </c>
      <c r="B295" s="18">
        <v>0.12546730230928599</v>
      </c>
      <c r="C295" s="19">
        <v>0.45009492759200759</v>
      </c>
      <c r="D295" s="18">
        <v>0.1734693967475272</v>
      </c>
      <c r="E295" s="18">
        <v>0.14749102762524999</v>
      </c>
      <c r="F295" s="18">
        <v>0.12546730230928599</v>
      </c>
      <c r="G295" s="18">
        <v>9.9123800664754708E-2</v>
      </c>
      <c r="H295" s="18">
        <v>9.2177945466891412E-2</v>
      </c>
      <c r="I295" s="24">
        <v>3.8341947927594822E-2</v>
      </c>
    </row>
    <row r="296" spans="1:9" x14ac:dyDescent="0.35">
      <c r="A296" s="14" t="s">
        <v>198</v>
      </c>
      <c r="B296" s="18">
        <v>0.26898113657535888</v>
      </c>
      <c r="C296" s="18">
        <v>0.54990507240799236</v>
      </c>
      <c r="D296" s="18">
        <v>0.36686586225393769</v>
      </c>
      <c r="E296" s="18">
        <v>0.31619635965004111</v>
      </c>
      <c r="F296" s="18">
        <v>0.26898113657535888</v>
      </c>
      <c r="G296" s="18">
        <v>0.21250502779401609</v>
      </c>
      <c r="H296" s="18">
        <v>0.2408199454153517</v>
      </c>
      <c r="I296" s="23">
        <v>0.17248991380122111</v>
      </c>
    </row>
    <row r="297" spans="1:9" x14ac:dyDescent="0.35">
      <c r="A297" s="14" t="s">
        <v>199</v>
      </c>
      <c r="B297" s="18">
        <v>5.1921412012008977E-2</v>
      </c>
      <c r="C297" s="18">
        <v>0</v>
      </c>
      <c r="D297" s="18">
        <v>6.5021443951478589E-2</v>
      </c>
      <c r="E297" s="18">
        <v>3.1820545586129373E-2</v>
      </c>
      <c r="F297" s="18">
        <v>5.1921412012008977E-2</v>
      </c>
      <c r="G297" s="18">
        <v>4.1019832257364733E-2</v>
      </c>
      <c r="H297" s="18">
        <v>3.8145468954206938E-2</v>
      </c>
      <c r="I297" s="18">
        <v>3.7385033172936337E-2</v>
      </c>
    </row>
    <row r="298" spans="1:9" x14ac:dyDescent="0.35">
      <c r="A298" s="14" t="s">
        <v>200</v>
      </c>
      <c r="B298" s="18">
        <v>0.1286650716639785</v>
      </c>
      <c r="C298" s="18">
        <v>0</v>
      </c>
      <c r="D298" s="18">
        <v>0.1395202693874146</v>
      </c>
      <c r="E298" s="18">
        <v>0.1093393258420934</v>
      </c>
      <c r="F298" s="18">
        <v>0.1286650716639785</v>
      </c>
      <c r="G298" s="18">
        <v>0.101650156506096</v>
      </c>
      <c r="H298" s="18">
        <v>9.4527273170343012E-2</v>
      </c>
      <c r="I298" s="18">
        <v>0.12354293064872671</v>
      </c>
    </row>
    <row r="299" spans="1:9" x14ac:dyDescent="0.35">
      <c r="A299" s="14" t="s">
        <v>201</v>
      </c>
      <c r="B299" s="18">
        <v>0</v>
      </c>
      <c r="C299" s="18">
        <v>0</v>
      </c>
      <c r="D299" s="18">
        <v>0</v>
      </c>
      <c r="E299" s="18">
        <v>0</v>
      </c>
      <c r="F299" s="18">
        <v>0</v>
      </c>
      <c r="G299" s="18">
        <v>0</v>
      </c>
      <c r="H299" s="18">
        <v>0</v>
      </c>
      <c r="I299" s="18">
        <v>0</v>
      </c>
    </row>
    <row r="300" spans="1:9" x14ac:dyDescent="0.35">
      <c r="A300" s="14" t="s">
        <v>202</v>
      </c>
      <c r="B300" s="18">
        <v>0</v>
      </c>
      <c r="C300" s="18">
        <v>0</v>
      </c>
      <c r="D300" s="18">
        <v>0</v>
      </c>
      <c r="E300" s="18">
        <v>0</v>
      </c>
      <c r="F300" s="18">
        <v>0</v>
      </c>
      <c r="G300" s="18">
        <v>0</v>
      </c>
      <c r="H300" s="18">
        <v>0</v>
      </c>
      <c r="I300" s="18">
        <v>0</v>
      </c>
    </row>
    <row r="301" spans="1:9" x14ac:dyDescent="0.35">
      <c r="A301" s="14" t="s">
        <v>211</v>
      </c>
      <c r="B301" s="18">
        <v>0</v>
      </c>
      <c r="C301" s="18">
        <v>0</v>
      </c>
      <c r="D301" s="18">
        <v>0</v>
      </c>
      <c r="E301" s="18">
        <v>0</v>
      </c>
      <c r="F301" s="18">
        <v>0</v>
      </c>
      <c r="G301" s="18">
        <v>0</v>
      </c>
      <c r="H301" s="18">
        <v>0</v>
      </c>
      <c r="I301" s="18">
        <v>0</v>
      </c>
    </row>
    <row r="302" spans="1:9" x14ac:dyDescent="0.35">
      <c r="A302" s="14" t="s">
        <v>212</v>
      </c>
      <c r="B302" s="18">
        <v>0</v>
      </c>
      <c r="C302" s="18">
        <v>0</v>
      </c>
      <c r="D302" s="18">
        <v>0</v>
      </c>
      <c r="E302" s="18">
        <v>0</v>
      </c>
      <c r="F302" s="18">
        <v>0</v>
      </c>
      <c r="G302" s="18">
        <v>0</v>
      </c>
      <c r="H302" s="18">
        <v>0</v>
      </c>
      <c r="I302" s="18">
        <v>0</v>
      </c>
    </row>
    <row r="303" spans="1:9" x14ac:dyDescent="0.35">
      <c r="A303" s="14" t="s">
        <v>203</v>
      </c>
      <c r="B303" s="18">
        <v>0</v>
      </c>
      <c r="C303" s="18">
        <v>0</v>
      </c>
      <c r="D303" s="18">
        <v>0</v>
      </c>
      <c r="E303" s="18">
        <v>0</v>
      </c>
      <c r="F303" s="18">
        <v>0</v>
      </c>
      <c r="G303" s="18">
        <v>0</v>
      </c>
      <c r="H303" s="18">
        <v>0</v>
      </c>
      <c r="I303" s="18">
        <v>0</v>
      </c>
    </row>
    <row r="304" spans="1:9" x14ac:dyDescent="0.35">
      <c r="A304" s="14" t="s">
        <v>204</v>
      </c>
      <c r="B304" s="18">
        <v>0</v>
      </c>
      <c r="C304" s="18">
        <v>0</v>
      </c>
      <c r="D304" s="18">
        <v>0</v>
      </c>
      <c r="E304" s="18">
        <v>0</v>
      </c>
      <c r="F304" s="18">
        <v>0</v>
      </c>
      <c r="G304" s="18">
        <v>0</v>
      </c>
      <c r="H304" s="18">
        <v>0</v>
      </c>
      <c r="I304" s="18">
        <v>0</v>
      </c>
    </row>
    <row r="305" spans="1:9" x14ac:dyDescent="0.35">
      <c r="A305" s="14" t="s">
        <v>213</v>
      </c>
      <c r="B305" s="1">
        <v>42.176730808467518</v>
      </c>
      <c r="C305" s="1">
        <v>45.009492759200768</v>
      </c>
      <c r="D305" s="1">
        <v>28.90721550197544</v>
      </c>
      <c r="E305" s="1">
        <v>43.330444307964278</v>
      </c>
      <c r="F305" s="1">
        <v>42.176730808467518</v>
      </c>
      <c r="G305" s="1">
        <v>54.317482693642702</v>
      </c>
      <c r="H305" s="1">
        <v>53.198003928975517</v>
      </c>
      <c r="I305" s="1">
        <v>54.303919172838917</v>
      </c>
    </row>
    <row r="307" spans="1:9" x14ac:dyDescent="0.35">
      <c r="C307" s="187"/>
      <c r="D307" s="187"/>
      <c r="E307" s="187"/>
      <c r="F307" s="187"/>
      <c r="G307" s="170"/>
      <c r="H307" s="170"/>
      <c r="I307" s="170"/>
    </row>
    <row r="308" spans="1:9" ht="29" x14ac:dyDescent="0.35">
      <c r="A308" s="12" t="s">
        <v>613</v>
      </c>
      <c r="B308" s="13" t="s">
        <v>208</v>
      </c>
      <c r="C308" s="13" t="s">
        <v>458</v>
      </c>
      <c r="D308" s="13" t="s">
        <v>466</v>
      </c>
      <c r="E308" s="13" t="s">
        <v>467</v>
      </c>
      <c r="F308" s="13" t="s">
        <v>468</v>
      </c>
      <c r="G308" s="13" t="s">
        <v>636</v>
      </c>
      <c r="H308" s="13" t="s">
        <v>641</v>
      </c>
      <c r="I308" s="13" t="s">
        <v>647</v>
      </c>
    </row>
    <row r="309" spans="1:9" x14ac:dyDescent="0.35">
      <c r="A309" s="14" t="s">
        <v>209</v>
      </c>
      <c r="B309" s="15">
        <v>31</v>
      </c>
      <c r="C309" s="15">
        <v>6</v>
      </c>
      <c r="D309" s="15">
        <v>15</v>
      </c>
      <c r="E309" s="15">
        <v>23</v>
      </c>
      <c r="F309" s="15">
        <v>31</v>
      </c>
      <c r="G309" s="15">
        <v>40</v>
      </c>
      <c r="H309" s="15">
        <v>45</v>
      </c>
      <c r="I309" s="15">
        <v>51</v>
      </c>
    </row>
    <row r="310" spans="1:9" x14ac:dyDescent="0.35">
      <c r="A310" s="16" t="s">
        <v>336</v>
      </c>
      <c r="B310" s="17">
        <v>0.82370440900521313</v>
      </c>
      <c r="C310" s="17">
        <v>0.84433834685668507</v>
      </c>
      <c r="D310" s="17">
        <v>0.88701347307211775</v>
      </c>
      <c r="E310" s="154">
        <v>0.74725376400800858</v>
      </c>
      <c r="F310" s="17">
        <v>0.82370440900521313</v>
      </c>
      <c r="G310" s="17">
        <v>0.78697025876384574</v>
      </c>
      <c r="H310" s="17">
        <v>0.79099158941938197</v>
      </c>
      <c r="I310" s="17">
        <v>0.74966596377296002</v>
      </c>
    </row>
    <row r="311" spans="1:9" x14ac:dyDescent="0.35">
      <c r="A311" s="16" t="s">
        <v>194</v>
      </c>
      <c r="B311" s="17">
        <v>7.2926779153389104E-2</v>
      </c>
      <c r="C311" s="17">
        <v>7.9794812577760194E-2</v>
      </c>
      <c r="D311" s="17">
        <v>3.3910918518370033E-2</v>
      </c>
      <c r="E311" s="17">
        <v>0.1045515025647089</v>
      </c>
      <c r="F311" s="17">
        <v>7.2926779153389118E-2</v>
      </c>
      <c r="G311" s="17">
        <v>0.1115507398090269</v>
      </c>
      <c r="H311" s="17">
        <v>0.10043101917088219</v>
      </c>
      <c r="I311" s="17">
        <v>0.12558844070852451</v>
      </c>
    </row>
    <row r="312" spans="1:9" x14ac:dyDescent="0.35">
      <c r="A312" s="16" t="s">
        <v>195</v>
      </c>
      <c r="B312" s="17">
        <v>0.1033688118413978</v>
      </c>
      <c r="C312" s="17">
        <v>7.586684056555465E-2</v>
      </c>
      <c r="D312" s="17">
        <v>7.9075608409512277E-2</v>
      </c>
      <c r="E312" s="17">
        <v>0.1481947334272827</v>
      </c>
      <c r="F312" s="17">
        <v>0.1033688118413978</v>
      </c>
      <c r="G312" s="17">
        <v>0.1014790014271275</v>
      </c>
      <c r="H312" s="17">
        <v>0.10857739140973589</v>
      </c>
      <c r="I312" s="17">
        <v>0.12474559551851561</v>
      </c>
    </row>
    <row r="313" spans="1:9" x14ac:dyDescent="0.35">
      <c r="A313" s="14" t="s">
        <v>210</v>
      </c>
      <c r="B313" s="18">
        <v>0.70842995552211852</v>
      </c>
      <c r="C313" s="18">
        <v>0.84433834685668507</v>
      </c>
      <c r="D313" s="18">
        <v>0.84179480941953599</v>
      </c>
      <c r="E313" s="18">
        <v>0.6402428923907828</v>
      </c>
      <c r="F313" s="18">
        <v>0.70842995552211863</v>
      </c>
      <c r="G313" s="18">
        <v>0.67151007596680845</v>
      </c>
      <c r="H313" s="18">
        <v>0.64009787638404314</v>
      </c>
      <c r="I313" s="18">
        <v>0.60844928972816026</v>
      </c>
    </row>
    <row r="314" spans="1:9" x14ac:dyDescent="0.35">
      <c r="A314" s="14" t="s">
        <v>197</v>
      </c>
      <c r="B314" s="18">
        <v>0.11527445348309449</v>
      </c>
      <c r="C314" s="18">
        <v>0</v>
      </c>
      <c r="D314" s="18">
        <v>4.5218663652581689E-2</v>
      </c>
      <c r="E314" s="18">
        <v>0.10701087161722581</v>
      </c>
      <c r="F314" s="18">
        <v>0.11527445348309449</v>
      </c>
      <c r="G314" s="18">
        <v>0.11546018279703731</v>
      </c>
      <c r="H314" s="25">
        <v>0.15089371303533891</v>
      </c>
      <c r="I314" s="18">
        <v>0.14121667404479971</v>
      </c>
    </row>
    <row r="315" spans="1:9" x14ac:dyDescent="0.35">
      <c r="A315" s="14" t="s">
        <v>198</v>
      </c>
      <c r="B315" s="18">
        <v>7.2926779153389104E-2</v>
      </c>
      <c r="C315" s="18">
        <v>7.9794812577760194E-2</v>
      </c>
      <c r="D315" s="18">
        <v>3.3910918518370033E-2</v>
      </c>
      <c r="E315" s="18">
        <v>0.1045515025647089</v>
      </c>
      <c r="F315" s="18">
        <v>7.2926779153389118E-2</v>
      </c>
      <c r="G315" s="18">
        <v>8.8694628018068863E-2</v>
      </c>
      <c r="H315" s="18">
        <v>7.9853274860272286E-2</v>
      </c>
      <c r="I315" s="18">
        <v>0.1077520283339983</v>
      </c>
    </row>
    <row r="316" spans="1:9" x14ac:dyDescent="0.35">
      <c r="A316" s="14" t="s">
        <v>199</v>
      </c>
      <c r="B316" s="18">
        <v>0</v>
      </c>
      <c r="C316" s="18">
        <v>0</v>
      </c>
      <c r="D316" s="18">
        <v>0</v>
      </c>
      <c r="E316" s="18">
        <v>0</v>
      </c>
      <c r="F316" s="18">
        <v>0</v>
      </c>
      <c r="G316" s="18">
        <v>2.2856111790958009E-2</v>
      </c>
      <c r="H316" s="18">
        <v>2.0577744310609929E-2</v>
      </c>
      <c r="I316" s="18">
        <v>1.7836412374526201E-2</v>
      </c>
    </row>
    <row r="317" spans="1:9" x14ac:dyDescent="0.35">
      <c r="A317" s="14" t="s">
        <v>200</v>
      </c>
      <c r="B317" s="18">
        <v>0</v>
      </c>
      <c r="C317" s="18">
        <v>0</v>
      </c>
      <c r="D317" s="18">
        <v>0</v>
      </c>
      <c r="E317" s="18">
        <v>0</v>
      </c>
      <c r="F317" s="18">
        <v>0</v>
      </c>
      <c r="G317" s="18">
        <v>0</v>
      </c>
      <c r="H317" s="18">
        <v>0</v>
      </c>
      <c r="I317" s="18">
        <v>3.952084066206045E-2</v>
      </c>
    </row>
    <row r="318" spans="1:9" x14ac:dyDescent="0.35">
      <c r="A318" s="14" t="s">
        <v>201</v>
      </c>
      <c r="B318" s="18">
        <v>2.0594585194604199E-2</v>
      </c>
      <c r="C318" s="18">
        <v>0</v>
      </c>
      <c r="D318" s="18">
        <v>4.6833985607809742E-2</v>
      </c>
      <c r="E318" s="18">
        <v>2.9525434302588579E-2</v>
      </c>
      <c r="F318" s="18">
        <v>2.0594585194604199E-2</v>
      </c>
      <c r="G318" s="18">
        <v>1.654436323119559E-2</v>
      </c>
      <c r="H318" s="18">
        <v>1.489517024886451E-2</v>
      </c>
      <c r="I318" s="18">
        <v>1.2910861119531851E-2</v>
      </c>
    </row>
    <row r="319" spans="1:9" x14ac:dyDescent="0.35">
      <c r="A319" s="14" t="s">
        <v>202</v>
      </c>
      <c r="B319" s="18">
        <v>6.8596427363120618E-2</v>
      </c>
      <c r="C319" s="18">
        <v>0</v>
      </c>
      <c r="D319" s="18">
        <v>0</v>
      </c>
      <c r="E319" s="18">
        <v>9.8343292198609003E-2</v>
      </c>
      <c r="F319" s="18">
        <v>6.8596427363120632E-2</v>
      </c>
      <c r="G319" s="18">
        <v>5.5105951391297377E-2</v>
      </c>
      <c r="H319" s="18">
        <v>4.9612820767336967E-2</v>
      </c>
      <c r="I319" s="18">
        <v>4.3003485557618473E-2</v>
      </c>
    </row>
    <row r="320" spans="1:9" x14ac:dyDescent="0.35">
      <c r="A320" s="14" t="s">
        <v>211</v>
      </c>
      <c r="B320" s="18">
        <v>1.4177799283672989E-2</v>
      </c>
      <c r="C320" s="18">
        <v>7.586684056555465E-2</v>
      </c>
      <c r="D320" s="18">
        <v>3.2241622801702542E-2</v>
      </c>
      <c r="E320" s="18">
        <v>2.0326006926085091E-2</v>
      </c>
      <c r="F320" s="18">
        <v>1.4177799283673E-2</v>
      </c>
      <c r="G320" s="18">
        <v>2.9828686804634508E-2</v>
      </c>
      <c r="H320" s="18">
        <v>2.6855271614039718E-2</v>
      </c>
      <c r="I320" s="18">
        <v>1.4389516222213249E-2</v>
      </c>
    </row>
    <row r="321" spans="1:9" x14ac:dyDescent="0.35">
      <c r="A321" s="14" t="s">
        <v>212</v>
      </c>
      <c r="B321" s="18">
        <v>0</v>
      </c>
      <c r="C321" s="18">
        <v>0</v>
      </c>
      <c r="D321" s="18">
        <v>0</v>
      </c>
      <c r="E321" s="18">
        <v>0</v>
      </c>
      <c r="F321" s="18">
        <v>0</v>
      </c>
      <c r="G321" s="18">
        <v>0</v>
      </c>
      <c r="H321" s="18">
        <v>1.7214128779494652E-2</v>
      </c>
      <c r="I321" s="18">
        <v>1.492089195709155E-2</v>
      </c>
    </row>
    <row r="322" spans="1:9" x14ac:dyDescent="0.35">
      <c r="A322" s="14" t="s">
        <v>203</v>
      </c>
      <c r="B322" s="18">
        <v>0</v>
      </c>
      <c r="C322" s="18">
        <v>0</v>
      </c>
      <c r="D322" s="18">
        <v>0</v>
      </c>
      <c r="E322" s="18">
        <v>0</v>
      </c>
      <c r="F322" s="18">
        <v>0</v>
      </c>
      <c r="G322" s="18">
        <v>0</v>
      </c>
      <c r="H322" s="18">
        <v>0</v>
      </c>
      <c r="I322" s="18">
        <v>0</v>
      </c>
    </row>
    <row r="323" spans="1:9" x14ac:dyDescent="0.35">
      <c r="A323" s="14" t="s">
        <v>204</v>
      </c>
      <c r="B323" s="18">
        <v>0</v>
      </c>
      <c r="C323" s="18">
        <v>0</v>
      </c>
      <c r="D323" s="18">
        <v>0</v>
      </c>
      <c r="E323" s="18">
        <v>0</v>
      </c>
      <c r="F323" s="18">
        <v>0</v>
      </c>
      <c r="G323" s="18">
        <v>0</v>
      </c>
      <c r="H323" s="18">
        <v>0</v>
      </c>
      <c r="I323" s="18">
        <v>0</v>
      </c>
    </row>
    <row r="324" spans="1:9" x14ac:dyDescent="0.35">
      <c r="A324" s="14" t="s">
        <v>213</v>
      </c>
      <c r="B324" s="1">
        <v>72.033559716381532</v>
      </c>
      <c r="C324" s="1">
        <v>76.847150629113031</v>
      </c>
      <c r="D324" s="1">
        <v>80.793786466260542</v>
      </c>
      <c r="E324" s="1">
        <v>59.905903058072589</v>
      </c>
      <c r="F324" s="1">
        <v>72.033559716381532</v>
      </c>
      <c r="G324" s="1">
        <v>68.549125733671829</v>
      </c>
      <c r="H324" s="1">
        <v>68.241419800964621</v>
      </c>
      <c r="I324" s="1">
        <v>62.492036825444437</v>
      </c>
    </row>
    <row r="326" spans="1:9" x14ac:dyDescent="0.35">
      <c r="C326" s="187"/>
      <c r="D326" s="187"/>
      <c r="E326" s="187"/>
      <c r="F326" s="187"/>
      <c r="G326" s="170"/>
      <c r="H326" s="170"/>
      <c r="I326" s="170"/>
    </row>
    <row r="327" spans="1:9" ht="29" x14ac:dyDescent="0.35">
      <c r="A327" s="12" t="s">
        <v>614</v>
      </c>
      <c r="B327" s="13" t="s">
        <v>208</v>
      </c>
      <c r="C327" s="13" t="s">
        <v>458</v>
      </c>
      <c r="D327" s="13" t="s">
        <v>466</v>
      </c>
      <c r="E327" s="13" t="s">
        <v>467</v>
      </c>
      <c r="F327" s="13" t="s">
        <v>468</v>
      </c>
      <c r="G327" s="13" t="s">
        <v>636</v>
      </c>
      <c r="H327" s="13" t="s">
        <v>641</v>
      </c>
      <c r="I327" s="13" t="s">
        <v>647</v>
      </c>
    </row>
    <row r="328" spans="1:9" x14ac:dyDescent="0.35">
      <c r="A328" s="14" t="s">
        <v>209</v>
      </c>
      <c r="B328" s="15">
        <v>136</v>
      </c>
      <c r="C328" s="15">
        <v>37</v>
      </c>
      <c r="D328" s="15">
        <v>74</v>
      </c>
      <c r="E328" s="15">
        <v>106</v>
      </c>
      <c r="F328" s="15">
        <v>136</v>
      </c>
      <c r="G328" s="15">
        <v>164</v>
      </c>
      <c r="H328" s="15">
        <v>192</v>
      </c>
      <c r="I328" s="15">
        <v>186</v>
      </c>
    </row>
    <row r="329" spans="1:9" x14ac:dyDescent="0.35">
      <c r="A329" s="16" t="s">
        <v>336</v>
      </c>
      <c r="B329" s="17">
        <v>0.76479939706075895</v>
      </c>
      <c r="C329" s="17">
        <v>0.72662554566659965</v>
      </c>
      <c r="D329" s="17">
        <v>0.76556517800967383</v>
      </c>
      <c r="E329" s="17">
        <v>0.76124481114256215</v>
      </c>
      <c r="F329" s="17">
        <v>0.76479939706075895</v>
      </c>
      <c r="G329" s="17">
        <v>0.73597714033874129</v>
      </c>
      <c r="H329" s="17">
        <v>0.74619533867904941</v>
      </c>
      <c r="I329" s="17">
        <v>0.75635430058275677</v>
      </c>
    </row>
    <row r="330" spans="1:9" x14ac:dyDescent="0.35">
      <c r="A330" s="16" t="s">
        <v>194</v>
      </c>
      <c r="B330" s="17">
        <v>0.17609786094210131</v>
      </c>
      <c r="C330" s="17">
        <v>0.24083792790329581</v>
      </c>
      <c r="D330" s="17">
        <v>0.17651354930723709</v>
      </c>
      <c r="E330" s="17">
        <v>0.1839352937473957</v>
      </c>
      <c r="F330" s="17">
        <v>0.17609786094210131</v>
      </c>
      <c r="G330" s="17">
        <v>0.19994620781165451</v>
      </c>
      <c r="H330" s="17">
        <v>0.19510541316793281</v>
      </c>
      <c r="I330" s="17">
        <v>0.18345361429392559</v>
      </c>
    </row>
    <row r="331" spans="1:9" x14ac:dyDescent="0.35">
      <c r="A331" s="16" t="s">
        <v>195</v>
      </c>
      <c r="B331" s="17">
        <v>5.9102741997139753E-2</v>
      </c>
      <c r="C331" s="17">
        <v>3.2536526430104531E-2</v>
      </c>
      <c r="D331" s="17">
        <v>5.7921272683089178E-2</v>
      </c>
      <c r="E331" s="17">
        <v>5.4819895110042108E-2</v>
      </c>
      <c r="F331" s="17">
        <v>5.9102741997139732E-2</v>
      </c>
      <c r="G331" s="17">
        <v>6.4076651849604233E-2</v>
      </c>
      <c r="H331" s="17">
        <v>5.8699248153017608E-2</v>
      </c>
      <c r="I331" s="17">
        <v>6.0192085123317488E-2</v>
      </c>
    </row>
    <row r="332" spans="1:9" x14ac:dyDescent="0.35">
      <c r="A332" s="14" t="s">
        <v>210</v>
      </c>
      <c r="B332" s="18">
        <v>0.61949370096967249</v>
      </c>
      <c r="C332" s="18">
        <v>0.59041761830113149</v>
      </c>
      <c r="D332" s="18">
        <v>0.65290126864411591</v>
      </c>
      <c r="E332" s="18">
        <v>0.62392873669139293</v>
      </c>
      <c r="F332" s="18">
        <v>0.61949370096967249</v>
      </c>
      <c r="G332" s="18">
        <v>0.58176777417414072</v>
      </c>
      <c r="H332" s="18">
        <v>0.57843445607215693</v>
      </c>
      <c r="I332" s="18">
        <v>0.56189380412785195</v>
      </c>
    </row>
    <row r="333" spans="1:9" x14ac:dyDescent="0.35">
      <c r="A333" s="14" t="s">
        <v>197</v>
      </c>
      <c r="B333" s="18">
        <v>0.14530569609108651</v>
      </c>
      <c r="C333" s="18">
        <v>0.13620792736546819</v>
      </c>
      <c r="D333" s="18">
        <v>0.11266390936555799</v>
      </c>
      <c r="E333" s="18">
        <v>0.13731607445116931</v>
      </c>
      <c r="F333" s="18">
        <v>0.1453056960910864</v>
      </c>
      <c r="G333" s="18">
        <v>0.1542093661646006</v>
      </c>
      <c r="H333" s="18">
        <v>0.16776088260689251</v>
      </c>
      <c r="I333" s="18">
        <v>0.19446049645490479</v>
      </c>
    </row>
    <row r="334" spans="1:9" x14ac:dyDescent="0.35">
      <c r="A334" s="14" t="s">
        <v>198</v>
      </c>
      <c r="B334" s="18">
        <v>0.1075194523931505</v>
      </c>
      <c r="C334" s="18">
        <v>0.17895159606786409</v>
      </c>
      <c r="D334" s="18">
        <v>0.1073565865012799</v>
      </c>
      <c r="E334" s="18">
        <v>0.1155413578423241</v>
      </c>
      <c r="F334" s="18">
        <v>0.1075194523931504</v>
      </c>
      <c r="G334" s="18">
        <v>0.13842397276678339</v>
      </c>
      <c r="H334" s="18">
        <v>0.13248170749795191</v>
      </c>
      <c r="I334" s="18">
        <v>0.112011285928135</v>
      </c>
    </row>
    <row r="335" spans="1:9" x14ac:dyDescent="0.35">
      <c r="A335" s="14" t="s">
        <v>199</v>
      </c>
      <c r="B335" s="18">
        <v>6.8578408548950864E-2</v>
      </c>
      <c r="C335" s="18">
        <v>6.188633183543165E-2</v>
      </c>
      <c r="D335" s="18">
        <v>6.9156962805957234E-2</v>
      </c>
      <c r="E335" s="18">
        <v>6.8393935905071604E-2</v>
      </c>
      <c r="F335" s="18">
        <v>6.8578408548950837E-2</v>
      </c>
      <c r="G335" s="18">
        <v>6.152223504487115E-2</v>
      </c>
      <c r="H335" s="18">
        <v>6.262370566998085E-2</v>
      </c>
      <c r="I335" s="18">
        <v>7.1442328365790536E-2</v>
      </c>
    </row>
    <row r="336" spans="1:9" x14ac:dyDescent="0.35">
      <c r="A336" s="14" t="s">
        <v>200</v>
      </c>
      <c r="B336" s="18">
        <v>4.1859056386318157E-2</v>
      </c>
      <c r="C336" s="18">
        <v>3.2536526430104531E-2</v>
      </c>
      <c r="D336" s="18">
        <v>4.8060716701381782E-2</v>
      </c>
      <c r="E336" s="18">
        <v>3.9767738122961492E-2</v>
      </c>
      <c r="F336" s="18">
        <v>4.185905638631815E-2</v>
      </c>
      <c r="G336" s="18">
        <v>4.9960073457331708E-2</v>
      </c>
      <c r="H336" s="25">
        <v>4.2479325063011851E-2</v>
      </c>
      <c r="I336" s="18">
        <v>4.3908786563995578E-2</v>
      </c>
    </row>
    <row r="337" spans="1:9" x14ac:dyDescent="0.35">
      <c r="A337" s="14" t="s">
        <v>201</v>
      </c>
      <c r="B337" s="18">
        <v>1.184310699538158E-2</v>
      </c>
      <c r="C337" s="18">
        <v>0</v>
      </c>
      <c r="D337" s="18">
        <v>9.8605559817073907E-3</v>
      </c>
      <c r="E337" s="18">
        <v>1.5052156987080611E-2</v>
      </c>
      <c r="F337" s="18">
        <v>1.184310699538158E-2</v>
      </c>
      <c r="G337" s="18">
        <v>9.695383694739582E-3</v>
      </c>
      <c r="H337" s="18">
        <v>8.2436499203951338E-3</v>
      </c>
      <c r="I337" s="18">
        <v>8.2758600103988948E-3</v>
      </c>
    </row>
    <row r="338" spans="1:9" x14ac:dyDescent="0.35">
      <c r="A338" s="14" t="s">
        <v>202</v>
      </c>
      <c r="B338" s="18">
        <v>5.4005786154400076E-3</v>
      </c>
      <c r="C338" s="18">
        <v>0</v>
      </c>
      <c r="D338" s="18">
        <v>0</v>
      </c>
      <c r="E338" s="18">
        <v>0</v>
      </c>
      <c r="F338" s="18">
        <v>5.4005786154400067E-3</v>
      </c>
      <c r="G338" s="18">
        <v>4.4211946975329409E-3</v>
      </c>
      <c r="H338" s="18">
        <v>7.9762731696106197E-3</v>
      </c>
      <c r="I338" s="18">
        <v>8.0074385489230186E-3</v>
      </c>
    </row>
    <row r="339" spans="1:9" x14ac:dyDescent="0.35">
      <c r="A339" s="14" t="s">
        <v>211</v>
      </c>
      <c r="B339" s="18">
        <v>0</v>
      </c>
      <c r="C339" s="18">
        <v>0</v>
      </c>
      <c r="D339" s="18">
        <v>0</v>
      </c>
      <c r="E339" s="18">
        <v>0</v>
      </c>
      <c r="F339" s="18">
        <v>0</v>
      </c>
      <c r="G339" s="18">
        <v>0</v>
      </c>
      <c r="H339" s="18">
        <v>0</v>
      </c>
      <c r="I339" s="18">
        <v>0</v>
      </c>
    </row>
    <row r="340" spans="1:9" x14ac:dyDescent="0.35">
      <c r="A340" s="14" t="s">
        <v>212</v>
      </c>
      <c r="B340" s="18">
        <v>0</v>
      </c>
      <c r="C340" s="18">
        <v>0</v>
      </c>
      <c r="D340" s="18">
        <v>0</v>
      </c>
      <c r="E340" s="18">
        <v>0</v>
      </c>
      <c r="F340" s="18">
        <v>0</v>
      </c>
      <c r="G340" s="18">
        <v>0</v>
      </c>
      <c r="H340" s="18">
        <v>0</v>
      </c>
      <c r="I340" s="18">
        <v>0</v>
      </c>
    </row>
    <row r="341" spans="1:9" x14ac:dyDescent="0.35">
      <c r="A341" s="14" t="s">
        <v>203</v>
      </c>
      <c r="B341" s="18">
        <v>0</v>
      </c>
      <c r="C341" s="18">
        <v>0</v>
      </c>
      <c r="D341" s="18">
        <v>0</v>
      </c>
      <c r="E341" s="18">
        <v>0</v>
      </c>
      <c r="F341" s="18">
        <v>0</v>
      </c>
      <c r="G341" s="18">
        <v>0</v>
      </c>
      <c r="H341" s="18">
        <v>0</v>
      </c>
      <c r="I341" s="18">
        <v>0</v>
      </c>
    </row>
    <row r="342" spans="1:9" x14ac:dyDescent="0.35">
      <c r="A342" s="14" t="s">
        <v>204</v>
      </c>
      <c r="B342" s="18">
        <v>0</v>
      </c>
      <c r="C342" s="18">
        <v>0</v>
      </c>
      <c r="D342" s="18">
        <v>0</v>
      </c>
      <c r="E342" s="18">
        <v>0</v>
      </c>
      <c r="F342" s="18">
        <v>0</v>
      </c>
      <c r="G342" s="18">
        <v>0</v>
      </c>
      <c r="H342" s="18">
        <v>0</v>
      </c>
      <c r="I342" s="18">
        <v>0</v>
      </c>
    </row>
    <row r="343" spans="1:9" x14ac:dyDescent="0.35">
      <c r="A343" s="14" t="s">
        <v>213</v>
      </c>
      <c r="B343" s="1">
        <v>70.569665506361943</v>
      </c>
      <c r="C343" s="1">
        <v>69.408901923649509</v>
      </c>
      <c r="D343" s="1">
        <v>70.764390532658467</v>
      </c>
      <c r="E343" s="1">
        <v>70.642491603251997</v>
      </c>
      <c r="F343" s="1">
        <v>70.569665506361929</v>
      </c>
      <c r="G343" s="1">
        <v>67.190048848913705</v>
      </c>
      <c r="H343" s="1">
        <v>68.749609052603191</v>
      </c>
      <c r="I343" s="1">
        <v>69.616221545943944</v>
      </c>
    </row>
    <row r="345" spans="1:9" x14ac:dyDescent="0.35">
      <c r="C345" s="187"/>
      <c r="D345" s="187"/>
      <c r="E345" s="187"/>
      <c r="F345" s="187"/>
      <c r="G345" s="170"/>
      <c r="H345" s="170"/>
      <c r="I345" s="170"/>
    </row>
    <row r="346" spans="1:9" ht="29" x14ac:dyDescent="0.35">
      <c r="A346" s="12" t="s">
        <v>488</v>
      </c>
      <c r="B346" s="13" t="s">
        <v>208</v>
      </c>
      <c r="C346" s="13" t="s">
        <v>458</v>
      </c>
      <c r="D346" s="13" t="s">
        <v>466</v>
      </c>
      <c r="E346" s="13" t="s">
        <v>467</v>
      </c>
      <c r="F346" s="13" t="s">
        <v>468</v>
      </c>
      <c r="G346" s="13" t="s">
        <v>636</v>
      </c>
      <c r="H346" s="13" t="s">
        <v>641</v>
      </c>
      <c r="I346" s="13" t="s">
        <v>647</v>
      </c>
    </row>
    <row r="347" spans="1:9" x14ac:dyDescent="0.35">
      <c r="A347" s="14" t="s">
        <v>209</v>
      </c>
      <c r="B347" s="15">
        <v>0</v>
      </c>
      <c r="C347" s="15">
        <v>0</v>
      </c>
      <c r="D347" s="15">
        <v>0</v>
      </c>
      <c r="E347" s="15">
        <v>0</v>
      </c>
      <c r="F347" s="15">
        <v>0</v>
      </c>
      <c r="G347" s="15">
        <v>0</v>
      </c>
      <c r="H347" s="15">
        <v>0</v>
      </c>
      <c r="I347" s="15">
        <v>0</v>
      </c>
    </row>
    <row r="348" spans="1:9" x14ac:dyDescent="0.35">
      <c r="A348" s="16" t="s">
        <v>336</v>
      </c>
      <c r="B348" s="17" t="s">
        <v>214</v>
      </c>
      <c r="C348" s="168" t="s">
        <v>214</v>
      </c>
      <c r="D348" s="168" t="s">
        <v>214</v>
      </c>
      <c r="E348" s="168" t="s">
        <v>214</v>
      </c>
      <c r="F348" s="168" t="s">
        <v>214</v>
      </c>
      <c r="G348" s="168" t="s">
        <v>214</v>
      </c>
      <c r="H348" s="168" t="s">
        <v>214</v>
      </c>
      <c r="I348" s="168" t="s">
        <v>214</v>
      </c>
    </row>
    <row r="349" spans="1:9" x14ac:dyDescent="0.35">
      <c r="A349" s="16" t="s">
        <v>194</v>
      </c>
      <c r="B349" s="17" t="s">
        <v>214</v>
      </c>
      <c r="C349" s="168" t="s">
        <v>214</v>
      </c>
      <c r="D349" s="168" t="s">
        <v>214</v>
      </c>
      <c r="E349" s="168" t="s">
        <v>214</v>
      </c>
      <c r="F349" s="168" t="s">
        <v>214</v>
      </c>
      <c r="G349" s="168" t="s">
        <v>214</v>
      </c>
      <c r="H349" s="168" t="s">
        <v>214</v>
      </c>
      <c r="I349" s="168" t="s">
        <v>214</v>
      </c>
    </row>
    <row r="350" spans="1:9" x14ac:dyDescent="0.35">
      <c r="A350" s="16" t="s">
        <v>195</v>
      </c>
      <c r="B350" s="17" t="s">
        <v>214</v>
      </c>
      <c r="C350" s="168" t="s">
        <v>214</v>
      </c>
      <c r="D350" s="168" t="s">
        <v>214</v>
      </c>
      <c r="E350" s="168" t="s">
        <v>214</v>
      </c>
      <c r="F350" s="168" t="s">
        <v>214</v>
      </c>
      <c r="G350" s="168" t="s">
        <v>214</v>
      </c>
      <c r="H350" s="168" t="s">
        <v>214</v>
      </c>
      <c r="I350" s="168" t="s">
        <v>214</v>
      </c>
    </row>
    <row r="351" spans="1:9" x14ac:dyDescent="0.35">
      <c r="A351" s="14" t="s">
        <v>210</v>
      </c>
      <c r="B351" s="18" t="s">
        <v>214</v>
      </c>
      <c r="C351" s="18" t="s">
        <v>214</v>
      </c>
      <c r="D351" s="18" t="s">
        <v>214</v>
      </c>
      <c r="E351" s="18" t="s">
        <v>214</v>
      </c>
      <c r="F351" s="18" t="s">
        <v>214</v>
      </c>
      <c r="G351" s="18" t="s">
        <v>214</v>
      </c>
      <c r="H351" s="18" t="s">
        <v>214</v>
      </c>
      <c r="I351" s="18" t="s">
        <v>214</v>
      </c>
    </row>
    <row r="352" spans="1:9" x14ac:dyDescent="0.35">
      <c r="A352" s="14" t="s">
        <v>197</v>
      </c>
      <c r="B352" s="18" t="s">
        <v>214</v>
      </c>
      <c r="C352" s="18" t="s">
        <v>214</v>
      </c>
      <c r="D352" s="18" t="s">
        <v>214</v>
      </c>
      <c r="E352" s="18" t="s">
        <v>214</v>
      </c>
      <c r="F352" s="18" t="s">
        <v>214</v>
      </c>
      <c r="G352" s="18" t="s">
        <v>214</v>
      </c>
      <c r="H352" s="18" t="s">
        <v>214</v>
      </c>
      <c r="I352" s="18" t="s">
        <v>214</v>
      </c>
    </row>
    <row r="353" spans="1:9" x14ac:dyDescent="0.35">
      <c r="A353" s="14" t="s">
        <v>198</v>
      </c>
      <c r="B353" s="18" t="s">
        <v>214</v>
      </c>
      <c r="C353" s="18" t="s">
        <v>214</v>
      </c>
      <c r="D353" s="18" t="s">
        <v>214</v>
      </c>
      <c r="E353" s="18" t="s">
        <v>214</v>
      </c>
      <c r="F353" s="18" t="s">
        <v>214</v>
      </c>
      <c r="G353" s="18" t="s">
        <v>214</v>
      </c>
      <c r="H353" s="18" t="s">
        <v>214</v>
      </c>
      <c r="I353" s="18" t="s">
        <v>214</v>
      </c>
    </row>
    <row r="354" spans="1:9" x14ac:dyDescent="0.35">
      <c r="A354" s="14" t="s">
        <v>199</v>
      </c>
      <c r="B354" s="18" t="s">
        <v>214</v>
      </c>
      <c r="C354" s="18" t="s">
        <v>214</v>
      </c>
      <c r="D354" s="18" t="s">
        <v>214</v>
      </c>
      <c r="E354" s="18" t="s">
        <v>214</v>
      </c>
      <c r="F354" s="18" t="s">
        <v>214</v>
      </c>
      <c r="G354" s="18" t="s">
        <v>214</v>
      </c>
      <c r="H354" s="18" t="s">
        <v>214</v>
      </c>
      <c r="I354" s="18" t="s">
        <v>214</v>
      </c>
    </row>
    <row r="355" spans="1:9" x14ac:dyDescent="0.35">
      <c r="A355" s="14" t="s">
        <v>200</v>
      </c>
      <c r="B355" s="18" t="s">
        <v>214</v>
      </c>
      <c r="C355" s="18" t="s">
        <v>214</v>
      </c>
      <c r="D355" s="18" t="s">
        <v>214</v>
      </c>
      <c r="E355" s="18" t="s">
        <v>214</v>
      </c>
      <c r="F355" s="18" t="s">
        <v>214</v>
      </c>
      <c r="G355" s="18" t="s">
        <v>214</v>
      </c>
      <c r="H355" s="18" t="s">
        <v>214</v>
      </c>
      <c r="I355" s="18" t="s">
        <v>214</v>
      </c>
    </row>
    <row r="356" spans="1:9" x14ac:dyDescent="0.35">
      <c r="A356" s="14" t="s">
        <v>201</v>
      </c>
      <c r="B356" s="18" t="s">
        <v>214</v>
      </c>
      <c r="C356" s="18" t="s">
        <v>214</v>
      </c>
      <c r="D356" s="18" t="s">
        <v>214</v>
      </c>
      <c r="E356" s="18" t="s">
        <v>214</v>
      </c>
      <c r="F356" s="18" t="s">
        <v>214</v>
      </c>
      <c r="G356" s="18" t="s">
        <v>214</v>
      </c>
      <c r="H356" s="18" t="s">
        <v>214</v>
      </c>
      <c r="I356" s="18" t="s">
        <v>214</v>
      </c>
    </row>
    <row r="357" spans="1:9" x14ac:dyDescent="0.35">
      <c r="A357" s="14" t="s">
        <v>202</v>
      </c>
      <c r="B357" s="18" t="s">
        <v>214</v>
      </c>
      <c r="C357" s="18" t="s">
        <v>214</v>
      </c>
      <c r="D357" s="18" t="s">
        <v>214</v>
      </c>
      <c r="E357" s="18" t="s">
        <v>214</v>
      </c>
      <c r="F357" s="18" t="s">
        <v>214</v>
      </c>
      <c r="G357" s="18" t="s">
        <v>214</v>
      </c>
      <c r="H357" s="18" t="s">
        <v>214</v>
      </c>
      <c r="I357" s="18" t="s">
        <v>214</v>
      </c>
    </row>
    <row r="358" spans="1:9" x14ac:dyDescent="0.35">
      <c r="A358" s="14" t="s">
        <v>211</v>
      </c>
      <c r="B358" s="18" t="s">
        <v>214</v>
      </c>
      <c r="C358" s="18" t="s">
        <v>214</v>
      </c>
      <c r="D358" s="18" t="s">
        <v>214</v>
      </c>
      <c r="E358" s="18" t="s">
        <v>214</v>
      </c>
      <c r="F358" s="18" t="s">
        <v>214</v>
      </c>
      <c r="G358" s="18" t="s">
        <v>214</v>
      </c>
      <c r="H358" s="18" t="s">
        <v>214</v>
      </c>
      <c r="I358" s="18" t="s">
        <v>214</v>
      </c>
    </row>
    <row r="359" spans="1:9" x14ac:dyDescent="0.35">
      <c r="A359" s="14" t="s">
        <v>212</v>
      </c>
      <c r="B359" s="18" t="s">
        <v>214</v>
      </c>
      <c r="C359" s="18" t="s">
        <v>214</v>
      </c>
      <c r="D359" s="18" t="s">
        <v>214</v>
      </c>
      <c r="E359" s="18" t="s">
        <v>214</v>
      </c>
      <c r="F359" s="18" t="s">
        <v>214</v>
      </c>
      <c r="G359" s="18" t="s">
        <v>214</v>
      </c>
      <c r="H359" s="18" t="s">
        <v>214</v>
      </c>
      <c r="I359" s="18" t="s">
        <v>214</v>
      </c>
    </row>
    <row r="360" spans="1:9" x14ac:dyDescent="0.35">
      <c r="A360" s="14" t="s">
        <v>203</v>
      </c>
      <c r="B360" s="18" t="s">
        <v>214</v>
      </c>
      <c r="C360" s="18" t="s">
        <v>214</v>
      </c>
      <c r="D360" s="18" t="s">
        <v>214</v>
      </c>
      <c r="E360" s="18" t="s">
        <v>214</v>
      </c>
      <c r="F360" s="18" t="s">
        <v>214</v>
      </c>
      <c r="G360" s="18" t="s">
        <v>214</v>
      </c>
      <c r="H360" s="18" t="s">
        <v>214</v>
      </c>
      <c r="I360" s="18" t="s">
        <v>214</v>
      </c>
    </row>
    <row r="361" spans="1:9" x14ac:dyDescent="0.35">
      <c r="A361" s="14" t="s">
        <v>204</v>
      </c>
      <c r="B361" s="18" t="s">
        <v>214</v>
      </c>
      <c r="C361" s="18" t="s">
        <v>214</v>
      </c>
      <c r="D361" s="18" t="s">
        <v>214</v>
      </c>
      <c r="E361" s="18" t="s">
        <v>214</v>
      </c>
      <c r="F361" s="18" t="s">
        <v>214</v>
      </c>
      <c r="G361" s="18" t="s">
        <v>214</v>
      </c>
      <c r="H361" s="18" t="s">
        <v>214</v>
      </c>
      <c r="I361" s="18" t="s">
        <v>214</v>
      </c>
    </row>
    <row r="363" spans="1:9" x14ac:dyDescent="0.35">
      <c r="C363" s="187"/>
      <c r="D363" s="187"/>
      <c r="E363" s="187"/>
      <c r="F363" s="187"/>
      <c r="G363" s="170"/>
      <c r="H363" s="170"/>
      <c r="I363" s="170"/>
    </row>
    <row r="364" spans="1:9" ht="29" x14ac:dyDescent="0.35">
      <c r="A364" s="12" t="s">
        <v>502</v>
      </c>
      <c r="B364" s="13" t="s">
        <v>208</v>
      </c>
      <c r="C364" s="13" t="s">
        <v>458</v>
      </c>
      <c r="D364" s="13" t="s">
        <v>466</v>
      </c>
      <c r="E364" s="13" t="s">
        <v>467</v>
      </c>
      <c r="F364" s="13" t="s">
        <v>468</v>
      </c>
      <c r="G364" s="13" t="s">
        <v>636</v>
      </c>
      <c r="H364" s="13" t="s">
        <v>641</v>
      </c>
      <c r="I364" s="13" t="s">
        <v>647</v>
      </c>
    </row>
    <row r="365" spans="1:9" x14ac:dyDescent="0.35">
      <c r="A365" s="14" t="s">
        <v>209</v>
      </c>
      <c r="B365" s="15">
        <v>0</v>
      </c>
      <c r="C365" s="15">
        <v>0</v>
      </c>
      <c r="D365" s="15">
        <v>0</v>
      </c>
      <c r="E365" s="15">
        <v>0</v>
      </c>
      <c r="F365" s="15">
        <v>0</v>
      </c>
      <c r="G365" s="15">
        <v>0</v>
      </c>
      <c r="H365" s="15">
        <v>0</v>
      </c>
      <c r="I365" s="15">
        <v>0</v>
      </c>
    </row>
    <row r="366" spans="1:9" x14ac:dyDescent="0.35">
      <c r="A366" s="16" t="s">
        <v>336</v>
      </c>
      <c r="B366" s="17" t="s">
        <v>214</v>
      </c>
      <c r="C366" s="168" t="s">
        <v>214</v>
      </c>
      <c r="D366" s="168" t="s">
        <v>214</v>
      </c>
      <c r="E366" s="168" t="s">
        <v>214</v>
      </c>
      <c r="F366" s="168" t="s">
        <v>214</v>
      </c>
      <c r="G366" s="168" t="s">
        <v>214</v>
      </c>
      <c r="H366" s="168" t="s">
        <v>214</v>
      </c>
      <c r="I366" s="168" t="s">
        <v>214</v>
      </c>
    </row>
    <row r="367" spans="1:9" x14ac:dyDescent="0.35">
      <c r="A367" s="16" t="s">
        <v>194</v>
      </c>
      <c r="B367" s="17" t="s">
        <v>214</v>
      </c>
      <c r="C367" s="168" t="s">
        <v>214</v>
      </c>
      <c r="D367" s="168" t="s">
        <v>214</v>
      </c>
      <c r="E367" s="168" t="s">
        <v>214</v>
      </c>
      <c r="F367" s="168" t="s">
        <v>214</v>
      </c>
      <c r="G367" s="168" t="s">
        <v>214</v>
      </c>
      <c r="H367" s="168" t="s">
        <v>214</v>
      </c>
      <c r="I367" s="168" t="s">
        <v>214</v>
      </c>
    </row>
    <row r="368" spans="1:9" x14ac:dyDescent="0.35">
      <c r="A368" s="16" t="s">
        <v>195</v>
      </c>
      <c r="B368" s="17" t="s">
        <v>214</v>
      </c>
      <c r="C368" s="168" t="s">
        <v>214</v>
      </c>
      <c r="D368" s="168" t="s">
        <v>214</v>
      </c>
      <c r="E368" s="168" t="s">
        <v>214</v>
      </c>
      <c r="F368" s="168" t="s">
        <v>214</v>
      </c>
      <c r="G368" s="168" t="s">
        <v>214</v>
      </c>
      <c r="H368" s="168" t="s">
        <v>214</v>
      </c>
      <c r="I368" s="168" t="s">
        <v>214</v>
      </c>
    </row>
    <row r="369" spans="1:9" x14ac:dyDescent="0.35">
      <c r="A369" s="14" t="s">
        <v>210</v>
      </c>
      <c r="B369" s="18" t="s">
        <v>214</v>
      </c>
      <c r="C369" s="18" t="s">
        <v>214</v>
      </c>
      <c r="D369" s="18" t="s">
        <v>214</v>
      </c>
      <c r="E369" s="18" t="s">
        <v>214</v>
      </c>
      <c r="F369" s="18" t="s">
        <v>214</v>
      </c>
      <c r="G369" s="18" t="s">
        <v>214</v>
      </c>
      <c r="H369" s="18" t="s">
        <v>214</v>
      </c>
      <c r="I369" s="18" t="s">
        <v>214</v>
      </c>
    </row>
    <row r="370" spans="1:9" x14ac:dyDescent="0.35">
      <c r="A370" s="14" t="s">
        <v>197</v>
      </c>
      <c r="B370" s="18" t="s">
        <v>214</v>
      </c>
      <c r="C370" s="18" t="s">
        <v>214</v>
      </c>
      <c r="D370" s="18" t="s">
        <v>214</v>
      </c>
      <c r="E370" s="18" t="s">
        <v>214</v>
      </c>
      <c r="F370" s="18" t="s">
        <v>214</v>
      </c>
      <c r="G370" s="18" t="s">
        <v>214</v>
      </c>
      <c r="H370" s="18" t="s">
        <v>214</v>
      </c>
      <c r="I370" s="18" t="s">
        <v>214</v>
      </c>
    </row>
    <row r="371" spans="1:9" x14ac:dyDescent="0.35">
      <c r="A371" s="14" t="s">
        <v>198</v>
      </c>
      <c r="B371" s="18" t="s">
        <v>214</v>
      </c>
      <c r="C371" s="18" t="s">
        <v>214</v>
      </c>
      <c r="D371" s="18" t="s">
        <v>214</v>
      </c>
      <c r="E371" s="18" t="s">
        <v>214</v>
      </c>
      <c r="F371" s="18" t="s">
        <v>214</v>
      </c>
      <c r="G371" s="18" t="s">
        <v>214</v>
      </c>
      <c r="H371" s="18" t="s">
        <v>214</v>
      </c>
      <c r="I371" s="18" t="s">
        <v>214</v>
      </c>
    </row>
    <row r="372" spans="1:9" x14ac:dyDescent="0.35">
      <c r="A372" s="14" t="s">
        <v>199</v>
      </c>
      <c r="B372" s="18" t="s">
        <v>214</v>
      </c>
      <c r="C372" s="18" t="s">
        <v>214</v>
      </c>
      <c r="D372" s="18" t="s">
        <v>214</v>
      </c>
      <c r="E372" s="18" t="s">
        <v>214</v>
      </c>
      <c r="F372" s="18" t="s">
        <v>214</v>
      </c>
      <c r="G372" s="18" t="s">
        <v>214</v>
      </c>
      <c r="H372" s="18" t="s">
        <v>214</v>
      </c>
      <c r="I372" s="18" t="s">
        <v>214</v>
      </c>
    </row>
    <row r="373" spans="1:9" x14ac:dyDescent="0.35">
      <c r="A373" s="14" t="s">
        <v>200</v>
      </c>
      <c r="B373" s="18" t="s">
        <v>214</v>
      </c>
      <c r="C373" s="18" t="s">
        <v>214</v>
      </c>
      <c r="D373" s="18" t="s">
        <v>214</v>
      </c>
      <c r="E373" s="18" t="s">
        <v>214</v>
      </c>
      <c r="F373" s="18" t="s">
        <v>214</v>
      </c>
      <c r="G373" s="18" t="s">
        <v>214</v>
      </c>
      <c r="H373" s="18" t="s">
        <v>214</v>
      </c>
      <c r="I373" s="18" t="s">
        <v>214</v>
      </c>
    </row>
    <row r="374" spans="1:9" x14ac:dyDescent="0.35">
      <c r="A374" s="14" t="s">
        <v>201</v>
      </c>
      <c r="B374" s="18" t="s">
        <v>214</v>
      </c>
      <c r="C374" s="18" t="s">
        <v>214</v>
      </c>
      <c r="D374" s="18" t="s">
        <v>214</v>
      </c>
      <c r="E374" s="18" t="s">
        <v>214</v>
      </c>
      <c r="F374" s="18" t="s">
        <v>214</v>
      </c>
      <c r="G374" s="18" t="s">
        <v>214</v>
      </c>
      <c r="H374" s="18" t="s">
        <v>214</v>
      </c>
      <c r="I374" s="18" t="s">
        <v>214</v>
      </c>
    </row>
    <row r="375" spans="1:9" x14ac:dyDescent="0.35">
      <c r="A375" s="14" t="s">
        <v>202</v>
      </c>
      <c r="B375" s="18" t="s">
        <v>214</v>
      </c>
      <c r="C375" s="18" t="s">
        <v>214</v>
      </c>
      <c r="D375" s="18" t="s">
        <v>214</v>
      </c>
      <c r="E375" s="18" t="s">
        <v>214</v>
      </c>
      <c r="F375" s="18" t="s">
        <v>214</v>
      </c>
      <c r="G375" s="18" t="s">
        <v>214</v>
      </c>
      <c r="H375" s="18" t="s">
        <v>214</v>
      </c>
      <c r="I375" s="18" t="s">
        <v>214</v>
      </c>
    </row>
    <row r="376" spans="1:9" x14ac:dyDescent="0.35">
      <c r="A376" s="14" t="s">
        <v>211</v>
      </c>
      <c r="B376" s="18" t="s">
        <v>214</v>
      </c>
      <c r="C376" s="18" t="s">
        <v>214</v>
      </c>
      <c r="D376" s="18" t="s">
        <v>214</v>
      </c>
      <c r="E376" s="18" t="s">
        <v>214</v>
      </c>
      <c r="F376" s="18" t="s">
        <v>214</v>
      </c>
      <c r="G376" s="18" t="s">
        <v>214</v>
      </c>
      <c r="H376" s="18" t="s">
        <v>214</v>
      </c>
      <c r="I376" s="18" t="s">
        <v>214</v>
      </c>
    </row>
    <row r="377" spans="1:9" x14ac:dyDescent="0.35">
      <c r="A377" s="14" t="s">
        <v>212</v>
      </c>
      <c r="B377" s="18" t="s">
        <v>214</v>
      </c>
      <c r="C377" s="18" t="s">
        <v>214</v>
      </c>
      <c r="D377" s="18" t="s">
        <v>214</v>
      </c>
      <c r="E377" s="18" t="s">
        <v>214</v>
      </c>
      <c r="F377" s="18" t="s">
        <v>214</v>
      </c>
      <c r="G377" s="18" t="s">
        <v>214</v>
      </c>
      <c r="H377" s="18" t="s">
        <v>214</v>
      </c>
      <c r="I377" s="18" t="s">
        <v>214</v>
      </c>
    </row>
    <row r="378" spans="1:9" x14ac:dyDescent="0.35">
      <c r="A378" s="14" t="s">
        <v>203</v>
      </c>
      <c r="B378" s="18" t="s">
        <v>214</v>
      </c>
      <c r="C378" s="18" t="s">
        <v>214</v>
      </c>
      <c r="D378" s="18" t="s">
        <v>214</v>
      </c>
      <c r="E378" s="18" t="s">
        <v>214</v>
      </c>
      <c r="F378" s="18" t="s">
        <v>214</v>
      </c>
      <c r="G378" s="18" t="s">
        <v>214</v>
      </c>
      <c r="H378" s="18" t="s">
        <v>214</v>
      </c>
      <c r="I378" s="18" t="s">
        <v>214</v>
      </c>
    </row>
    <row r="379" spans="1:9" x14ac:dyDescent="0.35">
      <c r="A379" s="14" t="s">
        <v>204</v>
      </c>
      <c r="B379" s="18" t="s">
        <v>214</v>
      </c>
      <c r="C379" s="18" t="s">
        <v>214</v>
      </c>
      <c r="D379" s="18" t="s">
        <v>214</v>
      </c>
      <c r="E379" s="18" t="s">
        <v>214</v>
      </c>
      <c r="F379" s="18" t="s">
        <v>214</v>
      </c>
      <c r="G379" s="18" t="s">
        <v>214</v>
      </c>
      <c r="H379" s="18" t="s">
        <v>214</v>
      </c>
      <c r="I379" s="18" t="s">
        <v>214</v>
      </c>
    </row>
    <row r="382" spans="1:9" x14ac:dyDescent="0.35">
      <c r="A382" s="1" t="s">
        <v>215</v>
      </c>
    </row>
    <row r="384" spans="1:9" x14ac:dyDescent="0.35">
      <c r="B384" s="3" t="s">
        <v>216</v>
      </c>
    </row>
    <row r="385" spans="2:2" x14ac:dyDescent="0.35">
      <c r="B385" s="1" t="s">
        <v>217</v>
      </c>
    </row>
  </sheetData>
  <mergeCells count="20">
    <mergeCell ref="C326:F326"/>
    <mergeCell ref="C345:F345"/>
    <mergeCell ref="C363:F363"/>
    <mergeCell ref="C231:F231"/>
    <mergeCell ref="C250:F250"/>
    <mergeCell ref="C269:F269"/>
    <mergeCell ref="C288:F288"/>
    <mergeCell ref="C307:F307"/>
    <mergeCell ref="C213:F213"/>
    <mergeCell ref="C4:F4"/>
    <mergeCell ref="C23:F23"/>
    <mergeCell ref="C42:F42"/>
    <mergeCell ref="C61:F61"/>
    <mergeCell ref="C80:F80"/>
    <mergeCell ref="C99:F99"/>
    <mergeCell ref="C118:F118"/>
    <mergeCell ref="C137:F137"/>
    <mergeCell ref="C156:F156"/>
    <mergeCell ref="C175:F175"/>
    <mergeCell ref="C194:F19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Properties xmlns="http://schemas.microsoft.com/sharepoint/v3" xsi:nil="true"/>
    <_ip_UnifiedCompliancePolicyUIAction xmlns="http://schemas.microsoft.com/sharepoint/v3" xsi:nil="true"/>
    <lcf76f155ced4ddcb4097134ff3c332f xmlns="2f820c02-3c26-4fb0-ba72-97fafdcd54da">
      <Terms xmlns="http://schemas.microsoft.com/office/infopath/2007/PartnerControls"/>
    </lcf76f155ced4ddcb4097134ff3c332f>
    <TaxCatchAll xmlns="94ef0887-c908-4e7d-a17f-66cb377583b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14869C30BE774A9575922EF2DA691A" ma:contentTypeVersion="17" ma:contentTypeDescription="Een nieuw document maken." ma:contentTypeScope="" ma:versionID="503a6f1a7c3f4035f54ca793ef9fcf55">
  <xsd:schema xmlns:xsd="http://www.w3.org/2001/XMLSchema" xmlns:xs="http://www.w3.org/2001/XMLSchema" xmlns:p="http://schemas.microsoft.com/office/2006/metadata/properties" xmlns:ns1="http://schemas.microsoft.com/sharepoint/v3" xmlns:ns2="2f820c02-3c26-4fb0-ba72-97fafdcd54da" xmlns:ns3="94ef0887-c908-4e7d-a17f-66cb377583ba" targetNamespace="http://schemas.microsoft.com/office/2006/metadata/properties" ma:root="true" ma:fieldsID="2356306f1bfdf53aa40771a648d298ba" ns1:_="" ns2:_="" ns3:_="">
    <xsd:import namespace="http://schemas.microsoft.com/sharepoint/v3"/>
    <xsd:import namespace="2f820c02-3c26-4fb0-ba72-97fafdcd54da"/>
    <xsd:import namespace="94ef0887-c908-4e7d-a17f-66cb377583b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Eigenschappen van het geïntegreerd beleid voor naleving" ma:hidden="true" ma:internalName="_ip_UnifiedCompliancePolicyProperties">
      <xsd:simpleType>
        <xsd:restriction base="dms:Note"/>
      </xsd:simpleType>
    </xsd:element>
    <xsd:element name="_ip_UnifiedCompliancePolicyUIAction" ma:index="24"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820c02-3c26-4fb0-ba72-97fafdcd54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ba1dba96-c252-421a-8d24-58690b45a70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ef0887-c908-4e7d-a17f-66cb377583ba"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7ed026f0-05d0-41df-991d-2d721ff67088}" ma:internalName="TaxCatchAll" ma:showField="CatchAllData" ma:web="94ef0887-c908-4e7d-a17f-66cb377583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D26E71-C125-4430-86B0-FE05D802EFFE}">
  <ds:schemaRefs>
    <ds:schemaRef ds:uri="http://schemas.microsoft.com/sharepoint/v3/contenttype/forms"/>
  </ds:schemaRefs>
</ds:datastoreItem>
</file>

<file path=customXml/itemProps2.xml><?xml version="1.0" encoding="utf-8"?>
<ds:datastoreItem xmlns:ds="http://schemas.openxmlformats.org/officeDocument/2006/customXml" ds:itemID="{640686D0-4C62-4349-8C2D-DE1CCA1B08B2}">
  <ds:schemaRefs>
    <ds:schemaRef ds:uri="http://schemas.openxmlformats.org/package/2006/metadata/core-properties"/>
    <ds:schemaRef ds:uri="31197d8b-ed04-438d-a934-a05496df942c"/>
    <ds:schemaRef ds:uri="http://purl.org/dc/terms/"/>
    <ds:schemaRef ds:uri="http://www.w3.org/XML/1998/namespace"/>
    <ds:schemaRef ds:uri="http://purl.org/dc/elements/1.1/"/>
    <ds:schemaRef ds:uri="0cbf84a0-b172-483e-875b-2bac074e5345"/>
    <ds:schemaRef ds:uri="http://schemas.microsoft.com/office/infopath/2007/PartnerControls"/>
    <ds:schemaRef ds:uri="http://schemas.microsoft.com/office/2006/documentManagement/types"/>
    <ds:schemaRef ds:uri="fdde2fd7-f3ed-4b04-b285-7e42ca7214ae"/>
    <ds:schemaRef ds:uri="http://schemas.microsoft.com/office/2006/metadata/properties"/>
    <ds:schemaRef ds:uri="8f0d4bc1-16c6-4a87-bc8a-a5ac849f7c71"/>
    <ds:schemaRef ds:uri="http://schemas.microsoft.com/sharepoint/v3"/>
    <ds:schemaRef ds:uri="http://purl.org/dc/dcmitype/"/>
    <ds:schemaRef ds:uri="2f820c02-3c26-4fb0-ba72-97fafdcd54da"/>
    <ds:schemaRef ds:uri="94ef0887-c908-4e7d-a17f-66cb377583ba"/>
  </ds:schemaRefs>
</ds:datastoreItem>
</file>

<file path=customXml/itemProps3.xml><?xml version="1.0" encoding="utf-8"?>
<ds:datastoreItem xmlns:ds="http://schemas.openxmlformats.org/officeDocument/2006/customXml" ds:itemID="{B1BDBC93-7E06-40D1-9B0D-2E2737239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f820c02-3c26-4fb0-ba72-97fafdcd54da"/>
    <ds:schemaRef ds:uri="94ef0887-c908-4e7d-a17f-66cb37758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87b6ea1-3db9-4fe1-a9d7-85d4c64ce5cc}" enabled="0" method="" siteId="{587b6ea1-3db9-4fe1-a9d7-85d4c64ce5c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Reading guide, SIGN of NPS</vt:lpstr>
      <vt:lpstr>Quarterly overview new</vt:lpstr>
      <vt:lpstr>Countries overview (monthly)</vt:lpstr>
      <vt:lpstr>Australia (quarter)</vt:lpstr>
      <vt:lpstr>Australia (Month)</vt:lpstr>
      <vt:lpstr>Australia Crunch  Output</vt:lpstr>
      <vt:lpstr>Belgium (quarter)</vt:lpstr>
      <vt:lpstr>Belgium (Month)</vt:lpstr>
      <vt:lpstr>Belgium Crunch Output</vt:lpstr>
      <vt:lpstr>Germany (quarter)</vt:lpstr>
      <vt:lpstr>Germany (Month)</vt:lpstr>
      <vt:lpstr>Germany Crunch Output</vt:lpstr>
      <vt:lpstr>Italy (quarter)</vt:lpstr>
      <vt:lpstr>Italy (Month)</vt:lpstr>
      <vt:lpstr>Italy Crunch Outputs</vt:lpstr>
      <vt:lpstr>Netherlands (quarter)</vt:lpstr>
      <vt:lpstr>Netherlands (Month)</vt:lpstr>
      <vt:lpstr>Netherlands Crunch Outputs</vt:lpstr>
      <vt:lpstr>Poland (quarter)</vt:lpstr>
      <vt:lpstr>Poland (Month)</vt:lpstr>
      <vt:lpstr>Poland Crunch Output</vt:lpstr>
      <vt:lpstr>Romania (quarter)</vt:lpstr>
      <vt:lpstr>Romania (month)</vt:lpstr>
      <vt:lpstr>Romania Crunch Output</vt:lpstr>
      <vt:lpstr>Spain (quarter)</vt:lpstr>
      <vt:lpstr>Spain (month)</vt:lpstr>
      <vt:lpstr>Spain Crunch Output</vt:lpstr>
      <vt:lpstr>Turkey (quarter)</vt:lpstr>
      <vt:lpstr>Turkey (month)</vt:lpstr>
      <vt:lpstr>Turkey Crunch 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Nicole Hodgson</dc:creator>
  <cp:keywords/>
  <dc:description/>
  <cp:lastModifiedBy>Pitithammaporn, S. (Suphachai)</cp:lastModifiedBy>
  <cp:revision/>
  <dcterms:created xsi:type="dcterms:W3CDTF">2022-05-11T07:17:22Z</dcterms:created>
  <dcterms:modified xsi:type="dcterms:W3CDTF">2026-04-15T13:13:17Z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0x0101008914869C30BE774A9575922EF2DA691A</vt:lpwstr>
  </property>
  <property fmtid="{D5CDD505-2E9C-101B-9397-08002B2CF9AE}" pid="3" name="_dlc_DocIdItemGuid">
    <vt:lpwstr>6db9f32c-ffaf-4af6-9b2a-f4bf4d02853a</vt:lpwstr>
  </property>
  <property fmtid="{D5CDD505-2E9C-101B-9397-08002B2CF9AE}" pid="4" name="MediaServiceImageTags">
    <vt:lpwstr/>
  </property>
</Properties>
</file>